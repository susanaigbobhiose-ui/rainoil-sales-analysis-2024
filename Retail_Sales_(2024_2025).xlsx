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inoilng-my.sharepoint.com/personal/susan_aigbobhiose_rainoil_com/Documents/Documents/PERSONAL/MBA/YEAR 2/1ST SEMESTER/Data Analytics II/Examination Submission/Exam 1/"/>
    </mc:Choice>
  </mc:AlternateContent>
  <xr:revisionPtr revIDLastSave="0" documentId="8_{24102B43-EB72-4ABC-A4D4-9A62C018D91A}" xr6:coauthVersionLast="47" xr6:coauthVersionMax="47" xr10:uidLastSave="{00000000-0000-0000-0000-000000000000}"/>
  <bookViews>
    <workbookView xWindow="-110" yWindow="-110" windowWidth="19420" windowHeight="12300" xr2:uid="{F50D7969-0A5C-4FB3-A32D-D05C2544FBD9}"/>
  </bookViews>
  <sheets>
    <sheet name="2024 MOM Station Sale" sheetId="3" r:id="rId1"/>
    <sheet name="2024 SUMMARY" sheetId="4" r:id="rId2"/>
    <sheet name="2025 MOM Station Sale" sheetId="5" r:id="rId3"/>
    <sheet name="2025 SUMMARY" sheetId="6" r:id="rId4"/>
    <sheet name="Sheet2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7" i="6"/>
  <c r="G7" i="6"/>
  <c r="F7" i="6"/>
  <c r="E7" i="6"/>
  <c r="D7" i="6"/>
  <c r="C7" i="6"/>
  <c r="H6" i="6"/>
  <c r="G6" i="6"/>
  <c r="F6" i="6"/>
  <c r="E6" i="6"/>
  <c r="D6" i="6"/>
  <c r="C6" i="6"/>
  <c r="H5" i="6"/>
  <c r="G5" i="6"/>
  <c r="F5" i="6"/>
  <c r="E5" i="6"/>
  <c r="D5" i="6"/>
  <c r="C5" i="6"/>
  <c r="H4" i="6"/>
  <c r="G4" i="6"/>
  <c r="F4" i="6"/>
  <c r="E4" i="6"/>
  <c r="D4" i="6"/>
  <c r="C4" i="6"/>
  <c r="H3" i="6"/>
  <c r="G3" i="6"/>
  <c r="F3" i="6"/>
  <c r="E3" i="6"/>
  <c r="D3" i="6"/>
  <c r="C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H2" i="6"/>
  <c r="G2" i="6"/>
  <c r="F2" i="6"/>
  <c r="E2" i="6"/>
  <c r="D2" i="6"/>
  <c r="C2" i="6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G5" i="4"/>
  <c r="F5" i="4"/>
  <c r="E6" i="4"/>
  <c r="D6" i="4"/>
  <c r="C6" i="4"/>
  <c r="H5" i="4"/>
  <c r="E5" i="4"/>
  <c r="D5" i="4"/>
  <c r="C5" i="4"/>
  <c r="H4" i="4"/>
  <c r="G4" i="4"/>
  <c r="F4" i="4"/>
  <c r="E4" i="4"/>
  <c r="D4" i="4"/>
  <c r="C4" i="4"/>
  <c r="H3" i="4"/>
  <c r="G3" i="4"/>
  <c r="F3" i="4"/>
  <c r="E3" i="4"/>
  <c r="D3" i="4"/>
  <c r="C3" i="4"/>
  <c r="H2" i="4"/>
  <c r="G2" i="4"/>
  <c r="F2" i="4"/>
  <c r="E2" i="4"/>
  <c r="D2" i="4"/>
  <c r="C2" i="4"/>
  <c r="A4" i="4"/>
  <c r="A5" i="4"/>
  <c r="A6" i="4"/>
  <c r="A7" i="4"/>
  <c r="A8" i="4"/>
  <c r="A9" i="4"/>
  <c r="A10" i="4"/>
  <c r="A11" i="4"/>
  <c r="A12" i="4"/>
  <c r="A13" i="4"/>
  <c r="A3" i="4"/>
</calcChain>
</file>

<file path=xl/sharedStrings.xml><?xml version="1.0" encoding="utf-8"?>
<sst xmlns="http://schemas.openxmlformats.org/spreadsheetml/2006/main" count="915" uniqueCount="430">
  <si>
    <t xml:space="preserve">RETAIL SALES SUMMARY ANALYSIS REPORT - </t>
  </si>
  <si>
    <t xml:space="preserve">TOTAL VOLUME (LTRS) AS @ </t>
  </si>
  <si>
    <t>S/N</t>
  </si>
  <si>
    <t>Station</t>
  </si>
  <si>
    <t>Total Sales (Ltrs) Jan 2024</t>
  </si>
  <si>
    <t>Total Sales (Ltrs) Feb 2024</t>
  </si>
  <si>
    <t>Total Sales (Ltrs) Mar 2024</t>
  </si>
  <si>
    <t>Total Sales (Ltrs) Apr 2024</t>
  </si>
  <si>
    <t>Total Sales (Ltrs) May 2024</t>
  </si>
  <si>
    <t>Total Sales (Ltrs) Jun 2024</t>
  </si>
  <si>
    <t>Total Sales (Ltrs) Jul 2024</t>
  </si>
  <si>
    <t>Total Sales (Ltrs) Aug 2024</t>
  </si>
  <si>
    <t>Total Sales (Ltrs) Sept 2024</t>
  </si>
  <si>
    <t>Total Sales (Ltrs) Oct 2024</t>
  </si>
  <si>
    <t>Total Sales (Ltrs) Nov 2024</t>
  </si>
  <si>
    <t>Total Sales (Ltrs) Dec 2024</t>
  </si>
  <si>
    <t>PMS</t>
  </si>
  <si>
    <t>AGO</t>
  </si>
  <si>
    <t>DPK</t>
  </si>
  <si>
    <t>AVG PMS PRICE</t>
  </si>
  <si>
    <t>AVG AGO PRICE</t>
  </si>
  <si>
    <t xml:space="preserve">Rainoil Uyo - Abak Road </t>
  </si>
  <si>
    <t xml:space="preserve">Rainoil Abakaliki - Azuiyiokwu </t>
  </si>
  <si>
    <t xml:space="preserve">Rainoil Abakaliki - Mile 50 </t>
  </si>
  <si>
    <t>Rainoil Aba - Abayi-Osisioma</t>
  </si>
  <si>
    <t>Rainoil Abijo</t>
  </si>
  <si>
    <t>Rainoil Abraka</t>
  </si>
  <si>
    <t xml:space="preserve">Rainoil FCT - Gwarimpa </t>
  </si>
  <si>
    <t xml:space="preserve">Rainoil FCT - Karmo </t>
  </si>
  <si>
    <t>Rainoil Ado-Ekiti - Ikere Road</t>
  </si>
  <si>
    <t xml:space="preserve">Rainoil Agbarho - Ohrerhe </t>
  </si>
  <si>
    <t xml:space="preserve">Rainoil Agbarho - Ewherhe </t>
  </si>
  <si>
    <t xml:space="preserve">Rainoil Agbor - Asaba Road  </t>
  </si>
  <si>
    <t xml:space="preserve">Rainoil Agbor - Abraka Road </t>
  </si>
  <si>
    <t xml:space="preserve">Rainoil Agbor - Alero Road  </t>
  </si>
  <si>
    <t xml:space="preserve">Rainoil Agbor - Owa-Ekei  </t>
  </si>
  <si>
    <t>Rainoil Anwai</t>
  </si>
  <si>
    <t xml:space="preserve">Rainoil Asaba - Asaba/Benin Road </t>
  </si>
  <si>
    <t xml:space="preserve">Rainoil Asaba - Okpanam Road </t>
  </si>
  <si>
    <t xml:space="preserve">Rainoil Auchi - Igara Road </t>
  </si>
  <si>
    <t xml:space="preserve">Rainoil Awka - 279 Zik Avenue </t>
  </si>
  <si>
    <t>Rainoil Awka - Regina Caeli Road</t>
  </si>
  <si>
    <t>Rainoil Awka - 55 Zik Avenue</t>
  </si>
  <si>
    <t xml:space="preserve">Rainoil Awkuzu </t>
  </si>
  <si>
    <t>Rainoil Ayobo</t>
  </si>
  <si>
    <t>Rainoil Kaduna - Barnawa</t>
  </si>
  <si>
    <t>Rainoil Benin - Benin/Agbor Road</t>
  </si>
  <si>
    <t>Rainoil Benin - Benin/Auchi Road</t>
  </si>
  <si>
    <t>Rainoil Bonsac</t>
  </si>
  <si>
    <t>Fynefield Border Road Ikom</t>
  </si>
  <si>
    <t>Rainoil Portharcourt - Borokiri</t>
  </si>
  <si>
    <t>Rainoil Bukuru Jos</t>
  </si>
  <si>
    <t>Rainoil Kaduna - Chikun</t>
  </si>
  <si>
    <t>Rainoil Portharcourt - Choba</t>
  </si>
  <si>
    <t xml:space="preserve">Rainoil Udu - Steel Town  </t>
  </si>
  <si>
    <t xml:space="preserve">Rainoil Udu - Udu Road </t>
  </si>
  <si>
    <t>Rainoil FCT - Dutse Alhaji</t>
  </si>
  <si>
    <t>Rainoil Ebrumede</t>
  </si>
  <si>
    <t>Rainoil Warri - Effurun GRA</t>
  </si>
  <si>
    <t>Rainoil Idunmwungha - Egba Road</t>
  </si>
  <si>
    <t>Rainoil Benin - Ekenwan</t>
  </si>
  <si>
    <t>Rainoil Eket</t>
  </si>
  <si>
    <t>Rainoil Ekpoma - Market Road</t>
  </si>
  <si>
    <t xml:space="preserve">Rainoi Ekpoma - Ihumudu Road </t>
  </si>
  <si>
    <t xml:space="preserve">Rainoil Enugu - Abakpa Nike </t>
  </si>
  <si>
    <t>Rainoil Ezenei</t>
  </si>
  <si>
    <t>Fynefield Apo Abuja</t>
  </si>
  <si>
    <t>Fynefield Anwai Road Asaba</t>
  </si>
  <si>
    <t>Fynefield Expressway Asaba</t>
  </si>
  <si>
    <t>Fynefield Highway Calabar</t>
  </si>
  <si>
    <t>Fynefield Nnebisi Road Asaba</t>
  </si>
  <si>
    <t>Rainoil Gboko</t>
  </si>
  <si>
    <t>Fynefield Goldie Road Calabar</t>
  </si>
  <si>
    <t>Rainoil Gombe - Akko</t>
  </si>
  <si>
    <t>Rainoil Gombe - Barunde</t>
  </si>
  <si>
    <t>Rainoil Ibafo</t>
  </si>
  <si>
    <t>Rainoil Ibusa</t>
  </si>
  <si>
    <t>Rainoil Igbodo</t>
  </si>
  <si>
    <t>Rainoil Portharcourt - Igwuruta</t>
  </si>
  <si>
    <t xml:space="preserve">Rainoil Ikom - Four Corners </t>
  </si>
  <si>
    <t>Fynefield Ogoja Road Ikom</t>
  </si>
  <si>
    <t xml:space="preserve">Rainoil Ikom - Calabar Road </t>
  </si>
  <si>
    <t xml:space="preserve">Rainoil Ilorin - Majeasurawa </t>
  </si>
  <si>
    <t xml:space="preserve">Rainoil Ilorin - Ajase-Ipo Road  </t>
  </si>
  <si>
    <t xml:space="preserve">Rainoil Ilorin - Asa Dam Road </t>
  </si>
  <si>
    <t>Rainoil Ilorin - Sobi Road</t>
  </si>
  <si>
    <t>Rainoil Ilorin - Airport Road</t>
  </si>
  <si>
    <t>Rainoil Ipaja</t>
  </si>
  <si>
    <t>Rainoil Portharcourt - Isiokpo</t>
  </si>
  <si>
    <t>Rainoil - Issele-Uku</t>
  </si>
  <si>
    <t>Rainoil Jarret</t>
  </si>
  <si>
    <t>Rainoil Jeddo</t>
  </si>
  <si>
    <t>Rainoil Jesse</t>
  </si>
  <si>
    <t>Rainoil FCT - Kado</t>
  </si>
  <si>
    <t xml:space="preserve">Raonoil Kaduna - Unguwan Muazu </t>
  </si>
  <si>
    <t xml:space="preserve">Rainoil Kaduna - Kachia Road </t>
  </si>
  <si>
    <t xml:space="preserve">Rainoil Kano - Ring Road  </t>
  </si>
  <si>
    <t xml:space="preserve">Rainoil Kano - Danbazo Road </t>
  </si>
  <si>
    <t>Rainoil Keffi</t>
  </si>
  <si>
    <t>Rainoil Kujama</t>
  </si>
  <si>
    <t xml:space="preserve">Rainoil Kwale - Umusadege Road  </t>
  </si>
  <si>
    <t xml:space="preserve">Rainoil Kwale - Ogwashi-Ukwu Road </t>
  </si>
  <si>
    <t>Rainoil Lafia</t>
  </si>
  <si>
    <t>Rainoil Lekki Scheme 2</t>
  </si>
  <si>
    <t>Rainoil Lokoja</t>
  </si>
  <si>
    <t>Rainoil Benin - Lucky Way</t>
  </si>
  <si>
    <t>Rainoil FCT - Lugbe</t>
  </si>
  <si>
    <t xml:space="preserve">Rainoil Makurdi - Atom Kpera </t>
  </si>
  <si>
    <t>Rainoil - Minna</t>
  </si>
  <si>
    <t>Rainoil FCT - New Nyanya</t>
  </si>
  <si>
    <t xml:space="preserve">Rainoil Nnebisi - 295 Nnebisi Road </t>
  </si>
  <si>
    <t xml:space="preserve">Rainoil Nnebisi - 274 Nnebisi Road </t>
  </si>
  <si>
    <t xml:space="preserve">Rainoil Nnewi - Oba-Nnewi Road </t>
  </si>
  <si>
    <t>Rainoil Obiaruku - Novena</t>
  </si>
  <si>
    <t>Rainoil - Nsukka</t>
  </si>
  <si>
    <t>Rainoil Obiaruku - Sapele- Agbor New Road</t>
  </si>
  <si>
    <t>Fynefield Odukpani</t>
  </si>
  <si>
    <t xml:space="preserve">Rainoil Oghara - Ajagbodudu </t>
  </si>
  <si>
    <t xml:space="preserve">Rainoil Oghara - Otorho Road </t>
  </si>
  <si>
    <t xml:space="preserve">Rainoil Ogidi - Old Enugu-Onitsha Road </t>
  </si>
  <si>
    <t xml:space="preserve">Rainoil Ogidi - Ugwu-Nwasike </t>
  </si>
  <si>
    <t>Rainoil Ogunnu</t>
  </si>
  <si>
    <t>Rainoil Ogwashi-Ukwu - Agidiahen Quarters</t>
  </si>
  <si>
    <t>Rainoil Ojodu</t>
  </si>
  <si>
    <t>Rainoil Oke Aro</t>
  </si>
  <si>
    <t>Rainoil Okoh</t>
  </si>
  <si>
    <t>Rainoil Okota</t>
  </si>
  <si>
    <t>Rainoil Okpanam</t>
  </si>
  <si>
    <t>Rainoil Oleh</t>
  </si>
  <si>
    <t>Rainoil Oniru</t>
  </si>
  <si>
    <t xml:space="preserve">Rainoil Onitsha - 124 Awka Road </t>
  </si>
  <si>
    <t xml:space="preserve">Rainoil Onitsha - Modebe </t>
  </si>
  <si>
    <t>Rainoil Oshodi</t>
  </si>
  <si>
    <t>Rainoil Osubi</t>
  </si>
  <si>
    <t>Rainoil Otukpo</t>
  </si>
  <si>
    <t>Rainoil Owerri - Orlu Road</t>
  </si>
  <si>
    <t xml:space="preserve">Rainoil Ozoro - Kwale/ Ozoro Road </t>
  </si>
  <si>
    <t xml:space="preserve">Rainoil Ozoro - Hospital Road </t>
  </si>
  <si>
    <t xml:space="preserve">Rainoil Ozoro - Owhelogbo </t>
  </si>
  <si>
    <t xml:space="preserve">Rainoil Sakponba - Upper Sakponba </t>
  </si>
  <si>
    <t xml:space="preserve">Rainoil Sakponba - Sakponba Road </t>
  </si>
  <si>
    <t>Rainoil Saniko</t>
  </si>
  <si>
    <t xml:space="preserve">Rainoil Sapele - Sapele-Warri Road </t>
  </si>
  <si>
    <t>Rainoil Sapele - Adeola Road</t>
  </si>
  <si>
    <t xml:space="preserve">Rainoil Sapele - Abeke Road </t>
  </si>
  <si>
    <t>Rainoil Benin - Second East Circular</t>
  </si>
  <si>
    <t>Rainoil Portharcourt - Station Road</t>
  </si>
  <si>
    <t>Rainoil Asaba - Summit Junction</t>
  </si>
  <si>
    <t>Rainoil Ugboko</t>
  </si>
  <si>
    <t>Rainoil Ughelli - Amekpa</t>
  </si>
  <si>
    <t xml:space="preserve">Rainoil Ughelli - Afiesere </t>
  </si>
  <si>
    <t>Rainoil Ughelli - Ekuigbo</t>
  </si>
  <si>
    <t xml:space="preserve">Rainoil Ughelli - Iwhrekpokpor </t>
  </si>
  <si>
    <t>Rainoil Benin - Upper Mission</t>
  </si>
  <si>
    <t>Rainoil Benin - Upper Siluko</t>
  </si>
  <si>
    <t>Rainoil Uyo - Atiku Abubakar way</t>
  </si>
  <si>
    <t>Rainoil Warri - PTI Road</t>
  </si>
  <si>
    <t>Rainoil Warri - Ugbolokposo</t>
  </si>
  <si>
    <t xml:space="preserve">Rainoil Warri - NPA Road </t>
  </si>
  <si>
    <t>Rainoil Warri - Efurrun/Sapele Road</t>
  </si>
  <si>
    <t>Rainoil Warri - Anerhen Road</t>
  </si>
  <si>
    <t>Rainoil Yenagoa - Isaac Boro Road</t>
  </si>
  <si>
    <t xml:space="preserve">Rainoil Yenagoa - Edepie </t>
  </si>
  <si>
    <t>Rainoil Yola</t>
  </si>
  <si>
    <t>Rainoil Zaki Biam</t>
  </si>
  <si>
    <t>Rainoil Okwe</t>
  </si>
  <si>
    <t>Rainoil Ubiaja</t>
  </si>
  <si>
    <t>Rainoil Ibadan - Adegbayi</t>
  </si>
  <si>
    <t>Rainoil Benin By-pass</t>
  </si>
  <si>
    <t xml:space="preserve">Rainoil Kwale - Utagba Ogbe </t>
  </si>
  <si>
    <t>Rainoil Umunze</t>
  </si>
  <si>
    <t>Rainoil Nkpor</t>
  </si>
  <si>
    <t>Rainoil Umuahia</t>
  </si>
  <si>
    <t>Rainoil Awada-Obosi</t>
  </si>
  <si>
    <t>Rainoil Agbor - 119 Old Asaba Road</t>
  </si>
  <si>
    <t>Rainoil Agbor - Owa Ekei/Alero Road</t>
  </si>
  <si>
    <t>Fynefield Uyo Aka Road</t>
  </si>
  <si>
    <t>Rainoil Jalingo</t>
  </si>
  <si>
    <t>Rainoil Enugu - Nkpokiti</t>
  </si>
  <si>
    <t>Rainoil Koka Junction</t>
  </si>
  <si>
    <t>Rainoil Oleh Ogbemudia Road</t>
  </si>
  <si>
    <t>Fynefield Makurdi</t>
  </si>
  <si>
    <t>Rainoil Auchi - Agenobode</t>
  </si>
  <si>
    <t>Rainoil Anwai Ibori Golf Club</t>
  </si>
  <si>
    <t>Rainoil Ogwashi-Ukwu - Poly Road</t>
  </si>
  <si>
    <t>Rainoil DSC Otokutu</t>
  </si>
  <si>
    <t>Rainoil Oghara - Otefe</t>
  </si>
  <si>
    <t>Rainoil Idumebo - Irrua</t>
  </si>
  <si>
    <t>Rainoil Eku Town</t>
  </si>
  <si>
    <t>Fynefield Maiduguri</t>
  </si>
  <si>
    <t>Rainoil Agbor - Alihamie</t>
  </si>
  <si>
    <t>Rainoil Orerokpo</t>
  </si>
  <si>
    <t>Fynefield Uyo Idoro Road</t>
  </si>
  <si>
    <t>Rainoil Sagamu</t>
  </si>
  <si>
    <t>Rainoil Yenagoa Opolo-Epie</t>
  </si>
  <si>
    <t>Rainoil Nnewi - Otolo</t>
  </si>
  <si>
    <t>Rainoil Okpanam - City Gate</t>
  </si>
  <si>
    <t>Rainoil Irrua - Teaching Hospital</t>
  </si>
  <si>
    <t>Rainoil Udu - Udu Bridge Layout</t>
  </si>
  <si>
    <t>Rainoil Umunede</t>
  </si>
  <si>
    <t>MONTH</t>
  </si>
  <si>
    <t>NO OF STATIONS</t>
  </si>
  <si>
    <t>TOTAL VOLUME (LTRS) AS @ 2025</t>
  </si>
  <si>
    <t>Total Sales (Ltrs) Jan 2025</t>
  </si>
  <si>
    <t>Total Sales (Ltrs) Feb 2025</t>
  </si>
  <si>
    <t>Total Sales (Ltrs) Mar 2025</t>
  </si>
  <si>
    <t>Total Sales (Ltrs) Apr 2025</t>
  </si>
  <si>
    <t>Total Sales (Ltrs) May 2025</t>
  </si>
  <si>
    <t>Total Sales (Ltrs) Jun 2025</t>
  </si>
  <si>
    <t>Total Sales (Ltrs) Jul 2025</t>
  </si>
  <si>
    <t>Total Sales (Ltrs) Aug 2025</t>
  </si>
  <si>
    <t>Total Sales (Ltrs) Sept 2025</t>
  </si>
  <si>
    <t>Total Sales (Ltrs) Oct 2025</t>
  </si>
  <si>
    <t>Total Sales (Ltrs) Nov 2025</t>
  </si>
  <si>
    <t>Total Sales (Ltrs) Dec 2025</t>
  </si>
  <si>
    <t>ANO</t>
  </si>
  <si>
    <t>Rainoil Maraba</t>
  </si>
  <si>
    <t>Rainoil Osubi - Airport Road</t>
  </si>
  <si>
    <t>Rainoil Yenagoa Kpansia</t>
  </si>
  <si>
    <t>Rainoil Ogbomosho</t>
  </si>
  <si>
    <t>Rainoil Ugbolu</t>
  </si>
  <si>
    <t>Rainoil North Bank</t>
  </si>
  <si>
    <t>Rainoil Giwa-Amu</t>
  </si>
  <si>
    <t>Fynefield Abak Town</t>
  </si>
  <si>
    <t>Rainoil Eboh Road</t>
  </si>
  <si>
    <t>Rainoil Patani</t>
  </si>
  <si>
    <t>Rainoil Ughelli Otovwodo</t>
  </si>
  <si>
    <t>Rainoil Aba - Faulks Road</t>
  </si>
  <si>
    <t>Rainoil Uselu Shell</t>
  </si>
  <si>
    <t>Rainoil Ughelli Post Office</t>
  </si>
  <si>
    <t>OVERALL</t>
  </si>
  <si>
    <t>Calabar-PH</t>
  </si>
  <si>
    <t>South-East 2</t>
  </si>
  <si>
    <t>South-West 1</t>
  </si>
  <si>
    <t>Agbor</t>
  </si>
  <si>
    <t>FCT</t>
  </si>
  <si>
    <t>South-West 2</t>
  </si>
  <si>
    <t>Warri</t>
  </si>
  <si>
    <t>Delta</t>
  </si>
  <si>
    <t>Edo North</t>
  </si>
  <si>
    <t>South-East 1</t>
  </si>
  <si>
    <t>North-West</t>
  </si>
  <si>
    <t>Benin</t>
  </si>
  <si>
    <t>Kwale</t>
  </si>
  <si>
    <t>North Central</t>
  </si>
  <si>
    <t>Ikom-Ogoja</t>
  </si>
  <si>
    <t>Mid-West</t>
  </si>
  <si>
    <t>Ozoro</t>
  </si>
  <si>
    <t>Ughelli</t>
  </si>
  <si>
    <t>Yenagoa</t>
  </si>
  <si>
    <t>North East</t>
  </si>
  <si>
    <t>South East 1</t>
  </si>
  <si>
    <t>Area</t>
  </si>
  <si>
    <t xml:space="preserve"> Border Road Ikom</t>
  </si>
  <si>
    <t xml:space="preserve"> Apo Abuja</t>
  </si>
  <si>
    <t xml:space="preserve"> Anwai Road Asaba</t>
  </si>
  <si>
    <t xml:space="preserve"> Expressway Asaba</t>
  </si>
  <si>
    <t xml:space="preserve"> Highway Calabar</t>
  </si>
  <si>
    <t xml:space="preserve"> Nnebisi Road Asaba</t>
  </si>
  <si>
    <t xml:space="preserve"> Goldie Road Calabar</t>
  </si>
  <si>
    <t xml:space="preserve"> Ogoja Road Ikom</t>
  </si>
  <si>
    <t xml:space="preserve"> Odukpani</t>
  </si>
  <si>
    <t xml:space="preserve"> Uyo Aka Road</t>
  </si>
  <si>
    <t xml:space="preserve"> Makurdi</t>
  </si>
  <si>
    <t xml:space="preserve"> Maiduguri</t>
  </si>
  <si>
    <t xml:space="preserve"> Uyo Idoro Road</t>
  </si>
  <si>
    <t xml:space="preserve"> Uyo - Abak Road </t>
  </si>
  <si>
    <t xml:space="preserve"> Abakaliki - Azuiyiokwu </t>
  </si>
  <si>
    <t xml:space="preserve"> Abakaliki - Mile 50 </t>
  </si>
  <si>
    <t xml:space="preserve"> Aba - Abayi-Osisioma</t>
  </si>
  <si>
    <t xml:space="preserve"> Abijo</t>
  </si>
  <si>
    <t xml:space="preserve"> Abraka</t>
  </si>
  <si>
    <t xml:space="preserve"> FCT - Gwarimpa </t>
  </si>
  <si>
    <t xml:space="preserve"> FCT - Karmo </t>
  </si>
  <si>
    <t xml:space="preserve"> Ado-Ekiti - Ikere Road</t>
  </si>
  <si>
    <t xml:space="preserve"> Agbarho - Ohrerhe </t>
  </si>
  <si>
    <t xml:space="preserve"> Agbarho - Ewherhe </t>
  </si>
  <si>
    <t xml:space="preserve"> Agbor - Asaba Road  </t>
  </si>
  <si>
    <t xml:space="preserve"> Agbor - Abraka Road </t>
  </si>
  <si>
    <t xml:space="preserve"> Agbor - Alero Road  </t>
  </si>
  <si>
    <t xml:space="preserve"> Agbor - Owa-Ekei  </t>
  </si>
  <si>
    <t xml:space="preserve"> Anwai</t>
  </si>
  <si>
    <t xml:space="preserve"> Asaba - Asaba/Benin Road </t>
  </si>
  <si>
    <t xml:space="preserve"> Asaba - Okpanam Road </t>
  </si>
  <si>
    <t xml:space="preserve"> Auchi - Igara Road </t>
  </si>
  <si>
    <t xml:space="preserve"> Awka - 279 Zik Avenue </t>
  </si>
  <si>
    <t xml:space="preserve"> Awka - Regina Caeli Road</t>
  </si>
  <si>
    <t xml:space="preserve"> Awka - 55 Zik Avenue</t>
  </si>
  <si>
    <t xml:space="preserve"> Awkuzu </t>
  </si>
  <si>
    <t xml:space="preserve"> Ayobo</t>
  </si>
  <si>
    <t xml:space="preserve"> Kaduna - Barnawa</t>
  </si>
  <si>
    <t xml:space="preserve"> Benin - Benin/Agbor Road</t>
  </si>
  <si>
    <t xml:space="preserve"> Benin - Benin/Auchi Road</t>
  </si>
  <si>
    <t xml:space="preserve"> Bonsac</t>
  </si>
  <si>
    <t xml:space="preserve"> Portharcourt - Borokiri</t>
  </si>
  <si>
    <t xml:space="preserve"> Bukuru Jos</t>
  </si>
  <si>
    <t xml:space="preserve"> Kaduna - Chikun</t>
  </si>
  <si>
    <t xml:space="preserve"> Portharcourt - Choba</t>
  </si>
  <si>
    <t xml:space="preserve"> Udu - Steel Town  </t>
  </si>
  <si>
    <t xml:space="preserve"> Udu - Udu Road </t>
  </si>
  <si>
    <t xml:space="preserve"> FCT - Dutse Alhaji</t>
  </si>
  <si>
    <t xml:space="preserve"> Ebrumede</t>
  </si>
  <si>
    <t xml:space="preserve"> Warri - Effurun GRA</t>
  </si>
  <si>
    <t xml:space="preserve"> Idunmwungha - Egba Road</t>
  </si>
  <si>
    <t xml:space="preserve"> Benin - Ekenwan</t>
  </si>
  <si>
    <t xml:space="preserve"> Eket</t>
  </si>
  <si>
    <t xml:space="preserve"> Ekpoma - Market Road</t>
  </si>
  <si>
    <t xml:space="preserve"> Enugu - Abakpa Nike </t>
  </si>
  <si>
    <t xml:space="preserve"> Ezenei</t>
  </si>
  <si>
    <t xml:space="preserve"> Gboko</t>
  </si>
  <si>
    <t xml:space="preserve"> Gombe - Akko</t>
  </si>
  <si>
    <t xml:space="preserve"> Gombe - Barunde</t>
  </si>
  <si>
    <t xml:space="preserve"> Ibafo</t>
  </si>
  <si>
    <t xml:space="preserve"> Ibusa</t>
  </si>
  <si>
    <t xml:space="preserve"> Igbodo</t>
  </si>
  <si>
    <t xml:space="preserve"> Portharcourt - Igwuruta</t>
  </si>
  <si>
    <t xml:space="preserve"> Ikom - Four Corners </t>
  </si>
  <si>
    <t xml:space="preserve"> Ikom - Calabar Road </t>
  </si>
  <si>
    <t xml:space="preserve"> Ilorin - Majeasurawa </t>
  </si>
  <si>
    <t xml:space="preserve"> Ilorin - Ajase-Ipo Road  </t>
  </si>
  <si>
    <t xml:space="preserve"> Ilorin - Asa Dam Road </t>
  </si>
  <si>
    <t xml:space="preserve"> Ilorin - Sobi Road</t>
  </si>
  <si>
    <t xml:space="preserve"> Ilorin - Airport Road</t>
  </si>
  <si>
    <t xml:space="preserve"> Ipaja</t>
  </si>
  <si>
    <t xml:space="preserve"> Portharcourt - Isiokpo</t>
  </si>
  <si>
    <t xml:space="preserve"> - Issele-Uku</t>
  </si>
  <si>
    <t xml:space="preserve"> Jarret</t>
  </si>
  <si>
    <t xml:space="preserve"> Jeddo</t>
  </si>
  <si>
    <t xml:space="preserve"> Jesse</t>
  </si>
  <si>
    <t xml:space="preserve"> FCT - Kado</t>
  </si>
  <si>
    <t xml:space="preserve"> Kaduna - Kachia Road </t>
  </si>
  <si>
    <t xml:space="preserve"> Kano - Ring Road  </t>
  </si>
  <si>
    <t xml:space="preserve"> Kano - Danbazo Road </t>
  </si>
  <si>
    <t xml:space="preserve"> Keffi</t>
  </si>
  <si>
    <t xml:space="preserve"> Kujama</t>
  </si>
  <si>
    <t xml:space="preserve"> Kwale - Umusadege Road  </t>
  </si>
  <si>
    <t xml:space="preserve"> Kwale - Ogwashi-Ukwu Road </t>
  </si>
  <si>
    <t xml:space="preserve"> Lafia</t>
  </si>
  <si>
    <t xml:space="preserve"> Lekki Scheme 2</t>
  </si>
  <si>
    <t xml:space="preserve"> Lokoja</t>
  </si>
  <si>
    <t xml:space="preserve"> Benin - Lucky Way</t>
  </si>
  <si>
    <t xml:space="preserve"> FCT - Lugbe</t>
  </si>
  <si>
    <t xml:space="preserve"> Makurdi - Atom Kpera </t>
  </si>
  <si>
    <t xml:space="preserve"> - Minna</t>
  </si>
  <si>
    <t xml:space="preserve"> FCT - New Nyanya</t>
  </si>
  <si>
    <t xml:space="preserve"> Nnebisi - 295 Nnebisi Road </t>
  </si>
  <si>
    <t xml:space="preserve"> Nnebisi - 274 Nnebisi Road </t>
  </si>
  <si>
    <t xml:space="preserve"> Nnewi - Oba-Nnewi Road </t>
  </si>
  <si>
    <t xml:space="preserve"> Obiaruku - Novena</t>
  </si>
  <si>
    <t xml:space="preserve"> - Nsukka</t>
  </si>
  <si>
    <t xml:space="preserve"> Obiaruku - Sapele- Agbor New Road</t>
  </si>
  <si>
    <t xml:space="preserve"> Oghara - Ajagbodudu </t>
  </si>
  <si>
    <t xml:space="preserve"> Oghara - Otorho Road </t>
  </si>
  <si>
    <t xml:space="preserve"> Ogidi - Old Enugu-Onitsha Road </t>
  </si>
  <si>
    <t xml:space="preserve"> Ogidi - Ugwu-Nwasike </t>
  </si>
  <si>
    <t xml:space="preserve"> Ogunnu</t>
  </si>
  <si>
    <t xml:space="preserve"> Ogwashi-Ukwu - Agidiahen Quarters</t>
  </si>
  <si>
    <t xml:space="preserve"> Ojodu</t>
  </si>
  <si>
    <t xml:space="preserve"> Oke Aro</t>
  </si>
  <si>
    <t xml:space="preserve"> Okoh</t>
  </si>
  <si>
    <t xml:space="preserve"> Okota</t>
  </si>
  <si>
    <t xml:space="preserve"> Okpanam</t>
  </si>
  <si>
    <t xml:space="preserve"> Oleh</t>
  </si>
  <si>
    <t xml:space="preserve"> Oniru</t>
  </si>
  <si>
    <t xml:space="preserve"> Onitsha - 124 Awka Road </t>
  </si>
  <si>
    <t xml:space="preserve"> Onitsha - Modebe </t>
  </si>
  <si>
    <t xml:space="preserve"> Oshodi</t>
  </si>
  <si>
    <t xml:space="preserve"> Osubi</t>
  </si>
  <si>
    <t xml:space="preserve"> Otukpo</t>
  </si>
  <si>
    <t xml:space="preserve"> Owerri - Orlu Road</t>
  </si>
  <si>
    <t xml:space="preserve"> Ozoro - Kwale/ Ozoro Road </t>
  </si>
  <si>
    <t xml:space="preserve"> Ozoro - Hospital Road </t>
  </si>
  <si>
    <t xml:space="preserve"> Ozoro - Owhelogbo </t>
  </si>
  <si>
    <t xml:space="preserve"> Sakponba - Upper Sakponba </t>
  </si>
  <si>
    <t xml:space="preserve"> Sakponba - Sakponba Road </t>
  </si>
  <si>
    <t xml:space="preserve"> Saniko</t>
  </si>
  <si>
    <t xml:space="preserve"> Sapele - Sapele-Warri Road </t>
  </si>
  <si>
    <t xml:space="preserve"> Sapele - Adeola Road</t>
  </si>
  <si>
    <t xml:space="preserve"> Sapele - Abeke Road </t>
  </si>
  <si>
    <t xml:space="preserve"> Benin - Second East Circular</t>
  </si>
  <si>
    <t xml:space="preserve"> Portharcourt - Station Road</t>
  </si>
  <si>
    <t xml:space="preserve"> Asaba - Summit Junction</t>
  </si>
  <si>
    <t xml:space="preserve"> Ugboko</t>
  </si>
  <si>
    <t xml:space="preserve"> Ughelli - Amekpa</t>
  </si>
  <si>
    <t xml:space="preserve"> Ughelli - Afiesere </t>
  </si>
  <si>
    <t xml:space="preserve"> Ughelli - Ekuigbo</t>
  </si>
  <si>
    <t xml:space="preserve"> Ughelli - Iwhrekpokpor </t>
  </si>
  <si>
    <t xml:space="preserve"> Benin - Upper Mission</t>
  </si>
  <si>
    <t xml:space="preserve"> Benin - Upper Siluko</t>
  </si>
  <si>
    <t xml:space="preserve"> Uyo - Atiku Abubakar way</t>
  </si>
  <si>
    <t xml:space="preserve"> Warri - PTI Road</t>
  </si>
  <si>
    <t xml:space="preserve"> Warri - Ugbolokposo</t>
  </si>
  <si>
    <t xml:space="preserve"> Warri - NPA Road </t>
  </si>
  <si>
    <t xml:space="preserve"> Warri - Efurrun/Sapele Road</t>
  </si>
  <si>
    <t xml:space="preserve"> Warri - Anerhen Road</t>
  </si>
  <si>
    <t xml:space="preserve"> Yenagoa - Isaac Boro Road</t>
  </si>
  <si>
    <t xml:space="preserve"> Yenagoa - Edepie </t>
  </si>
  <si>
    <t xml:space="preserve"> Yola</t>
  </si>
  <si>
    <t xml:space="preserve"> Zaki Biam</t>
  </si>
  <si>
    <t xml:space="preserve"> Okwe</t>
  </si>
  <si>
    <t xml:space="preserve"> Ubiaja</t>
  </si>
  <si>
    <t xml:space="preserve"> Ibadan - Adegbayi</t>
  </si>
  <si>
    <t xml:space="preserve"> Benin By-pass</t>
  </si>
  <si>
    <t xml:space="preserve"> Kwale - Utagba Ogbe </t>
  </si>
  <si>
    <t xml:space="preserve"> Umunze</t>
  </si>
  <si>
    <t xml:space="preserve"> Nkpor</t>
  </si>
  <si>
    <t xml:space="preserve"> Umuahia</t>
  </si>
  <si>
    <t xml:space="preserve"> Awada-Obosi</t>
  </si>
  <si>
    <t xml:space="preserve"> Agbor - 119 Old Asaba Road</t>
  </si>
  <si>
    <t xml:space="preserve"> Agbor - Owa Ekei/Alero Road</t>
  </si>
  <si>
    <t xml:space="preserve"> Jalingo</t>
  </si>
  <si>
    <t xml:space="preserve"> Enugu - Nkpokiti</t>
  </si>
  <si>
    <t xml:space="preserve"> Koka Junction</t>
  </si>
  <si>
    <t xml:space="preserve"> Oleh Ogbemudia Road</t>
  </si>
  <si>
    <t xml:space="preserve"> Auchi - Agenobode</t>
  </si>
  <si>
    <t xml:space="preserve"> Anwai Ibori Golf Club</t>
  </si>
  <si>
    <t xml:space="preserve"> Ogwashi-Ukwu - Poly Road</t>
  </si>
  <si>
    <t xml:space="preserve"> DSC Otokutu</t>
  </si>
  <si>
    <t xml:space="preserve"> Oghara - Otefe</t>
  </si>
  <si>
    <t xml:space="preserve"> Idumebo - Irrua</t>
  </si>
  <si>
    <t xml:space="preserve"> Eku Town</t>
  </si>
  <si>
    <t xml:space="preserve"> Agbor - Alihamie</t>
  </si>
  <si>
    <t xml:space="preserve"> Orerokpo</t>
  </si>
  <si>
    <t xml:space="preserve"> Sagamu</t>
  </si>
  <si>
    <t xml:space="preserve"> Yenagoa Opolo-Epie</t>
  </si>
  <si>
    <t xml:space="preserve"> Nnewi - Otolo</t>
  </si>
  <si>
    <t xml:space="preserve"> Okpanam - City Gate</t>
  </si>
  <si>
    <t xml:space="preserve"> Irrua - Teaching Hospital</t>
  </si>
  <si>
    <t xml:space="preserve"> Udu - Udu Bridge Layout</t>
  </si>
  <si>
    <t xml:space="preserve"> Umunede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</si>
</sst>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orbel"/>
      <family val="2"/>
    </font>
    <font>
      <b/>
      <sz val="11"/>
      <color theme="0"/>
      <name val="Corbel"/>
      <family val="2"/>
    </font>
    <font>
      <sz val="10"/>
      <name val="Arial"/>
      <family val="2"/>
    </font>
    <font>
      <b/>
      <sz val="11"/>
      <color theme="1"/>
      <name val="Corbel"/>
      <family val="2"/>
    </font>
    <font>
      <sz val="11"/>
      <color theme="1"/>
      <name val="Corbel"/>
      <family val="2"/>
    </font>
    <font>
      <b/>
      <sz val="11"/>
      <color theme="2"/>
      <name val="Corbel"/>
      <family val="2"/>
    </font>
    <font>
      <b/>
      <sz val="11"/>
      <color rgb="FF000000"/>
      <name val="Corbe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2" fillId="4" borderId="8" xfId="2" applyNumberFormat="1" applyFont="1" applyFill="1" applyBorder="1" applyAlignment="1">
      <alignment horizontal="center" vertical="center"/>
    </xf>
    <xf numFmtId="165" fontId="2" fillId="5" borderId="11" xfId="2" applyNumberFormat="1" applyFont="1" applyFill="1" applyBorder="1" applyAlignment="1">
      <alignment horizontal="center" vertical="center"/>
    </xf>
    <xf numFmtId="165" fontId="2" fillId="6" borderId="12" xfId="2" applyNumberFormat="1" applyFont="1" applyFill="1" applyBorder="1" applyAlignment="1">
      <alignment horizontal="center" vertical="center"/>
    </xf>
    <xf numFmtId="165" fontId="2" fillId="6" borderId="13" xfId="2" applyNumberFormat="1" applyFont="1" applyFill="1" applyBorder="1" applyAlignment="1">
      <alignment horizontal="center" vertical="center"/>
    </xf>
    <xf numFmtId="165" fontId="2" fillId="4" borderId="14" xfId="2" applyNumberFormat="1" applyFont="1" applyFill="1" applyBorder="1" applyAlignment="1">
      <alignment horizontal="center" vertical="center"/>
    </xf>
    <xf numFmtId="165" fontId="2" fillId="5" borderId="15" xfId="2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17" xfId="0" applyFont="1" applyFill="1" applyBorder="1" applyAlignment="1">
      <alignment vertical="top"/>
    </xf>
    <xf numFmtId="3" fontId="6" fillId="0" borderId="18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top"/>
    </xf>
    <xf numFmtId="0" fontId="2" fillId="2" borderId="20" xfId="0" applyFont="1" applyFill="1" applyBorder="1" applyAlignment="1">
      <alignment vertical="top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vertical="top"/>
    </xf>
    <xf numFmtId="0" fontId="7" fillId="7" borderId="0" xfId="0" applyFont="1" applyFill="1"/>
    <xf numFmtId="0" fontId="6" fillId="0" borderId="0" xfId="0" applyFont="1"/>
    <xf numFmtId="17" fontId="5" fillId="0" borderId="0" xfId="0" applyNumberFormat="1" applyFont="1"/>
    <xf numFmtId="3" fontId="6" fillId="0" borderId="0" xfId="0" applyNumberFormat="1" applyFont="1"/>
    <xf numFmtId="1" fontId="6" fillId="0" borderId="0" xfId="0" applyNumberFormat="1" applyFont="1"/>
    <xf numFmtId="166" fontId="6" fillId="0" borderId="0" xfId="1" applyNumberFormat="1" applyFont="1"/>
    <xf numFmtId="0" fontId="3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5" fontId="2" fillId="4" borderId="13" xfId="2" applyNumberFormat="1" applyFont="1" applyFill="1" applyBorder="1" applyAlignment="1">
      <alignment horizontal="center" vertical="center"/>
    </xf>
    <xf numFmtId="165" fontId="2" fillId="8" borderId="13" xfId="2" applyNumberFormat="1" applyFont="1" applyFill="1" applyBorder="1" applyAlignment="1">
      <alignment horizontal="center" vertical="center"/>
    </xf>
    <xf numFmtId="165" fontId="2" fillId="6" borderId="15" xfId="2" applyNumberFormat="1" applyFont="1" applyFill="1" applyBorder="1" applyAlignment="1">
      <alignment horizontal="center" vertical="center"/>
    </xf>
    <xf numFmtId="165" fontId="2" fillId="4" borderId="26" xfId="2" applyNumberFormat="1" applyFont="1" applyFill="1" applyBorder="1" applyAlignment="1">
      <alignment horizontal="center" vertical="center"/>
    </xf>
    <xf numFmtId="165" fontId="2" fillId="8" borderId="26" xfId="2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18" xfId="0" applyFont="1" applyBorder="1" applyAlignment="1">
      <alignment horizontal="left" vertical="top"/>
    </xf>
    <xf numFmtId="0" fontId="8" fillId="0" borderId="18" xfId="0" applyFont="1" applyBorder="1"/>
    <xf numFmtId="0" fontId="5" fillId="0" borderId="18" xfId="0" applyFont="1" applyBorder="1"/>
    <xf numFmtId="0" fontId="2" fillId="0" borderId="13" xfId="0" applyFont="1" applyBorder="1" applyAlignment="1">
      <alignment vertical="top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vertical="top"/>
    </xf>
    <xf numFmtId="0" fontId="2" fillId="0" borderId="29" xfId="0" applyFont="1" applyBorder="1" applyAlignment="1">
      <alignment horizontal="right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</cellXfs>
  <cellStyles count="3">
    <cellStyle name="Comma" xfId="1" builtinId="3"/>
    <cellStyle name="Comma_Sheet1 2" xfId="2" xr:uid="{7C6061A5-B765-4B07-86A7-AC85D4583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C0E2-7C76-4AE6-9412-CBB4F11EDB29}">
  <dimension ref="A1:BK183"/>
  <sheetViews>
    <sheetView tabSelected="1" workbookViewId="0">
      <selection activeCell="E15" sqref="E15"/>
    </sheetView>
  </sheetViews>
  <sheetFormatPr defaultRowHeight="14.5" x14ac:dyDescent="0.35"/>
  <cols>
    <col min="1" max="1" width="4.08984375" style="24" customWidth="1"/>
    <col min="2" max="2" width="32.54296875" style="24" bestFit="1" customWidth="1"/>
    <col min="3" max="3" width="38.90625" style="24" bestFit="1" customWidth="1"/>
    <col min="4" max="4" width="8.7265625" style="24"/>
    <col min="5" max="5" width="7.453125" style="24" bestFit="1" customWidth="1"/>
    <col min="6" max="6" width="8.7265625" style="24"/>
    <col min="7" max="7" width="16.36328125" style="24" bestFit="1" customWidth="1"/>
    <col min="8" max="8" width="16.453125" style="24" bestFit="1" customWidth="1"/>
    <col min="9" max="11" width="8.7265625" style="24"/>
    <col min="12" max="12" width="16.36328125" style="24" bestFit="1" customWidth="1"/>
    <col min="13" max="13" width="16.453125" style="24" bestFit="1" customWidth="1"/>
    <col min="14" max="16" width="8.7265625" style="24"/>
    <col min="17" max="17" width="16.36328125" style="24" bestFit="1" customWidth="1"/>
    <col min="18" max="18" width="16.453125" style="24" bestFit="1" customWidth="1"/>
    <col min="19" max="21" width="8.7265625" style="24"/>
    <col min="22" max="22" width="16.36328125" style="24" bestFit="1" customWidth="1"/>
    <col min="23" max="23" width="16.453125" style="24" bestFit="1" customWidth="1"/>
    <col min="24" max="26" width="8.7265625" style="24"/>
    <col min="27" max="27" width="16.36328125" style="24" bestFit="1" customWidth="1"/>
    <col min="28" max="28" width="16.453125" style="24" bestFit="1" customWidth="1"/>
    <col min="29" max="31" width="8.7265625" style="24"/>
    <col min="32" max="32" width="16.36328125" style="24" bestFit="1" customWidth="1"/>
    <col min="33" max="33" width="16.453125" style="24" bestFit="1" customWidth="1"/>
    <col min="34" max="36" width="8.7265625" style="24"/>
    <col min="37" max="37" width="16.36328125" style="24" bestFit="1" customWidth="1"/>
    <col min="38" max="38" width="16.453125" style="24" bestFit="1" customWidth="1"/>
    <col min="39" max="41" width="8.7265625" style="24"/>
    <col min="42" max="42" width="16.36328125" style="24" bestFit="1" customWidth="1"/>
    <col min="43" max="43" width="16.453125" style="24" bestFit="1" customWidth="1"/>
    <col min="44" max="46" width="8.7265625" style="24"/>
    <col min="47" max="47" width="16.36328125" style="24" bestFit="1" customWidth="1"/>
    <col min="48" max="48" width="16.453125" style="24" bestFit="1" customWidth="1"/>
    <col min="49" max="51" width="8.7265625" style="24"/>
    <col min="52" max="52" width="16.36328125" style="24" bestFit="1" customWidth="1"/>
    <col min="53" max="53" width="16.453125" style="24" bestFit="1" customWidth="1"/>
    <col min="54" max="56" width="8.7265625" style="24"/>
    <col min="57" max="57" width="16.36328125" style="24" bestFit="1" customWidth="1"/>
    <col min="58" max="58" width="16.453125" style="24" bestFit="1" customWidth="1"/>
    <col min="59" max="61" width="8.7265625" style="24"/>
    <col min="62" max="62" width="16.36328125" style="24" bestFit="1" customWidth="1"/>
    <col min="63" max="63" width="16.453125" style="24" bestFit="1" customWidth="1"/>
    <col min="64" max="16384" width="8.7265625" style="24"/>
  </cols>
  <sheetData>
    <row r="1" spans="1:63" x14ac:dyDescent="0.3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ht="15" thickBot="1" x14ac:dyDescent="0.4">
      <c r="A2" s="1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5" thickBot="1" x14ac:dyDescent="0.4">
      <c r="A3" s="4" t="s">
        <v>2</v>
      </c>
      <c r="B3" s="5" t="s">
        <v>252</v>
      </c>
      <c r="C3" s="5" t="s">
        <v>3</v>
      </c>
      <c r="D3" s="61" t="s">
        <v>4</v>
      </c>
      <c r="E3" s="62"/>
      <c r="F3" s="62"/>
      <c r="G3" s="62"/>
      <c r="H3" s="62"/>
      <c r="I3" s="57" t="s">
        <v>5</v>
      </c>
      <c r="J3" s="58"/>
      <c r="K3" s="59"/>
      <c r="L3" s="59"/>
      <c r="M3" s="60"/>
      <c r="N3" s="57" t="s">
        <v>6</v>
      </c>
      <c r="O3" s="58"/>
      <c r="P3" s="59"/>
      <c r="Q3" s="59"/>
      <c r="R3" s="60"/>
      <c r="S3" s="57" t="s">
        <v>7</v>
      </c>
      <c r="T3" s="58"/>
      <c r="U3" s="59"/>
      <c r="V3" s="59"/>
      <c r="W3" s="60"/>
      <c r="X3" s="57" t="s">
        <v>8</v>
      </c>
      <c r="Y3" s="58"/>
      <c r="Z3" s="59"/>
      <c r="AA3" s="59"/>
      <c r="AB3" s="60"/>
      <c r="AC3" s="57" t="s">
        <v>9</v>
      </c>
      <c r="AD3" s="58"/>
      <c r="AE3" s="59"/>
      <c r="AF3" s="59"/>
      <c r="AG3" s="60"/>
      <c r="AH3" s="57" t="s">
        <v>10</v>
      </c>
      <c r="AI3" s="58"/>
      <c r="AJ3" s="59"/>
      <c r="AK3" s="59"/>
      <c r="AL3" s="60"/>
      <c r="AM3" s="57" t="s">
        <v>11</v>
      </c>
      <c r="AN3" s="58"/>
      <c r="AO3" s="59"/>
      <c r="AP3" s="59"/>
      <c r="AQ3" s="60"/>
      <c r="AR3" s="57" t="s">
        <v>12</v>
      </c>
      <c r="AS3" s="58"/>
      <c r="AT3" s="59"/>
      <c r="AU3" s="59"/>
      <c r="AV3" s="60"/>
      <c r="AW3" s="57" t="s">
        <v>13</v>
      </c>
      <c r="AX3" s="58"/>
      <c r="AY3" s="59"/>
      <c r="AZ3" s="59"/>
      <c r="BA3" s="60"/>
      <c r="BB3" s="57" t="s">
        <v>14</v>
      </c>
      <c r="BC3" s="58"/>
      <c r="BD3" s="59"/>
      <c r="BE3" s="59"/>
      <c r="BF3" s="60"/>
      <c r="BG3" s="57" t="s">
        <v>15</v>
      </c>
      <c r="BH3" s="58"/>
      <c r="BI3" s="59"/>
      <c r="BJ3" s="59"/>
      <c r="BK3" s="60"/>
    </row>
    <row r="4" spans="1:63" ht="15" thickBot="1" x14ac:dyDescent="0.4">
      <c r="A4" s="6"/>
      <c r="B4" s="7"/>
      <c r="C4" s="8"/>
      <c r="D4" s="9" t="s">
        <v>16</v>
      </c>
      <c r="E4" s="10" t="s">
        <v>17</v>
      </c>
      <c r="F4" s="11" t="s">
        <v>18</v>
      </c>
      <c r="G4" s="12" t="s">
        <v>19</v>
      </c>
      <c r="H4" s="12" t="s">
        <v>20</v>
      </c>
      <c r="I4" s="13" t="s">
        <v>16</v>
      </c>
      <c r="J4" s="10" t="s">
        <v>17</v>
      </c>
      <c r="K4" s="11" t="s">
        <v>18</v>
      </c>
      <c r="L4" s="12" t="s">
        <v>19</v>
      </c>
      <c r="M4" s="12" t="s">
        <v>20</v>
      </c>
      <c r="N4" s="9" t="s">
        <v>16</v>
      </c>
      <c r="O4" s="10" t="s">
        <v>17</v>
      </c>
      <c r="P4" s="14" t="s">
        <v>18</v>
      </c>
      <c r="Q4" s="14" t="s">
        <v>19</v>
      </c>
      <c r="R4" s="11" t="s">
        <v>20</v>
      </c>
      <c r="S4" s="9" t="s">
        <v>16</v>
      </c>
      <c r="T4" s="10" t="s">
        <v>17</v>
      </c>
      <c r="U4" s="14" t="s">
        <v>18</v>
      </c>
      <c r="V4" s="14" t="s">
        <v>19</v>
      </c>
      <c r="W4" s="11" t="s">
        <v>20</v>
      </c>
      <c r="X4" s="9" t="s">
        <v>16</v>
      </c>
      <c r="Y4" s="10" t="s">
        <v>17</v>
      </c>
      <c r="Z4" s="14" t="s">
        <v>18</v>
      </c>
      <c r="AA4" s="14" t="s">
        <v>19</v>
      </c>
      <c r="AB4" s="11" t="s">
        <v>20</v>
      </c>
      <c r="AC4" s="9" t="s">
        <v>16</v>
      </c>
      <c r="AD4" s="10" t="s">
        <v>17</v>
      </c>
      <c r="AE4" s="14" t="s">
        <v>18</v>
      </c>
      <c r="AF4" s="14" t="s">
        <v>19</v>
      </c>
      <c r="AG4" s="11" t="s">
        <v>20</v>
      </c>
      <c r="AH4" s="9" t="s">
        <v>16</v>
      </c>
      <c r="AI4" s="10" t="s">
        <v>17</v>
      </c>
      <c r="AJ4" s="14" t="s">
        <v>18</v>
      </c>
      <c r="AK4" s="14" t="s">
        <v>19</v>
      </c>
      <c r="AL4" s="11" t="s">
        <v>20</v>
      </c>
      <c r="AM4" s="9" t="s">
        <v>16</v>
      </c>
      <c r="AN4" s="10" t="s">
        <v>17</v>
      </c>
      <c r="AO4" s="14" t="s">
        <v>18</v>
      </c>
      <c r="AP4" s="14" t="s">
        <v>19</v>
      </c>
      <c r="AQ4" s="11" t="s">
        <v>20</v>
      </c>
      <c r="AR4" s="9" t="s">
        <v>16</v>
      </c>
      <c r="AS4" s="10" t="s">
        <v>17</v>
      </c>
      <c r="AT4" s="14" t="s">
        <v>18</v>
      </c>
      <c r="AU4" s="14" t="s">
        <v>19</v>
      </c>
      <c r="AV4" s="11" t="s">
        <v>20</v>
      </c>
      <c r="AW4" s="9" t="s">
        <v>16</v>
      </c>
      <c r="AX4" s="10" t="s">
        <v>17</v>
      </c>
      <c r="AY4" s="14" t="s">
        <v>18</v>
      </c>
      <c r="AZ4" s="14" t="s">
        <v>19</v>
      </c>
      <c r="BA4" s="11" t="s">
        <v>20</v>
      </c>
      <c r="BB4" s="9" t="s">
        <v>16</v>
      </c>
      <c r="BC4" s="10" t="s">
        <v>17</v>
      </c>
      <c r="BD4" s="14" t="s">
        <v>18</v>
      </c>
      <c r="BE4" s="14" t="s">
        <v>19</v>
      </c>
      <c r="BF4" s="11" t="s">
        <v>20</v>
      </c>
      <c r="BG4" s="9" t="s">
        <v>16</v>
      </c>
      <c r="BH4" s="10" t="s">
        <v>17</v>
      </c>
      <c r="BI4" s="14" t="s">
        <v>18</v>
      </c>
      <c r="BJ4" s="14" t="s">
        <v>19</v>
      </c>
      <c r="BK4" s="11" t="s">
        <v>20</v>
      </c>
    </row>
    <row r="5" spans="1:63" x14ac:dyDescent="0.35">
      <c r="A5" s="15">
        <v>1</v>
      </c>
      <c r="B5" s="41" t="s">
        <v>231</v>
      </c>
      <c r="C5" s="16" t="s">
        <v>266</v>
      </c>
      <c r="D5" s="17">
        <v>270296</v>
      </c>
      <c r="E5" s="17">
        <v>11485</v>
      </c>
      <c r="F5" s="17">
        <v>475</v>
      </c>
      <c r="G5" s="17">
        <v>666.45161290322585</v>
      </c>
      <c r="H5" s="17">
        <v>1091.61290322581</v>
      </c>
      <c r="I5" s="17">
        <v>234352</v>
      </c>
      <c r="J5" s="17">
        <v>11483</v>
      </c>
      <c r="K5" s="17">
        <v>0</v>
      </c>
      <c r="L5" s="17">
        <v>678.21428571428567</v>
      </c>
      <c r="M5" s="17">
        <v>1380.3571428571429</v>
      </c>
      <c r="N5" s="17">
        <v>239839</v>
      </c>
      <c r="O5" s="17">
        <v>19172</v>
      </c>
      <c r="P5" s="17">
        <v>0</v>
      </c>
      <c r="Q5" s="17">
        <v>695</v>
      </c>
      <c r="R5" s="17">
        <v>1607.258064516129</v>
      </c>
      <c r="S5" s="17">
        <v>225443</v>
      </c>
      <c r="T5" s="17">
        <v>18164</v>
      </c>
      <c r="U5" s="17">
        <v>456</v>
      </c>
      <c r="V5" s="17">
        <v>697.83333333333337</v>
      </c>
      <c r="W5" s="17">
        <v>1468.3333333333333</v>
      </c>
      <c r="X5" s="17">
        <v>276542</v>
      </c>
      <c r="Y5" s="17">
        <v>25159</v>
      </c>
      <c r="Z5" s="17">
        <v>4545</v>
      </c>
      <c r="AA5" s="17">
        <v>806.45161290322585</v>
      </c>
      <c r="AB5" s="17">
        <v>1253.5483870967741</v>
      </c>
      <c r="AC5" s="17">
        <v>234508</v>
      </c>
      <c r="AD5" s="17">
        <v>33408</v>
      </c>
      <c r="AE5" s="17">
        <v>2021</v>
      </c>
      <c r="AF5" s="17">
        <v>754.33333333333337</v>
      </c>
      <c r="AG5" s="17">
        <v>1241.3333333333333</v>
      </c>
      <c r="AH5" s="17">
        <v>323863</v>
      </c>
      <c r="AI5" s="17">
        <v>10147</v>
      </c>
      <c r="AJ5" s="17">
        <v>3122</v>
      </c>
      <c r="AK5" s="17">
        <v>762.58064516129036</v>
      </c>
      <c r="AL5" s="17">
        <v>1260</v>
      </c>
      <c r="AM5" s="17">
        <v>348052</v>
      </c>
      <c r="AN5" s="17">
        <v>12780</v>
      </c>
      <c r="AO5" s="17">
        <v>2731</v>
      </c>
      <c r="AP5" s="17">
        <v>849.67741935483866</v>
      </c>
      <c r="AQ5" s="17">
        <v>1260</v>
      </c>
      <c r="AR5" s="17">
        <v>141602</v>
      </c>
      <c r="AS5" s="17">
        <v>9107</v>
      </c>
      <c r="AT5" s="17">
        <v>3307</v>
      </c>
      <c r="AU5" s="17">
        <v>1096</v>
      </c>
      <c r="AV5" s="17">
        <v>1260</v>
      </c>
      <c r="AW5" s="17">
        <v>161719</v>
      </c>
      <c r="AX5" s="17">
        <v>13480</v>
      </c>
      <c r="AY5" s="17">
        <v>4771</v>
      </c>
      <c r="AZ5" s="17">
        <v>1192.258064516129</v>
      </c>
      <c r="BA5" s="17">
        <v>1246.4516129032259</v>
      </c>
      <c r="BB5" s="17">
        <v>174819</v>
      </c>
      <c r="BC5" s="17">
        <v>21325</v>
      </c>
      <c r="BD5" s="17">
        <v>3862</v>
      </c>
      <c r="BE5" s="17">
        <v>1131.1666666666667</v>
      </c>
      <c r="BF5" s="17">
        <v>1200</v>
      </c>
      <c r="BG5" s="17">
        <v>217268</v>
      </c>
      <c r="BH5" s="17">
        <v>24490</v>
      </c>
      <c r="BI5" s="17">
        <v>3820</v>
      </c>
      <c r="BJ5" s="17">
        <v>1072.5806451612902</v>
      </c>
      <c r="BK5" s="17">
        <v>1200</v>
      </c>
    </row>
    <row r="6" spans="1:63" x14ac:dyDescent="0.35">
      <c r="A6" s="18">
        <v>2</v>
      </c>
      <c r="B6" s="41" t="s">
        <v>232</v>
      </c>
      <c r="C6" s="19" t="s">
        <v>267</v>
      </c>
      <c r="D6" s="17">
        <v>152539</v>
      </c>
      <c r="E6" s="17">
        <v>4009</v>
      </c>
      <c r="F6" s="17">
        <v>360</v>
      </c>
      <c r="G6" s="17">
        <v>659.35483870967744</v>
      </c>
      <c r="H6" s="17">
        <v>1080.8064516129032</v>
      </c>
      <c r="I6" s="17">
        <v>138310</v>
      </c>
      <c r="J6" s="17">
        <v>4994</v>
      </c>
      <c r="K6" s="17">
        <v>376</v>
      </c>
      <c r="L6" s="17">
        <v>680.35714285714289</v>
      </c>
      <c r="M6" s="17">
        <v>1387.1428571428571</v>
      </c>
      <c r="N6" s="17">
        <v>143129</v>
      </c>
      <c r="O6" s="17">
        <v>4523</v>
      </c>
      <c r="P6" s="17">
        <v>1008</v>
      </c>
      <c r="Q6" s="17">
        <v>695</v>
      </c>
      <c r="R6" s="17">
        <v>1620.9677419354839</v>
      </c>
      <c r="S6" s="17">
        <v>190219</v>
      </c>
      <c r="T6" s="17">
        <v>4130</v>
      </c>
      <c r="U6" s="17">
        <v>1758</v>
      </c>
      <c r="V6" s="17">
        <v>700.5</v>
      </c>
      <c r="W6" s="17">
        <v>1440</v>
      </c>
      <c r="X6" s="17">
        <v>184337</v>
      </c>
      <c r="Y6" s="17">
        <v>1451</v>
      </c>
      <c r="Z6" s="17">
        <v>416</v>
      </c>
      <c r="AA6" s="17">
        <v>799.67741935483866</v>
      </c>
      <c r="AB6" s="17">
        <v>1254.516129032258</v>
      </c>
      <c r="AC6" s="17">
        <v>134764</v>
      </c>
      <c r="AD6" s="17">
        <v>2387</v>
      </c>
      <c r="AE6" s="17">
        <v>137</v>
      </c>
      <c r="AF6" s="17">
        <v>756.33333333333337</v>
      </c>
      <c r="AG6" s="17">
        <v>1216.3333333333333</v>
      </c>
      <c r="AH6" s="17">
        <v>160630</v>
      </c>
      <c r="AI6" s="17">
        <v>2179</v>
      </c>
      <c r="AJ6" s="17">
        <v>745</v>
      </c>
      <c r="AK6" s="17">
        <v>770.32258064516134</v>
      </c>
      <c r="AL6" s="17">
        <v>1220</v>
      </c>
      <c r="AM6" s="17">
        <v>124381</v>
      </c>
      <c r="AN6" s="17">
        <v>6935</v>
      </c>
      <c r="AO6" s="17">
        <v>2723</v>
      </c>
      <c r="AP6" s="17">
        <v>871.29032258064512</v>
      </c>
      <c r="AQ6" s="17">
        <v>1220</v>
      </c>
      <c r="AR6" s="17">
        <v>119289</v>
      </c>
      <c r="AS6" s="17">
        <v>5324</v>
      </c>
      <c r="AT6" s="17">
        <v>909</v>
      </c>
      <c r="AU6" s="17">
        <v>1186.6666666666667</v>
      </c>
      <c r="AV6" s="17">
        <v>1220</v>
      </c>
      <c r="AW6" s="17">
        <v>168312</v>
      </c>
      <c r="AX6" s="17">
        <v>7430</v>
      </c>
      <c r="AY6" s="17">
        <v>1492</v>
      </c>
      <c r="AZ6" s="17">
        <v>1219.3548387096773</v>
      </c>
      <c r="BA6" s="17">
        <v>1220</v>
      </c>
      <c r="BB6" s="17">
        <v>153093</v>
      </c>
      <c r="BC6" s="17">
        <v>9024</v>
      </c>
      <c r="BD6" s="17">
        <v>403</v>
      </c>
      <c r="BE6" s="17">
        <v>1152.3333333333333</v>
      </c>
      <c r="BF6" s="17">
        <v>1201.6666666666667</v>
      </c>
      <c r="BG6" s="17">
        <v>128274</v>
      </c>
      <c r="BH6" s="17">
        <v>10117</v>
      </c>
      <c r="BI6" s="17">
        <v>429</v>
      </c>
      <c r="BJ6" s="17">
        <v>1086.4516129032259</v>
      </c>
      <c r="BK6" s="17">
        <v>1170</v>
      </c>
    </row>
    <row r="7" spans="1:63" x14ac:dyDescent="0.35">
      <c r="A7" s="18">
        <v>3</v>
      </c>
      <c r="B7" s="41" t="s">
        <v>232</v>
      </c>
      <c r="C7" s="19" t="s">
        <v>268</v>
      </c>
      <c r="D7" s="17">
        <v>233337</v>
      </c>
      <c r="E7" s="17">
        <v>11807</v>
      </c>
      <c r="F7" s="17">
        <v>251</v>
      </c>
      <c r="G7" s="17">
        <v>666.77419354838707</v>
      </c>
      <c r="H7" s="17">
        <v>1080.8064516129032</v>
      </c>
      <c r="I7" s="17">
        <v>247296</v>
      </c>
      <c r="J7" s="17">
        <v>11367</v>
      </c>
      <c r="K7" s="17">
        <v>359</v>
      </c>
      <c r="L7" s="17">
        <v>687.85714285714289</v>
      </c>
      <c r="M7" s="17">
        <v>1408.5714285714287</v>
      </c>
      <c r="N7" s="17">
        <v>286621</v>
      </c>
      <c r="O7" s="17">
        <v>15551</v>
      </c>
      <c r="P7" s="17">
        <v>533</v>
      </c>
      <c r="Q7" s="17">
        <v>695</v>
      </c>
      <c r="R7" s="17">
        <v>1604.8387096774193</v>
      </c>
      <c r="S7" s="17">
        <v>303667</v>
      </c>
      <c r="T7" s="17">
        <v>13280</v>
      </c>
      <c r="U7" s="17">
        <v>712</v>
      </c>
      <c r="V7" s="17">
        <v>700.5</v>
      </c>
      <c r="W7" s="17">
        <v>1440</v>
      </c>
      <c r="X7" s="17">
        <v>143846</v>
      </c>
      <c r="Y7" s="17">
        <v>7433</v>
      </c>
      <c r="Z7" s="17">
        <v>110</v>
      </c>
      <c r="AA7" s="17">
        <v>799.67741935483866</v>
      </c>
      <c r="AB7" s="17">
        <v>1254.516129032258</v>
      </c>
      <c r="AC7" s="17">
        <v>239122</v>
      </c>
      <c r="AD7" s="17">
        <v>12700</v>
      </c>
      <c r="AE7" s="17">
        <v>0</v>
      </c>
      <c r="AF7" s="17">
        <v>756.33333333333337</v>
      </c>
      <c r="AG7" s="17">
        <v>1216.3333333333333</v>
      </c>
      <c r="AH7" s="17">
        <v>242895</v>
      </c>
      <c r="AI7" s="17">
        <v>10912</v>
      </c>
      <c r="AJ7" s="17">
        <v>159</v>
      </c>
      <c r="AK7" s="17">
        <v>770.32258064516134</v>
      </c>
      <c r="AL7" s="17">
        <v>1220</v>
      </c>
      <c r="AM7" s="17">
        <v>95050</v>
      </c>
      <c r="AN7" s="17">
        <v>5467</v>
      </c>
      <c r="AO7" s="17">
        <v>0</v>
      </c>
      <c r="AP7" s="17">
        <v>871.29032258064512</v>
      </c>
      <c r="AQ7" s="17">
        <v>1220</v>
      </c>
      <c r="AR7" s="17">
        <v>122190</v>
      </c>
      <c r="AS7" s="17">
        <v>5032</v>
      </c>
      <c r="AT7" s="17">
        <v>0</v>
      </c>
      <c r="AU7" s="17">
        <v>1186.6666666666667</v>
      </c>
      <c r="AV7" s="17">
        <v>1220</v>
      </c>
      <c r="AW7" s="17">
        <v>249419</v>
      </c>
      <c r="AX7" s="17">
        <v>8550</v>
      </c>
      <c r="AY7" s="17">
        <v>119</v>
      </c>
      <c r="AZ7" s="17">
        <v>1219.3548387096773</v>
      </c>
      <c r="BA7" s="17">
        <v>1220</v>
      </c>
      <c r="BB7" s="17">
        <v>247434</v>
      </c>
      <c r="BC7" s="17">
        <v>10826</v>
      </c>
      <c r="BD7" s="17">
        <v>256</v>
      </c>
      <c r="BE7" s="17">
        <v>1152.3333333333333</v>
      </c>
      <c r="BF7" s="17">
        <v>1201.6666666666667</v>
      </c>
      <c r="BG7" s="17">
        <v>244516</v>
      </c>
      <c r="BH7" s="17">
        <v>13490</v>
      </c>
      <c r="BI7" s="17">
        <v>325</v>
      </c>
      <c r="BJ7" s="17">
        <v>1086.4516129032259</v>
      </c>
      <c r="BK7" s="17">
        <v>1170</v>
      </c>
    </row>
    <row r="8" spans="1:63" x14ac:dyDescent="0.35">
      <c r="A8" s="18">
        <v>4</v>
      </c>
      <c r="B8" s="41" t="s">
        <v>232</v>
      </c>
      <c r="C8" s="19" t="s">
        <v>269</v>
      </c>
      <c r="D8" s="17">
        <v>247810</v>
      </c>
      <c r="E8" s="17">
        <v>16374</v>
      </c>
      <c r="F8" s="17">
        <v>546</v>
      </c>
      <c r="G8" s="17">
        <v>672.58064516129036</v>
      </c>
      <c r="H8" s="17">
        <v>1080.483870967742</v>
      </c>
      <c r="I8" s="17">
        <v>265581</v>
      </c>
      <c r="J8" s="17">
        <v>12448</v>
      </c>
      <c r="K8" s="17">
        <v>1880</v>
      </c>
      <c r="L8" s="17">
        <v>688.57142857142856</v>
      </c>
      <c r="M8" s="17">
        <v>1392.5</v>
      </c>
      <c r="N8" s="17">
        <v>315660</v>
      </c>
      <c r="O8" s="17">
        <v>15303</v>
      </c>
      <c r="P8" s="17">
        <v>416</v>
      </c>
      <c r="Q8" s="17">
        <v>695</v>
      </c>
      <c r="R8" s="17">
        <v>1604.8387096774193</v>
      </c>
      <c r="S8" s="17">
        <v>320551</v>
      </c>
      <c r="T8" s="17">
        <v>14290</v>
      </c>
      <c r="U8" s="17">
        <v>947</v>
      </c>
      <c r="V8" s="17">
        <v>700.5333333333333</v>
      </c>
      <c r="W8" s="17">
        <v>1440</v>
      </c>
      <c r="X8" s="17">
        <v>185741</v>
      </c>
      <c r="Y8" s="17">
        <v>18540</v>
      </c>
      <c r="Z8" s="17">
        <v>567</v>
      </c>
      <c r="AA8" s="17">
        <v>800.9677419354839</v>
      </c>
      <c r="AB8" s="17">
        <v>1264.1935483870968</v>
      </c>
      <c r="AC8" s="17">
        <v>216793</v>
      </c>
      <c r="AD8" s="17">
        <v>13545</v>
      </c>
      <c r="AE8" s="17">
        <v>507</v>
      </c>
      <c r="AF8" s="17">
        <v>762.33333333333337</v>
      </c>
      <c r="AG8" s="17">
        <v>1250.6666666666667</v>
      </c>
      <c r="AH8" s="17">
        <v>284565</v>
      </c>
      <c r="AI8" s="17">
        <v>14189</v>
      </c>
      <c r="AJ8" s="17">
        <v>415</v>
      </c>
      <c r="AK8" s="17">
        <v>780.64516129032256</v>
      </c>
      <c r="AL8" s="17">
        <v>1240</v>
      </c>
      <c r="AM8" s="17">
        <v>132048</v>
      </c>
      <c r="AN8" s="17">
        <v>8861</v>
      </c>
      <c r="AO8" s="17">
        <v>291</v>
      </c>
      <c r="AP8" s="17">
        <v>898.06451612903231</v>
      </c>
      <c r="AQ8" s="17">
        <v>1240</v>
      </c>
      <c r="AR8" s="17">
        <v>141522</v>
      </c>
      <c r="AS8" s="17">
        <v>15680</v>
      </c>
      <c r="AT8" s="17">
        <v>280</v>
      </c>
      <c r="AU8" s="17">
        <v>1171.3333333333333</v>
      </c>
      <c r="AV8" s="17">
        <v>1238.3333333333333</v>
      </c>
      <c r="AW8" s="17">
        <v>160751</v>
      </c>
      <c r="AX8" s="17">
        <v>11384</v>
      </c>
      <c r="AY8" s="17">
        <v>378</v>
      </c>
      <c r="AZ8" s="17">
        <v>1217.741935483871</v>
      </c>
      <c r="BA8" s="17">
        <v>1220</v>
      </c>
      <c r="BB8" s="17">
        <v>150701</v>
      </c>
      <c r="BC8" s="17">
        <v>17316</v>
      </c>
      <c r="BD8" s="17">
        <v>358</v>
      </c>
      <c r="BE8" s="17">
        <v>1134.1666666666667</v>
      </c>
      <c r="BF8" s="17">
        <v>1203</v>
      </c>
      <c r="BG8" s="17">
        <v>161975</v>
      </c>
      <c r="BH8" s="17">
        <v>11660</v>
      </c>
      <c r="BI8" s="17">
        <v>357</v>
      </c>
      <c r="BJ8" s="17">
        <v>1085.1612903225807</v>
      </c>
      <c r="BK8" s="17">
        <v>1190.0645161290322</v>
      </c>
    </row>
    <row r="9" spans="1:63" x14ac:dyDescent="0.35">
      <c r="A9" s="18">
        <v>5</v>
      </c>
      <c r="B9" s="41" t="s">
        <v>233</v>
      </c>
      <c r="C9" s="20" t="s">
        <v>270</v>
      </c>
      <c r="D9" s="17">
        <v>288364</v>
      </c>
      <c r="E9" s="17">
        <v>68637</v>
      </c>
      <c r="F9" s="17">
        <v>1543</v>
      </c>
      <c r="G9" s="17">
        <v>608.87096774193549</v>
      </c>
      <c r="H9" s="17">
        <v>1022.5806451612904</v>
      </c>
      <c r="I9" s="17">
        <v>385050</v>
      </c>
      <c r="J9" s="17">
        <v>83634</v>
      </c>
      <c r="K9" s="17">
        <v>1464</v>
      </c>
      <c r="L9" s="17">
        <v>632.14285714285711</v>
      </c>
      <c r="M9" s="17">
        <v>1384.2857142857142</v>
      </c>
      <c r="N9" s="17">
        <v>399108</v>
      </c>
      <c r="O9" s="17">
        <v>62832</v>
      </c>
      <c r="P9" s="17">
        <v>2042</v>
      </c>
      <c r="Q9" s="17">
        <v>634.67741935483866</v>
      </c>
      <c r="R9" s="17">
        <v>1533.8709677419354</v>
      </c>
      <c r="S9" s="17">
        <v>696738</v>
      </c>
      <c r="T9" s="17">
        <v>89417</v>
      </c>
      <c r="U9" s="17">
        <v>1284</v>
      </c>
      <c r="V9" s="17">
        <v>643.16666666666663</v>
      </c>
      <c r="W9" s="17">
        <v>1403.3333333333333</v>
      </c>
      <c r="X9" s="17">
        <v>417511</v>
      </c>
      <c r="Y9" s="17">
        <v>65273</v>
      </c>
      <c r="Z9" s="17">
        <v>1296</v>
      </c>
      <c r="AA9" s="17">
        <v>681.61290322580646</v>
      </c>
      <c r="AB9" s="17">
        <v>1224.1935483870968</v>
      </c>
      <c r="AC9" s="17">
        <v>418297</v>
      </c>
      <c r="AD9" s="17">
        <v>45606</v>
      </c>
      <c r="AE9" s="17">
        <v>1521</v>
      </c>
      <c r="AF9" s="17">
        <v>625.83333333333337</v>
      </c>
      <c r="AG9" s="17">
        <v>1201.3333333333333</v>
      </c>
      <c r="AH9" s="17">
        <v>444532</v>
      </c>
      <c r="AI9" s="17">
        <v>53165</v>
      </c>
      <c r="AJ9" s="17">
        <v>1423</v>
      </c>
      <c r="AK9" s="17">
        <v>707.41935483870964</v>
      </c>
      <c r="AL9" s="17">
        <v>1220</v>
      </c>
      <c r="AM9" s="17">
        <v>367278</v>
      </c>
      <c r="AN9" s="17">
        <v>42638</v>
      </c>
      <c r="AO9" s="17">
        <v>946</v>
      </c>
      <c r="AP9" s="17">
        <v>791.29032258064512</v>
      </c>
      <c r="AQ9" s="17">
        <v>1220</v>
      </c>
      <c r="AR9" s="17">
        <v>376716</v>
      </c>
      <c r="AS9" s="17">
        <v>43336</v>
      </c>
      <c r="AT9" s="17">
        <v>667</v>
      </c>
      <c r="AU9" s="17">
        <v>955.33333333333337</v>
      </c>
      <c r="AV9" s="17">
        <v>1220</v>
      </c>
      <c r="AW9" s="17">
        <v>383380</v>
      </c>
      <c r="AX9" s="17">
        <v>35100</v>
      </c>
      <c r="AY9" s="17">
        <v>955</v>
      </c>
      <c r="AZ9" s="17">
        <v>1075.483870967742</v>
      </c>
      <c r="BA9" s="17">
        <v>1214.1935483870968</v>
      </c>
      <c r="BB9" s="17">
        <v>263481</v>
      </c>
      <c r="BC9" s="17">
        <v>53875</v>
      </c>
      <c r="BD9" s="17">
        <v>932</v>
      </c>
      <c r="BE9" s="17">
        <v>1091.3333333333333</v>
      </c>
      <c r="BF9" s="17">
        <v>1185</v>
      </c>
      <c r="BG9" s="17">
        <v>209056</v>
      </c>
      <c r="BH9" s="17">
        <v>43820</v>
      </c>
      <c r="BI9" s="17">
        <v>947</v>
      </c>
      <c r="BJ9" s="17">
        <v>1066.1290322580646</v>
      </c>
      <c r="BK9" s="17">
        <v>1160.9677419354839</v>
      </c>
    </row>
    <row r="10" spans="1:63" x14ac:dyDescent="0.35">
      <c r="A10" s="18">
        <v>6</v>
      </c>
      <c r="B10" s="41" t="s">
        <v>234</v>
      </c>
      <c r="C10" s="19" t="s">
        <v>271</v>
      </c>
      <c r="D10" s="17">
        <v>253426</v>
      </c>
      <c r="E10" s="17">
        <v>25373</v>
      </c>
      <c r="F10" s="17">
        <v>0</v>
      </c>
      <c r="G10" s="17">
        <v>652.25806451612902</v>
      </c>
      <c r="H10" s="17">
        <v>1057.9032258064517</v>
      </c>
      <c r="I10" s="17">
        <v>287365</v>
      </c>
      <c r="J10" s="17">
        <v>16394</v>
      </c>
      <c r="K10" s="17">
        <v>0</v>
      </c>
      <c r="L10" s="17">
        <v>669.46428571428567</v>
      </c>
      <c r="M10" s="17">
        <v>1407.1428571428571</v>
      </c>
      <c r="N10" s="17">
        <v>290054</v>
      </c>
      <c r="O10" s="17">
        <v>16456</v>
      </c>
      <c r="P10" s="17">
        <v>0</v>
      </c>
      <c r="Q10" s="17">
        <v>695</v>
      </c>
      <c r="R10" s="17">
        <v>1590.3225806451612</v>
      </c>
      <c r="S10" s="17">
        <v>311000</v>
      </c>
      <c r="T10" s="17">
        <v>34368</v>
      </c>
      <c r="U10" s="17">
        <v>0</v>
      </c>
      <c r="V10" s="17">
        <v>695</v>
      </c>
      <c r="W10" s="17">
        <v>1345.3333333333333</v>
      </c>
      <c r="X10" s="17">
        <v>396845</v>
      </c>
      <c r="Y10" s="17">
        <v>23534</v>
      </c>
      <c r="Z10" s="17">
        <v>0</v>
      </c>
      <c r="AA10" s="17">
        <v>750.32258064516134</v>
      </c>
      <c r="AB10" s="17">
        <v>1194.8387096774193</v>
      </c>
      <c r="AC10" s="17">
        <v>271804</v>
      </c>
      <c r="AD10" s="17">
        <v>22738</v>
      </c>
      <c r="AE10" s="17">
        <v>0</v>
      </c>
      <c r="AF10" s="17">
        <v>741.33333333333337</v>
      </c>
      <c r="AG10" s="17">
        <v>1192.3333333333333</v>
      </c>
      <c r="AH10" s="17">
        <v>320247</v>
      </c>
      <c r="AI10" s="17">
        <v>25281</v>
      </c>
      <c r="AJ10" s="17">
        <v>0</v>
      </c>
      <c r="AK10" s="17">
        <v>760.48387096774195</v>
      </c>
      <c r="AL10" s="17">
        <v>1190</v>
      </c>
      <c r="AM10" s="17">
        <v>205046</v>
      </c>
      <c r="AN10" s="17">
        <v>18125</v>
      </c>
      <c r="AO10" s="17">
        <v>0</v>
      </c>
      <c r="AP10" s="17">
        <v>867.09677419354841</v>
      </c>
      <c r="AQ10" s="17">
        <v>1190.9677419354839</v>
      </c>
      <c r="AR10" s="17">
        <v>259316</v>
      </c>
      <c r="AS10" s="17">
        <v>21680</v>
      </c>
      <c r="AT10" s="17">
        <v>0</v>
      </c>
      <c r="AU10" s="17">
        <v>1117.5</v>
      </c>
      <c r="AV10" s="17">
        <v>1190</v>
      </c>
      <c r="AW10" s="17">
        <v>219119</v>
      </c>
      <c r="AX10" s="17">
        <v>18518</v>
      </c>
      <c r="AY10" s="17">
        <v>0</v>
      </c>
      <c r="AZ10" s="17">
        <v>1162.258064516129</v>
      </c>
      <c r="BA10" s="17">
        <v>1194.8387096774193</v>
      </c>
      <c r="BB10" s="17">
        <v>224318</v>
      </c>
      <c r="BC10" s="17">
        <v>21273</v>
      </c>
      <c r="BD10" s="17">
        <v>0</v>
      </c>
      <c r="BE10" s="17">
        <v>1132.6666666666667</v>
      </c>
      <c r="BF10" s="17">
        <v>1179.3333333333333</v>
      </c>
      <c r="BG10" s="17">
        <v>215180</v>
      </c>
      <c r="BH10" s="17">
        <v>16326</v>
      </c>
      <c r="BI10" s="17">
        <v>0</v>
      </c>
      <c r="BJ10" s="17">
        <v>1084.8387096774193</v>
      </c>
      <c r="BK10" s="17">
        <v>1153.2258064516129</v>
      </c>
    </row>
    <row r="11" spans="1:63" x14ac:dyDescent="0.35">
      <c r="A11" s="18">
        <v>7</v>
      </c>
      <c r="B11" s="41" t="s">
        <v>235</v>
      </c>
      <c r="C11" s="19" t="s">
        <v>272</v>
      </c>
      <c r="D11" s="17">
        <v>549970</v>
      </c>
      <c r="E11" s="17">
        <v>40634</v>
      </c>
      <c r="F11" s="17">
        <v>0</v>
      </c>
      <c r="G11" s="17">
        <v>660</v>
      </c>
      <c r="H11" s="17">
        <v>1075.483870967742</v>
      </c>
      <c r="I11" s="17">
        <v>628075</v>
      </c>
      <c r="J11" s="17">
        <v>54351</v>
      </c>
      <c r="K11" s="17">
        <v>0</v>
      </c>
      <c r="L11" s="17">
        <v>672.85714285714289</v>
      </c>
      <c r="M11" s="17">
        <v>1397.8571428571429</v>
      </c>
      <c r="N11" s="17">
        <v>675603</v>
      </c>
      <c r="O11" s="17">
        <v>68200</v>
      </c>
      <c r="P11" s="17">
        <v>0</v>
      </c>
      <c r="Q11" s="17">
        <v>680</v>
      </c>
      <c r="R11" s="17">
        <v>1594.3548387096773</v>
      </c>
      <c r="S11" s="17">
        <v>740906</v>
      </c>
      <c r="T11" s="17">
        <v>68907</v>
      </c>
      <c r="U11" s="17">
        <v>0</v>
      </c>
      <c r="V11" s="17">
        <v>683.33333333333337</v>
      </c>
      <c r="W11" s="17">
        <v>1389</v>
      </c>
      <c r="X11" s="17">
        <v>754478</v>
      </c>
      <c r="Y11" s="17">
        <v>48566</v>
      </c>
      <c r="Z11" s="17">
        <v>0</v>
      </c>
      <c r="AA11" s="17">
        <v>692.09677419354841</v>
      </c>
      <c r="AB11" s="17">
        <v>1234.0322580645161</v>
      </c>
      <c r="AC11" s="17">
        <v>680504</v>
      </c>
      <c r="AD11" s="17">
        <v>51321</v>
      </c>
      <c r="AE11" s="17">
        <v>0</v>
      </c>
      <c r="AF11" s="17">
        <v>680.66666666666663</v>
      </c>
      <c r="AG11" s="17">
        <v>1210.3333333333333</v>
      </c>
      <c r="AH11" s="17">
        <v>833076</v>
      </c>
      <c r="AI11" s="17">
        <v>35761</v>
      </c>
      <c r="AJ11" s="17">
        <v>0</v>
      </c>
      <c r="AK11" s="17">
        <v>695.09677419354841</v>
      </c>
      <c r="AL11" s="17">
        <v>1220</v>
      </c>
      <c r="AM11" s="17">
        <v>565017</v>
      </c>
      <c r="AN11" s="17">
        <v>30369</v>
      </c>
      <c r="AO11" s="17">
        <v>0</v>
      </c>
      <c r="AP11" s="17">
        <v>703.74193548387098</v>
      </c>
      <c r="AQ11" s="17">
        <v>1220</v>
      </c>
      <c r="AR11" s="17">
        <v>537929</v>
      </c>
      <c r="AS11" s="17">
        <v>31367</v>
      </c>
      <c r="AT11" s="17">
        <v>0</v>
      </c>
      <c r="AU11" s="17">
        <v>979.66666666666663</v>
      </c>
      <c r="AV11" s="17">
        <v>1220</v>
      </c>
      <c r="AW11" s="17">
        <v>652495</v>
      </c>
      <c r="AX11" s="17">
        <v>40325</v>
      </c>
      <c r="AY11" s="17">
        <v>0</v>
      </c>
      <c r="AZ11" s="17">
        <v>1090.6451612903227</v>
      </c>
      <c r="BA11" s="17">
        <v>1220</v>
      </c>
      <c r="BB11" s="17">
        <v>407718</v>
      </c>
      <c r="BC11" s="17">
        <v>36642</v>
      </c>
      <c r="BD11" s="17">
        <v>0</v>
      </c>
      <c r="BE11" s="17">
        <v>1131.1666666666667</v>
      </c>
      <c r="BF11" s="17">
        <v>1195</v>
      </c>
      <c r="BG11" s="17">
        <v>361070</v>
      </c>
      <c r="BH11" s="17">
        <v>26998</v>
      </c>
      <c r="BI11" s="17">
        <v>0</v>
      </c>
      <c r="BJ11" s="17">
        <v>1085.483870967742</v>
      </c>
      <c r="BK11" s="17">
        <v>1190</v>
      </c>
    </row>
    <row r="12" spans="1:63" x14ac:dyDescent="0.35">
      <c r="A12" s="18">
        <v>8</v>
      </c>
      <c r="B12" s="41" t="s">
        <v>235</v>
      </c>
      <c r="C12" s="19" t="s">
        <v>273</v>
      </c>
      <c r="D12" s="17">
        <v>296019</v>
      </c>
      <c r="E12" s="17">
        <v>13335</v>
      </c>
      <c r="F12" s="17">
        <v>0</v>
      </c>
      <c r="G12" s="17">
        <v>660</v>
      </c>
      <c r="H12" s="17">
        <v>1075.483870967742</v>
      </c>
      <c r="I12" s="17">
        <v>318121</v>
      </c>
      <c r="J12" s="17">
        <v>20227</v>
      </c>
      <c r="K12" s="17">
        <v>0</v>
      </c>
      <c r="L12" s="17">
        <v>672.85714285714289</v>
      </c>
      <c r="M12" s="17">
        <v>1401.6071428571429</v>
      </c>
      <c r="N12" s="17">
        <v>397032</v>
      </c>
      <c r="O12" s="17">
        <v>28022</v>
      </c>
      <c r="P12" s="17">
        <v>0</v>
      </c>
      <c r="Q12" s="17">
        <v>680</v>
      </c>
      <c r="R12" s="17">
        <v>1594.3548387096773</v>
      </c>
      <c r="S12" s="17">
        <v>402344</v>
      </c>
      <c r="T12" s="17">
        <v>19251</v>
      </c>
      <c r="U12" s="17">
        <v>0</v>
      </c>
      <c r="V12" s="17">
        <v>683.33333333333337</v>
      </c>
      <c r="W12" s="17">
        <v>1389</v>
      </c>
      <c r="X12" s="17">
        <v>495324</v>
      </c>
      <c r="Y12" s="17">
        <v>21339</v>
      </c>
      <c r="Z12" s="17">
        <v>0</v>
      </c>
      <c r="AA12" s="17">
        <v>692.09677419354841</v>
      </c>
      <c r="AB12" s="17">
        <v>1232.0967741935483</v>
      </c>
      <c r="AC12" s="17">
        <v>351197</v>
      </c>
      <c r="AD12" s="17">
        <v>22584</v>
      </c>
      <c r="AE12" s="17">
        <v>0</v>
      </c>
      <c r="AF12" s="17">
        <v>683.66666666666663</v>
      </c>
      <c r="AG12" s="17">
        <v>1210.3333333333333</v>
      </c>
      <c r="AH12" s="17">
        <v>431477</v>
      </c>
      <c r="AI12" s="17">
        <v>38290</v>
      </c>
      <c r="AJ12" s="17">
        <v>0</v>
      </c>
      <c r="AK12" s="17">
        <v>695.09677419354841</v>
      </c>
      <c r="AL12" s="17">
        <v>1220</v>
      </c>
      <c r="AM12" s="17">
        <v>185441</v>
      </c>
      <c r="AN12" s="17">
        <v>10409</v>
      </c>
      <c r="AO12" s="17">
        <v>0</v>
      </c>
      <c r="AP12" s="17">
        <v>703.74193548387098</v>
      </c>
      <c r="AQ12" s="17">
        <v>1220</v>
      </c>
      <c r="AR12" s="17">
        <v>210166</v>
      </c>
      <c r="AS12" s="17">
        <v>22056</v>
      </c>
      <c r="AT12" s="17">
        <v>0</v>
      </c>
      <c r="AU12" s="17">
        <v>981</v>
      </c>
      <c r="AV12" s="17">
        <v>1220</v>
      </c>
      <c r="AW12" s="17">
        <v>420414</v>
      </c>
      <c r="AX12" s="17">
        <v>15815</v>
      </c>
      <c r="AY12" s="17">
        <v>0</v>
      </c>
      <c r="AZ12" s="17">
        <v>1090.6451612903227</v>
      </c>
      <c r="BA12" s="17">
        <v>1220</v>
      </c>
      <c r="BB12" s="17">
        <v>320518</v>
      </c>
      <c r="BC12" s="17">
        <v>17409</v>
      </c>
      <c r="BD12" s="17">
        <v>0</v>
      </c>
      <c r="BE12" s="17">
        <v>1131.8333333333333</v>
      </c>
      <c r="BF12" s="17">
        <v>1195</v>
      </c>
      <c r="BG12" s="17">
        <v>258921</v>
      </c>
      <c r="BH12" s="17">
        <v>8704</v>
      </c>
      <c r="BI12" s="17">
        <v>0</v>
      </c>
      <c r="BJ12" s="17">
        <v>1086.7741935483871</v>
      </c>
      <c r="BK12" s="17">
        <v>1190</v>
      </c>
    </row>
    <row r="13" spans="1:63" x14ac:dyDescent="0.35">
      <c r="A13" s="18">
        <v>9</v>
      </c>
      <c r="B13" s="41" t="s">
        <v>236</v>
      </c>
      <c r="C13" s="19" t="s">
        <v>274</v>
      </c>
      <c r="D13" s="17">
        <v>158064</v>
      </c>
      <c r="E13" s="17">
        <v>4163</v>
      </c>
      <c r="F13" s="17">
        <v>0</v>
      </c>
      <c r="G13" s="17">
        <v>625</v>
      </c>
      <c r="H13" s="17">
        <v>1057.741935483871</v>
      </c>
      <c r="I13" s="17">
        <v>127613</v>
      </c>
      <c r="J13" s="17">
        <v>8577</v>
      </c>
      <c r="K13" s="17">
        <v>0</v>
      </c>
      <c r="L13" s="17">
        <v>644.64285714285711</v>
      </c>
      <c r="M13" s="17">
        <v>1393.75</v>
      </c>
      <c r="N13" s="17">
        <v>110502</v>
      </c>
      <c r="O13" s="17">
        <v>4834</v>
      </c>
      <c r="P13" s="17">
        <v>0</v>
      </c>
      <c r="Q13" s="17">
        <v>663.87096774193549</v>
      </c>
      <c r="R13" s="17">
        <v>1562.9032258064517</v>
      </c>
      <c r="S13" s="17">
        <v>170677</v>
      </c>
      <c r="T13" s="17">
        <v>6509</v>
      </c>
      <c r="U13" s="17">
        <v>0</v>
      </c>
      <c r="V13" s="17">
        <v>663.33333333333337</v>
      </c>
      <c r="W13" s="17">
        <v>1393.3333333333333</v>
      </c>
      <c r="X13" s="17">
        <v>76069</v>
      </c>
      <c r="Y13" s="17">
        <v>5194</v>
      </c>
      <c r="Z13" s="17">
        <v>0</v>
      </c>
      <c r="AA13" s="17">
        <v>746.12903225806451</v>
      </c>
      <c r="AB13" s="17">
        <v>1228.3870967741937</v>
      </c>
      <c r="AC13" s="17">
        <v>79413</v>
      </c>
      <c r="AD13" s="17">
        <v>2960</v>
      </c>
      <c r="AE13" s="17">
        <v>0</v>
      </c>
      <c r="AF13" s="17">
        <v>670.66666666666663</v>
      </c>
      <c r="AG13" s="17">
        <v>1219.3333333333333</v>
      </c>
      <c r="AH13" s="17">
        <v>232003</v>
      </c>
      <c r="AI13" s="17">
        <v>5424</v>
      </c>
      <c r="AJ13" s="17">
        <v>0</v>
      </c>
      <c r="AK13" s="17">
        <v>734.19354838709683</v>
      </c>
      <c r="AL13" s="17">
        <v>1200</v>
      </c>
      <c r="AM13" s="17">
        <v>102345</v>
      </c>
      <c r="AN13" s="17">
        <v>2610</v>
      </c>
      <c r="AO13" s="17">
        <v>0</v>
      </c>
      <c r="AP13" s="17">
        <v>818.06451612903231</v>
      </c>
      <c r="AQ13" s="17">
        <v>1200</v>
      </c>
      <c r="AR13" s="17">
        <v>151975</v>
      </c>
      <c r="AS13" s="17">
        <v>3020</v>
      </c>
      <c r="AT13" s="17">
        <v>0</v>
      </c>
      <c r="AU13" s="17">
        <v>998.66666666666663</v>
      </c>
      <c r="AV13" s="17">
        <v>1200</v>
      </c>
      <c r="AW13" s="17">
        <v>148017</v>
      </c>
      <c r="AX13" s="17">
        <v>2737</v>
      </c>
      <c r="AY13" s="17">
        <v>0</v>
      </c>
      <c r="AZ13" s="17">
        <v>1088.3870967741937</v>
      </c>
      <c r="BA13" s="17">
        <v>1200</v>
      </c>
      <c r="BB13" s="17">
        <v>79399</v>
      </c>
      <c r="BC13" s="17">
        <v>3026</v>
      </c>
      <c r="BD13" s="17">
        <v>0</v>
      </c>
      <c r="BE13" s="17">
        <v>1090.6666666666667</v>
      </c>
      <c r="BF13" s="17">
        <v>1178.3333333333333</v>
      </c>
      <c r="BG13" s="17">
        <v>72558</v>
      </c>
      <c r="BH13" s="17">
        <v>4096</v>
      </c>
      <c r="BI13" s="17">
        <v>0</v>
      </c>
      <c r="BJ13" s="17">
        <v>1044.516129032258</v>
      </c>
      <c r="BK13" s="17">
        <v>1150</v>
      </c>
    </row>
    <row r="14" spans="1:63" x14ac:dyDescent="0.35">
      <c r="A14" s="18">
        <v>10</v>
      </c>
      <c r="B14" s="41" t="s">
        <v>237</v>
      </c>
      <c r="C14" s="19" t="s">
        <v>275</v>
      </c>
      <c r="D14" s="17">
        <v>282728</v>
      </c>
      <c r="E14" s="17">
        <v>7871</v>
      </c>
      <c r="F14" s="17">
        <v>362</v>
      </c>
      <c r="G14" s="17">
        <v>650.48387096774195</v>
      </c>
      <c r="H14" s="17">
        <v>1053.7096774193549</v>
      </c>
      <c r="I14" s="17">
        <v>275307</v>
      </c>
      <c r="J14" s="17">
        <v>14417</v>
      </c>
      <c r="K14" s="17">
        <v>274</v>
      </c>
      <c r="L14" s="17">
        <v>668.75</v>
      </c>
      <c r="M14" s="17">
        <v>1372.5</v>
      </c>
      <c r="N14" s="17">
        <v>248905</v>
      </c>
      <c r="O14" s="17">
        <v>14158</v>
      </c>
      <c r="P14" s="17">
        <v>83</v>
      </c>
      <c r="Q14" s="17">
        <v>695</v>
      </c>
      <c r="R14" s="17">
        <v>1590.3225806451612</v>
      </c>
      <c r="S14" s="17">
        <v>262811</v>
      </c>
      <c r="T14" s="17">
        <v>48969</v>
      </c>
      <c r="U14" s="17">
        <v>0</v>
      </c>
      <c r="V14" s="17">
        <v>695</v>
      </c>
      <c r="W14" s="17">
        <v>1353.6666666666667</v>
      </c>
      <c r="X14" s="17">
        <v>264549</v>
      </c>
      <c r="Y14" s="17">
        <v>18683</v>
      </c>
      <c r="Z14" s="17">
        <v>0</v>
      </c>
      <c r="AA14" s="17">
        <v>742.58064516129036</v>
      </c>
      <c r="AB14" s="17">
        <v>1194.8387096774193</v>
      </c>
      <c r="AC14" s="17">
        <v>227898</v>
      </c>
      <c r="AD14" s="17">
        <v>10069</v>
      </c>
      <c r="AE14" s="17">
        <v>0</v>
      </c>
      <c r="AF14" s="17">
        <v>721</v>
      </c>
      <c r="AG14" s="17">
        <v>1201.3333333333333</v>
      </c>
      <c r="AH14" s="17">
        <v>252946</v>
      </c>
      <c r="AI14" s="17">
        <v>6289</v>
      </c>
      <c r="AJ14" s="17">
        <v>0</v>
      </c>
      <c r="AK14" s="17">
        <v>749.51612903225805</v>
      </c>
      <c r="AL14" s="17">
        <v>1220</v>
      </c>
      <c r="AM14" s="17">
        <v>168446</v>
      </c>
      <c r="AN14" s="17">
        <v>5746</v>
      </c>
      <c r="AO14" s="17">
        <v>0</v>
      </c>
      <c r="AP14" s="17">
        <v>850</v>
      </c>
      <c r="AQ14" s="17">
        <v>1220</v>
      </c>
      <c r="AR14" s="17">
        <v>201027</v>
      </c>
      <c r="AS14" s="17">
        <v>4536</v>
      </c>
      <c r="AT14" s="17">
        <v>0</v>
      </c>
      <c r="AU14" s="17">
        <v>1105.3333333333333</v>
      </c>
      <c r="AV14" s="17">
        <v>1220</v>
      </c>
      <c r="AW14" s="17">
        <v>185205</v>
      </c>
      <c r="AX14" s="17">
        <v>4317</v>
      </c>
      <c r="AY14" s="17">
        <v>0</v>
      </c>
      <c r="AZ14" s="17">
        <v>1150.6451612903227</v>
      </c>
      <c r="BA14" s="17">
        <v>1211.2903225806451</v>
      </c>
      <c r="BB14" s="17">
        <v>138382</v>
      </c>
      <c r="BC14" s="17">
        <v>14035</v>
      </c>
      <c r="BD14" s="17">
        <v>0</v>
      </c>
      <c r="BE14" s="17">
        <v>1138.3333333333333</v>
      </c>
      <c r="BF14" s="17">
        <v>1179.3333333333333</v>
      </c>
      <c r="BG14" s="17">
        <v>142184</v>
      </c>
      <c r="BH14" s="17">
        <v>17068</v>
      </c>
      <c r="BI14" s="17">
        <v>0</v>
      </c>
      <c r="BJ14" s="17">
        <v>1073.8709677419354</v>
      </c>
      <c r="BK14" s="17">
        <v>1153.2258064516129</v>
      </c>
    </row>
    <row r="15" spans="1:63" x14ac:dyDescent="0.35">
      <c r="A15" s="18">
        <v>11</v>
      </c>
      <c r="B15" s="41" t="s">
        <v>237</v>
      </c>
      <c r="C15" s="19" t="s">
        <v>276</v>
      </c>
      <c r="D15" s="17">
        <v>212457</v>
      </c>
      <c r="E15" s="17">
        <v>9281</v>
      </c>
      <c r="F15" s="17">
        <v>0</v>
      </c>
      <c r="G15" s="17">
        <v>650.48387096774195</v>
      </c>
      <c r="H15" s="17">
        <v>1053.7096774193549</v>
      </c>
      <c r="I15" s="17">
        <v>188130</v>
      </c>
      <c r="J15" s="17">
        <v>7997</v>
      </c>
      <c r="K15" s="17">
        <v>0</v>
      </c>
      <c r="L15" s="17">
        <v>668.75</v>
      </c>
      <c r="M15" s="17">
        <v>1385</v>
      </c>
      <c r="N15" s="17">
        <v>209388</v>
      </c>
      <c r="O15" s="17">
        <v>10045</v>
      </c>
      <c r="P15" s="17">
        <v>0</v>
      </c>
      <c r="Q15" s="17">
        <v>695</v>
      </c>
      <c r="R15" s="17">
        <v>1590.3225806451612</v>
      </c>
      <c r="S15" s="17">
        <v>234918</v>
      </c>
      <c r="T15" s="17">
        <v>12715</v>
      </c>
      <c r="U15" s="17">
        <v>0</v>
      </c>
      <c r="V15" s="17">
        <v>695</v>
      </c>
      <c r="W15" s="17">
        <v>1353.6666666666667</v>
      </c>
      <c r="X15" s="17">
        <v>232921</v>
      </c>
      <c r="Y15" s="17">
        <v>8912</v>
      </c>
      <c r="Z15" s="17">
        <v>0</v>
      </c>
      <c r="AA15" s="17">
        <v>742.58064516129036</v>
      </c>
      <c r="AB15" s="17">
        <v>1197.4193548387098</v>
      </c>
      <c r="AC15" s="17">
        <v>228757</v>
      </c>
      <c r="AD15" s="17">
        <v>8454</v>
      </c>
      <c r="AE15" s="17">
        <v>0</v>
      </c>
      <c r="AF15" s="17">
        <v>721.66666666666663</v>
      </c>
      <c r="AG15" s="17">
        <v>1201.3333333333333</v>
      </c>
      <c r="AH15" s="17">
        <v>259902</v>
      </c>
      <c r="AI15" s="17">
        <v>4944</v>
      </c>
      <c r="AJ15" s="17">
        <v>0</v>
      </c>
      <c r="AK15" s="17">
        <v>749.51612903225805</v>
      </c>
      <c r="AL15" s="17">
        <v>1219.3548387096773</v>
      </c>
      <c r="AM15" s="17">
        <v>133957</v>
      </c>
      <c r="AN15" s="17">
        <v>5289</v>
      </c>
      <c r="AO15" s="17">
        <v>0</v>
      </c>
      <c r="AP15" s="17">
        <v>850</v>
      </c>
      <c r="AQ15" s="17">
        <v>1220</v>
      </c>
      <c r="AR15" s="17">
        <v>182008</v>
      </c>
      <c r="AS15" s="17">
        <v>18001</v>
      </c>
      <c r="AT15" s="17">
        <v>0</v>
      </c>
      <c r="AU15" s="17">
        <v>1106.8333333333333</v>
      </c>
      <c r="AV15" s="17">
        <v>1220</v>
      </c>
      <c r="AW15" s="17">
        <v>235130</v>
      </c>
      <c r="AX15" s="17">
        <v>6214</v>
      </c>
      <c r="AY15" s="17">
        <v>0</v>
      </c>
      <c r="AZ15" s="17">
        <v>1150.6451612903227</v>
      </c>
      <c r="BA15" s="17">
        <v>1211.2903225806451</v>
      </c>
      <c r="BB15" s="17">
        <v>219252</v>
      </c>
      <c r="BC15" s="17">
        <v>6748</v>
      </c>
      <c r="BD15" s="17">
        <v>0</v>
      </c>
      <c r="BE15" s="17">
        <v>1138.3333333333333</v>
      </c>
      <c r="BF15" s="17">
        <v>1179.3333333333333</v>
      </c>
      <c r="BG15" s="17">
        <v>208163</v>
      </c>
      <c r="BH15" s="17">
        <v>9841</v>
      </c>
      <c r="BI15" s="17">
        <v>0</v>
      </c>
      <c r="BJ15" s="17">
        <v>1081.6129032258063</v>
      </c>
      <c r="BK15" s="17">
        <v>1153.2258064516129</v>
      </c>
    </row>
    <row r="16" spans="1:63" x14ac:dyDescent="0.35">
      <c r="A16" s="18">
        <v>12</v>
      </c>
      <c r="B16" s="41" t="s">
        <v>234</v>
      </c>
      <c r="C16" s="20" t="s">
        <v>277</v>
      </c>
      <c r="D16" s="17">
        <v>396944</v>
      </c>
      <c r="E16" s="17">
        <v>73915</v>
      </c>
      <c r="F16" s="17">
        <v>0</v>
      </c>
      <c r="G16" s="17">
        <v>656.29032258064512</v>
      </c>
      <c r="H16" s="17">
        <v>1057.9032258064517</v>
      </c>
      <c r="I16" s="17">
        <v>385575</v>
      </c>
      <c r="J16" s="17">
        <v>73622</v>
      </c>
      <c r="K16" s="17">
        <v>0</v>
      </c>
      <c r="L16" s="17">
        <v>670.17857142857144</v>
      </c>
      <c r="M16" s="17">
        <v>1406.4285714285713</v>
      </c>
      <c r="N16" s="17">
        <v>396199</v>
      </c>
      <c r="O16" s="17">
        <v>56825</v>
      </c>
      <c r="P16" s="17">
        <v>8</v>
      </c>
      <c r="Q16" s="17">
        <v>695</v>
      </c>
      <c r="R16" s="17">
        <v>1590.3225806451612</v>
      </c>
      <c r="S16" s="17">
        <v>376272</v>
      </c>
      <c r="T16" s="17">
        <v>82028</v>
      </c>
      <c r="U16" s="17">
        <v>7</v>
      </c>
      <c r="V16" s="17">
        <v>693.5</v>
      </c>
      <c r="W16" s="17">
        <v>1353.6666666666667</v>
      </c>
      <c r="X16" s="17">
        <v>387872</v>
      </c>
      <c r="Y16" s="17">
        <v>81793</v>
      </c>
      <c r="Z16" s="17">
        <v>0</v>
      </c>
      <c r="AA16" s="17">
        <v>741.61290322580646</v>
      </c>
      <c r="AB16" s="17">
        <v>1197.4193548387098</v>
      </c>
      <c r="AC16" s="17">
        <v>309969</v>
      </c>
      <c r="AD16" s="17">
        <v>80931</v>
      </c>
      <c r="AE16" s="17">
        <v>0</v>
      </c>
      <c r="AF16" s="17">
        <v>732.33333333333337</v>
      </c>
      <c r="AG16" s="17">
        <v>1182.3333333333333</v>
      </c>
      <c r="AH16" s="17">
        <v>375359</v>
      </c>
      <c r="AI16" s="17">
        <v>69998</v>
      </c>
      <c r="AJ16" s="17">
        <v>0</v>
      </c>
      <c r="AK16" s="17">
        <v>761.77419354838707</v>
      </c>
      <c r="AL16" s="17">
        <v>1190</v>
      </c>
      <c r="AM16" s="17">
        <v>280321</v>
      </c>
      <c r="AN16" s="17">
        <v>68473</v>
      </c>
      <c r="AO16" s="17">
        <v>0</v>
      </c>
      <c r="AP16" s="17">
        <v>867.09677419354841</v>
      </c>
      <c r="AQ16" s="17">
        <v>1190</v>
      </c>
      <c r="AR16" s="17">
        <v>247611</v>
      </c>
      <c r="AS16" s="17">
        <v>68853</v>
      </c>
      <c r="AT16" s="17">
        <v>0</v>
      </c>
      <c r="AU16" s="17">
        <v>1117.5</v>
      </c>
      <c r="AV16" s="17">
        <v>1190</v>
      </c>
      <c r="AW16" s="17">
        <v>276939</v>
      </c>
      <c r="AX16" s="17">
        <v>45772</v>
      </c>
      <c r="AY16" s="17">
        <v>0</v>
      </c>
      <c r="AZ16" s="17">
        <v>1161.6129032258063</v>
      </c>
      <c r="BA16" s="17">
        <v>1194.8387096774193</v>
      </c>
      <c r="BB16" s="17">
        <v>280986</v>
      </c>
      <c r="BC16" s="17">
        <v>52022</v>
      </c>
      <c r="BD16" s="17">
        <v>252</v>
      </c>
      <c r="BE16" s="17">
        <v>1132.6666666666667</v>
      </c>
      <c r="BF16" s="17">
        <v>1179.3333333333333</v>
      </c>
      <c r="BG16" s="17">
        <v>280570</v>
      </c>
      <c r="BH16" s="17">
        <v>53484</v>
      </c>
      <c r="BI16" s="17">
        <v>615</v>
      </c>
      <c r="BJ16" s="17">
        <v>1088.0645161290322</v>
      </c>
      <c r="BK16" s="17">
        <v>1153.2258064516129</v>
      </c>
    </row>
    <row r="17" spans="1:63" x14ac:dyDescent="0.35">
      <c r="A17" s="18">
        <v>13</v>
      </c>
      <c r="B17" s="41" t="s">
        <v>234</v>
      </c>
      <c r="C17" s="20" t="s">
        <v>278</v>
      </c>
      <c r="D17" s="17">
        <v>269229</v>
      </c>
      <c r="E17" s="17">
        <v>77107</v>
      </c>
      <c r="F17" s="17">
        <v>0</v>
      </c>
      <c r="G17" s="17">
        <v>656.29032258064512</v>
      </c>
      <c r="H17" s="17">
        <v>1057.9032258064517</v>
      </c>
      <c r="I17" s="17">
        <v>274982</v>
      </c>
      <c r="J17" s="17">
        <v>68693</v>
      </c>
      <c r="K17" s="17">
        <v>0</v>
      </c>
      <c r="L17" s="17">
        <v>670.17857142857144</v>
      </c>
      <c r="M17" s="17">
        <v>1406.4285714285713</v>
      </c>
      <c r="N17" s="17">
        <v>249394</v>
      </c>
      <c r="O17" s="17">
        <v>71653</v>
      </c>
      <c r="P17" s="17">
        <v>0</v>
      </c>
      <c r="Q17" s="17">
        <v>695</v>
      </c>
      <c r="R17" s="17">
        <v>1590.3225806451612</v>
      </c>
      <c r="S17" s="17">
        <v>290318</v>
      </c>
      <c r="T17" s="17">
        <v>70938</v>
      </c>
      <c r="U17" s="17">
        <v>0</v>
      </c>
      <c r="V17" s="17">
        <v>695</v>
      </c>
      <c r="W17" s="17">
        <v>1353.6666666666667</v>
      </c>
      <c r="X17" s="17">
        <v>258413</v>
      </c>
      <c r="Y17" s="17">
        <v>60193</v>
      </c>
      <c r="Z17" s="17">
        <v>0</v>
      </c>
      <c r="AA17" s="17">
        <v>740.64516129032256</v>
      </c>
      <c r="AB17" s="17">
        <v>1197.4193548387098</v>
      </c>
      <c r="AC17" s="17">
        <v>260675</v>
      </c>
      <c r="AD17" s="17">
        <v>51587</v>
      </c>
      <c r="AE17" s="17">
        <v>0</v>
      </c>
      <c r="AF17" s="17">
        <v>732.33333333333337</v>
      </c>
      <c r="AG17" s="17">
        <v>1182.3333333333333</v>
      </c>
      <c r="AH17" s="17">
        <v>262653</v>
      </c>
      <c r="AI17" s="17">
        <v>50796</v>
      </c>
      <c r="AJ17" s="17">
        <v>0</v>
      </c>
      <c r="AK17" s="17">
        <v>761.77419354838707</v>
      </c>
      <c r="AL17" s="17">
        <v>1190</v>
      </c>
      <c r="AM17" s="17">
        <v>152688</v>
      </c>
      <c r="AN17" s="17">
        <v>47718</v>
      </c>
      <c r="AO17" s="17">
        <v>0</v>
      </c>
      <c r="AP17" s="17">
        <v>867.09677419354841</v>
      </c>
      <c r="AQ17" s="17">
        <v>1190</v>
      </c>
      <c r="AR17" s="17">
        <v>198560</v>
      </c>
      <c r="AS17" s="17">
        <v>56116</v>
      </c>
      <c r="AT17" s="17">
        <v>0</v>
      </c>
      <c r="AU17" s="17">
        <v>1117.5</v>
      </c>
      <c r="AV17" s="17">
        <v>1190</v>
      </c>
      <c r="AW17" s="17">
        <v>240559</v>
      </c>
      <c r="AX17" s="17">
        <v>58541</v>
      </c>
      <c r="AY17" s="17">
        <v>0</v>
      </c>
      <c r="AZ17" s="17">
        <v>1161.6129032258063</v>
      </c>
      <c r="BA17" s="17">
        <v>1194.8387096774193</v>
      </c>
      <c r="BB17" s="17">
        <v>233769</v>
      </c>
      <c r="BC17" s="17">
        <v>76162</v>
      </c>
      <c r="BD17" s="17">
        <v>0</v>
      </c>
      <c r="BE17" s="17">
        <v>1132.6666666666667</v>
      </c>
      <c r="BF17" s="17">
        <v>1179.3333333333333</v>
      </c>
      <c r="BG17" s="17">
        <v>224399</v>
      </c>
      <c r="BH17" s="17">
        <v>22538</v>
      </c>
      <c r="BI17" s="17">
        <v>93</v>
      </c>
      <c r="BJ17" s="17">
        <v>1087.4193548387098</v>
      </c>
      <c r="BK17" s="17">
        <v>1153.2258064516129</v>
      </c>
    </row>
    <row r="18" spans="1:63" x14ac:dyDescent="0.35">
      <c r="A18" s="18">
        <v>14</v>
      </c>
      <c r="B18" s="41" t="s">
        <v>234</v>
      </c>
      <c r="C18" s="19" t="s">
        <v>279</v>
      </c>
      <c r="D18" s="17">
        <v>242418</v>
      </c>
      <c r="E18" s="17">
        <v>25492</v>
      </c>
      <c r="F18" s="17">
        <v>0</v>
      </c>
      <c r="G18" s="17">
        <v>656.29032258064512</v>
      </c>
      <c r="H18" s="17">
        <v>1057.9032258064517</v>
      </c>
      <c r="I18" s="17">
        <v>223851</v>
      </c>
      <c r="J18" s="17">
        <v>21774</v>
      </c>
      <c r="K18" s="17">
        <v>0</v>
      </c>
      <c r="L18" s="17">
        <v>670.17857142857144</v>
      </c>
      <c r="M18" s="17">
        <v>1406.4285714285713</v>
      </c>
      <c r="N18" s="17">
        <v>262966</v>
      </c>
      <c r="O18" s="17">
        <v>25457</v>
      </c>
      <c r="P18" s="17">
        <v>0</v>
      </c>
      <c r="Q18" s="17">
        <v>695</v>
      </c>
      <c r="R18" s="17">
        <v>1590.3225806451612</v>
      </c>
      <c r="S18" s="17">
        <v>259929</v>
      </c>
      <c r="T18" s="17">
        <v>33930</v>
      </c>
      <c r="U18" s="17">
        <v>0</v>
      </c>
      <c r="V18" s="17">
        <v>695</v>
      </c>
      <c r="W18" s="17">
        <v>1353.6666666666667</v>
      </c>
      <c r="X18" s="17">
        <v>273427</v>
      </c>
      <c r="Y18" s="17">
        <v>29916</v>
      </c>
      <c r="Z18" s="17">
        <v>0</v>
      </c>
      <c r="AA18" s="17">
        <v>741.61290322580646</v>
      </c>
      <c r="AB18" s="17">
        <v>1197.4193548387098</v>
      </c>
      <c r="AC18" s="17">
        <v>279336</v>
      </c>
      <c r="AD18" s="17">
        <v>29528</v>
      </c>
      <c r="AE18" s="17">
        <v>0</v>
      </c>
      <c r="AF18" s="17">
        <v>732.33333333333337</v>
      </c>
      <c r="AG18" s="17">
        <v>1182.3333333333333</v>
      </c>
      <c r="AH18" s="17">
        <v>276607</v>
      </c>
      <c r="AI18" s="17">
        <v>25789</v>
      </c>
      <c r="AJ18" s="17">
        <v>0</v>
      </c>
      <c r="AK18" s="17">
        <v>761.77419354838707</v>
      </c>
      <c r="AL18" s="17">
        <v>1190</v>
      </c>
      <c r="AM18" s="17">
        <v>138634</v>
      </c>
      <c r="AN18" s="17">
        <v>24273</v>
      </c>
      <c r="AO18" s="17">
        <v>0</v>
      </c>
      <c r="AP18" s="17">
        <v>867.09677419354841</v>
      </c>
      <c r="AQ18" s="17">
        <v>1190</v>
      </c>
      <c r="AR18" s="17">
        <v>218694</v>
      </c>
      <c r="AS18" s="17">
        <v>30284</v>
      </c>
      <c r="AT18" s="17">
        <v>0</v>
      </c>
      <c r="AU18" s="17">
        <v>1117.5</v>
      </c>
      <c r="AV18" s="17">
        <v>1190</v>
      </c>
      <c r="AW18" s="17">
        <v>243298</v>
      </c>
      <c r="AX18" s="17">
        <v>36444</v>
      </c>
      <c r="AY18" s="17">
        <v>0</v>
      </c>
      <c r="AZ18" s="17">
        <v>1161.6129032258063</v>
      </c>
      <c r="BA18" s="17">
        <v>1194.8387096774193</v>
      </c>
      <c r="BB18" s="17">
        <v>251532</v>
      </c>
      <c r="BC18" s="17">
        <v>37647</v>
      </c>
      <c r="BD18" s="17">
        <v>0</v>
      </c>
      <c r="BE18" s="17">
        <v>1132.6666666666667</v>
      </c>
      <c r="BF18" s="17">
        <v>1179.3333333333333</v>
      </c>
      <c r="BG18" s="17">
        <v>233950</v>
      </c>
      <c r="BH18" s="17">
        <v>22023</v>
      </c>
      <c r="BI18" s="17">
        <v>0</v>
      </c>
      <c r="BJ18" s="17">
        <v>1088.0645161290322</v>
      </c>
      <c r="BK18" s="17">
        <v>1153.2258064516129</v>
      </c>
    </row>
    <row r="19" spans="1:63" x14ac:dyDescent="0.35">
      <c r="A19" s="18">
        <v>15</v>
      </c>
      <c r="B19" s="41" t="s">
        <v>234</v>
      </c>
      <c r="C19" s="19" t="s">
        <v>280</v>
      </c>
      <c r="D19" s="17">
        <v>418462</v>
      </c>
      <c r="E19" s="17">
        <v>72116</v>
      </c>
      <c r="F19" s="17">
        <v>0</v>
      </c>
      <c r="G19" s="17">
        <v>656.29032258064512</v>
      </c>
      <c r="H19" s="17">
        <v>1057.741935483871</v>
      </c>
      <c r="I19" s="17">
        <v>423329</v>
      </c>
      <c r="J19" s="17">
        <v>47444</v>
      </c>
      <c r="K19" s="17">
        <v>0</v>
      </c>
      <c r="L19" s="17">
        <v>670.17857142857144</v>
      </c>
      <c r="M19" s="17">
        <v>1407.1428571428571</v>
      </c>
      <c r="N19" s="17">
        <v>443501</v>
      </c>
      <c r="O19" s="17">
        <v>62164</v>
      </c>
      <c r="P19" s="17">
        <v>0</v>
      </c>
      <c r="Q19" s="17">
        <v>695</v>
      </c>
      <c r="R19" s="17">
        <v>1590.3225806451612</v>
      </c>
      <c r="S19" s="17">
        <v>447707</v>
      </c>
      <c r="T19" s="17">
        <v>102358</v>
      </c>
      <c r="U19" s="17">
        <v>0</v>
      </c>
      <c r="V19" s="17">
        <v>695</v>
      </c>
      <c r="W19" s="17">
        <v>1353.6666666666667</v>
      </c>
      <c r="X19" s="17">
        <v>363324</v>
      </c>
      <c r="Y19" s="17">
        <v>47369</v>
      </c>
      <c r="Z19" s="17">
        <v>0</v>
      </c>
      <c r="AA19" s="17">
        <v>741.61290322580646</v>
      </c>
      <c r="AB19" s="17">
        <v>1194.8387096774193</v>
      </c>
      <c r="AC19" s="17">
        <v>347638</v>
      </c>
      <c r="AD19" s="17">
        <v>29842</v>
      </c>
      <c r="AE19" s="17">
        <v>0</v>
      </c>
      <c r="AF19" s="17">
        <v>732.33333333333337</v>
      </c>
      <c r="AG19" s="17">
        <v>1182.3333333333333</v>
      </c>
      <c r="AH19" s="17">
        <v>337536</v>
      </c>
      <c r="AI19" s="17">
        <v>40005</v>
      </c>
      <c r="AJ19" s="17">
        <v>0</v>
      </c>
      <c r="AK19" s="17">
        <v>761.77419354838707</v>
      </c>
      <c r="AL19" s="17">
        <v>1190</v>
      </c>
      <c r="AM19" s="17">
        <v>244189</v>
      </c>
      <c r="AN19" s="17">
        <v>25218</v>
      </c>
      <c r="AO19" s="17">
        <v>0</v>
      </c>
      <c r="AP19" s="17">
        <v>867.09677419354841</v>
      </c>
      <c r="AQ19" s="17">
        <v>1190</v>
      </c>
      <c r="AR19" s="17">
        <v>288779</v>
      </c>
      <c r="AS19" s="17">
        <v>51290</v>
      </c>
      <c r="AT19" s="17">
        <v>0</v>
      </c>
      <c r="AU19" s="17">
        <v>1117.5</v>
      </c>
      <c r="AV19" s="17">
        <v>1190</v>
      </c>
      <c r="AW19" s="17">
        <v>314994</v>
      </c>
      <c r="AX19" s="17">
        <v>28802</v>
      </c>
      <c r="AY19" s="17">
        <v>0</v>
      </c>
      <c r="AZ19" s="17">
        <v>1161.6129032258063</v>
      </c>
      <c r="BA19" s="17">
        <v>1194.8387096774193</v>
      </c>
      <c r="BB19" s="17">
        <v>325514</v>
      </c>
      <c r="BC19" s="17">
        <v>33564</v>
      </c>
      <c r="BD19" s="17">
        <v>0</v>
      </c>
      <c r="BE19" s="17">
        <v>1132.6666666666667</v>
      </c>
      <c r="BF19" s="17">
        <v>1179.3333333333333</v>
      </c>
      <c r="BG19" s="17">
        <v>295172</v>
      </c>
      <c r="BH19" s="17">
        <v>31522</v>
      </c>
      <c r="BI19" s="17">
        <v>0</v>
      </c>
      <c r="BJ19" s="17">
        <v>1087.4193548387098</v>
      </c>
      <c r="BK19" s="17">
        <v>1153.2258064516129</v>
      </c>
    </row>
    <row r="20" spans="1:63" x14ac:dyDescent="0.35">
      <c r="A20" s="18">
        <v>16</v>
      </c>
      <c r="B20" s="41" t="s">
        <v>238</v>
      </c>
      <c r="C20" s="20" t="s">
        <v>281</v>
      </c>
      <c r="D20" s="17">
        <v>256295</v>
      </c>
      <c r="E20" s="17">
        <v>46262</v>
      </c>
      <c r="F20" s="17">
        <v>1100</v>
      </c>
      <c r="G20" s="17">
        <v>656.29032258064512</v>
      </c>
      <c r="H20" s="17">
        <v>1065.8064516129032</v>
      </c>
      <c r="I20" s="17">
        <v>258449</v>
      </c>
      <c r="J20" s="17">
        <v>44267</v>
      </c>
      <c r="K20" s="17">
        <v>0</v>
      </c>
      <c r="L20" s="17">
        <v>669.46428571428567</v>
      </c>
      <c r="M20" s="17">
        <v>1406.4285714285713</v>
      </c>
      <c r="N20" s="17">
        <v>283258</v>
      </c>
      <c r="O20" s="17">
        <v>46792</v>
      </c>
      <c r="P20" s="17">
        <v>0</v>
      </c>
      <c r="Q20" s="17">
        <v>695</v>
      </c>
      <c r="R20" s="17">
        <v>1591.9354838709678</v>
      </c>
      <c r="S20" s="17">
        <v>303571</v>
      </c>
      <c r="T20" s="17">
        <v>55567</v>
      </c>
      <c r="U20" s="17">
        <v>0</v>
      </c>
      <c r="V20" s="17">
        <v>695</v>
      </c>
      <c r="W20" s="17">
        <v>1353.6666666666667</v>
      </c>
      <c r="X20" s="17">
        <v>296061</v>
      </c>
      <c r="Y20" s="17">
        <v>50341</v>
      </c>
      <c r="Z20" s="17">
        <v>0</v>
      </c>
      <c r="AA20" s="17">
        <v>741.61290322580646</v>
      </c>
      <c r="AB20" s="17">
        <v>1197.4193548387098</v>
      </c>
      <c r="AC20" s="17">
        <v>234130</v>
      </c>
      <c r="AD20" s="17">
        <v>44626</v>
      </c>
      <c r="AE20" s="17">
        <v>0</v>
      </c>
      <c r="AF20" s="17">
        <v>731.66666666666663</v>
      </c>
      <c r="AG20" s="17">
        <v>1182.3333333333333</v>
      </c>
      <c r="AH20" s="17">
        <v>247317</v>
      </c>
      <c r="AI20" s="17">
        <v>28934</v>
      </c>
      <c r="AJ20" s="17">
        <v>0</v>
      </c>
      <c r="AK20" s="17">
        <v>747.58064516129036</v>
      </c>
      <c r="AL20" s="17">
        <v>1199.0322580645161</v>
      </c>
      <c r="AM20" s="17">
        <v>164989</v>
      </c>
      <c r="AN20" s="17">
        <v>26930</v>
      </c>
      <c r="AO20" s="17">
        <v>0</v>
      </c>
      <c r="AP20" s="17">
        <v>837.41935483870964</v>
      </c>
      <c r="AQ20" s="17">
        <v>1200</v>
      </c>
      <c r="AR20" s="17">
        <v>207535</v>
      </c>
      <c r="AS20" s="17">
        <v>28882</v>
      </c>
      <c r="AT20" s="17">
        <v>0</v>
      </c>
      <c r="AU20" s="17">
        <v>1106.8333333333333</v>
      </c>
      <c r="AV20" s="17">
        <v>1199.6666666666667</v>
      </c>
      <c r="AW20" s="17">
        <v>193980</v>
      </c>
      <c r="AX20" s="17">
        <v>31461</v>
      </c>
      <c r="AY20" s="17">
        <v>0</v>
      </c>
      <c r="AZ20" s="17">
        <v>1161.6129032258063</v>
      </c>
      <c r="BA20" s="17">
        <v>1196.7741935483871</v>
      </c>
      <c r="BB20" s="17">
        <v>198680</v>
      </c>
      <c r="BC20" s="17">
        <v>31617</v>
      </c>
      <c r="BD20" s="17">
        <v>0</v>
      </c>
      <c r="BE20" s="17">
        <v>1132.6666666666667</v>
      </c>
      <c r="BF20" s="17">
        <v>1179.3333333333333</v>
      </c>
      <c r="BG20" s="17">
        <v>192276</v>
      </c>
      <c r="BH20" s="17">
        <v>45008</v>
      </c>
      <c r="BI20" s="17">
        <v>0</v>
      </c>
      <c r="BJ20" s="17">
        <v>1090.3225806451612</v>
      </c>
      <c r="BK20" s="17">
        <v>1153.2258064516129</v>
      </c>
    </row>
    <row r="21" spans="1:63" x14ac:dyDescent="0.35">
      <c r="A21" s="18">
        <v>17</v>
      </c>
      <c r="B21" s="41" t="s">
        <v>238</v>
      </c>
      <c r="C21" s="21" t="s">
        <v>282</v>
      </c>
      <c r="D21" s="17">
        <v>473835</v>
      </c>
      <c r="E21" s="17">
        <v>82328</v>
      </c>
      <c r="F21" s="17">
        <v>0</v>
      </c>
      <c r="G21" s="17">
        <v>650.64516129032256</v>
      </c>
      <c r="H21" s="17">
        <v>1045.483870967742</v>
      </c>
      <c r="I21" s="17">
        <v>314628</v>
      </c>
      <c r="J21" s="17">
        <v>95612</v>
      </c>
      <c r="K21" s="17">
        <v>0</v>
      </c>
      <c r="L21" s="17">
        <v>666.42857142857144</v>
      </c>
      <c r="M21" s="17">
        <v>1395.3571428571429</v>
      </c>
      <c r="N21" s="17">
        <v>418262</v>
      </c>
      <c r="O21" s="17">
        <v>80577</v>
      </c>
      <c r="P21" s="17">
        <v>0</v>
      </c>
      <c r="Q21" s="17">
        <v>680</v>
      </c>
      <c r="R21" s="17">
        <v>1562.9032258064517</v>
      </c>
      <c r="S21" s="17">
        <v>486016</v>
      </c>
      <c r="T21" s="17">
        <v>103169</v>
      </c>
      <c r="U21" s="17">
        <v>0</v>
      </c>
      <c r="V21" s="17">
        <v>680</v>
      </c>
      <c r="W21" s="17">
        <v>1339.3333333333333</v>
      </c>
      <c r="X21" s="17">
        <v>449100</v>
      </c>
      <c r="Y21" s="17">
        <v>101647</v>
      </c>
      <c r="Z21" s="17">
        <v>0</v>
      </c>
      <c r="AA21" s="17">
        <v>718.38709677419354</v>
      </c>
      <c r="AB21" s="17">
        <v>1188.7096774193549</v>
      </c>
      <c r="AC21" s="17">
        <v>389692</v>
      </c>
      <c r="AD21" s="17">
        <v>109535</v>
      </c>
      <c r="AE21" s="17">
        <v>0</v>
      </c>
      <c r="AF21" s="17">
        <v>722.33333333333337</v>
      </c>
      <c r="AG21" s="17">
        <v>1182.3333333333333</v>
      </c>
      <c r="AH21" s="17">
        <v>417559</v>
      </c>
      <c r="AI21" s="17">
        <v>80922</v>
      </c>
      <c r="AJ21" s="17">
        <v>0</v>
      </c>
      <c r="AK21" s="17">
        <v>745.9677419354839</v>
      </c>
      <c r="AL21" s="17">
        <v>1199.0322580645161</v>
      </c>
      <c r="AM21" s="17">
        <v>349774</v>
      </c>
      <c r="AN21" s="17">
        <v>71815</v>
      </c>
      <c r="AO21" s="17">
        <v>0</v>
      </c>
      <c r="AP21" s="17">
        <v>826.45161290322585</v>
      </c>
      <c r="AQ21" s="17">
        <v>1200</v>
      </c>
      <c r="AR21" s="17">
        <v>497506</v>
      </c>
      <c r="AS21" s="17">
        <v>83661</v>
      </c>
      <c r="AT21" s="17">
        <v>0</v>
      </c>
      <c r="AU21" s="17">
        <v>1048.8333333333333</v>
      </c>
      <c r="AV21" s="17">
        <v>1200</v>
      </c>
      <c r="AW21" s="17">
        <v>346613</v>
      </c>
      <c r="AX21" s="17">
        <v>85153</v>
      </c>
      <c r="AY21" s="17">
        <v>0</v>
      </c>
      <c r="AZ21" s="17">
        <v>1145.483870967742</v>
      </c>
      <c r="BA21" s="17">
        <v>1187.741935483871</v>
      </c>
      <c r="BB21" s="17">
        <v>263661</v>
      </c>
      <c r="BC21" s="17">
        <v>113557</v>
      </c>
      <c r="BD21" s="17">
        <v>0</v>
      </c>
      <c r="BE21" s="17">
        <v>1127.3333333333333</v>
      </c>
      <c r="BF21" s="17">
        <v>1160.6666666666667</v>
      </c>
      <c r="BG21" s="17">
        <v>450994</v>
      </c>
      <c r="BH21" s="17">
        <v>106405</v>
      </c>
      <c r="BI21" s="17">
        <v>0</v>
      </c>
      <c r="BJ21" s="17">
        <v>1081.2903225806451</v>
      </c>
      <c r="BK21" s="17">
        <v>1150</v>
      </c>
    </row>
    <row r="22" spans="1:63" x14ac:dyDescent="0.35">
      <c r="A22" s="18">
        <v>18</v>
      </c>
      <c r="B22" s="41" t="s">
        <v>238</v>
      </c>
      <c r="C22" s="21" t="s">
        <v>283</v>
      </c>
      <c r="D22" s="17">
        <v>426926</v>
      </c>
      <c r="E22" s="17">
        <v>45161</v>
      </c>
      <c r="F22" s="17">
        <v>3024</v>
      </c>
      <c r="G22" s="17">
        <v>656.29032258064512</v>
      </c>
      <c r="H22" s="17">
        <v>1065.8064516129032</v>
      </c>
      <c r="I22" s="17">
        <v>443161</v>
      </c>
      <c r="J22" s="17">
        <v>61776</v>
      </c>
      <c r="K22" s="17">
        <v>1400</v>
      </c>
      <c r="L22" s="17">
        <v>669.46428571428567</v>
      </c>
      <c r="M22" s="17">
        <v>1406.4285714285713</v>
      </c>
      <c r="N22" s="17">
        <v>460977</v>
      </c>
      <c r="O22" s="17">
        <v>51907</v>
      </c>
      <c r="P22" s="17">
        <v>2159</v>
      </c>
      <c r="Q22" s="17">
        <v>695</v>
      </c>
      <c r="R22" s="17">
        <v>1590.3225806451612</v>
      </c>
      <c r="S22" s="17">
        <v>465879</v>
      </c>
      <c r="T22" s="17">
        <v>58068</v>
      </c>
      <c r="U22" s="17">
        <v>1722</v>
      </c>
      <c r="V22" s="17">
        <v>695</v>
      </c>
      <c r="W22" s="17">
        <v>1353.6666666666667</v>
      </c>
      <c r="X22" s="17">
        <v>366099</v>
      </c>
      <c r="Y22" s="17">
        <v>38438</v>
      </c>
      <c r="Z22" s="17">
        <v>1041</v>
      </c>
      <c r="AA22" s="17">
        <v>741.61290322580646</v>
      </c>
      <c r="AB22" s="17">
        <v>1197.4193548387098</v>
      </c>
      <c r="AC22" s="17">
        <v>411608</v>
      </c>
      <c r="AD22" s="17">
        <v>37221</v>
      </c>
      <c r="AE22" s="17">
        <v>1351</v>
      </c>
      <c r="AF22" s="17">
        <v>731.66666666666663</v>
      </c>
      <c r="AG22" s="17">
        <v>1182.3333333333333</v>
      </c>
      <c r="AH22" s="17">
        <v>426427</v>
      </c>
      <c r="AI22" s="17">
        <v>29854</v>
      </c>
      <c r="AJ22" s="17">
        <v>2651</v>
      </c>
      <c r="AK22" s="17">
        <v>748.87096774193549</v>
      </c>
      <c r="AL22" s="17">
        <v>1199.0322580645161</v>
      </c>
      <c r="AM22" s="17">
        <v>318248</v>
      </c>
      <c r="AN22" s="17">
        <v>16957</v>
      </c>
      <c r="AO22" s="17">
        <v>2549</v>
      </c>
      <c r="AP22" s="17">
        <v>836.77419354838707</v>
      </c>
      <c r="AQ22" s="17">
        <v>1200</v>
      </c>
      <c r="AR22" s="17">
        <v>372797</v>
      </c>
      <c r="AS22" s="17">
        <v>22189</v>
      </c>
      <c r="AT22" s="17">
        <v>2619</v>
      </c>
      <c r="AU22" s="17">
        <v>1106.8333333333333</v>
      </c>
      <c r="AV22" s="17">
        <v>1200</v>
      </c>
      <c r="AW22" s="17">
        <v>425323</v>
      </c>
      <c r="AX22" s="17">
        <v>33016</v>
      </c>
      <c r="AY22" s="17">
        <v>3635</v>
      </c>
      <c r="AZ22" s="17">
        <v>1161.6129032258063</v>
      </c>
      <c r="BA22" s="17">
        <v>1196.7741935483871</v>
      </c>
      <c r="BB22" s="17">
        <v>418084</v>
      </c>
      <c r="BC22" s="17">
        <v>34550</v>
      </c>
      <c r="BD22" s="17">
        <v>614</v>
      </c>
      <c r="BE22" s="17">
        <v>1132.6666666666667</v>
      </c>
      <c r="BF22" s="17">
        <v>1179.3333333333333</v>
      </c>
      <c r="BG22" s="17">
        <v>405538</v>
      </c>
      <c r="BH22" s="17">
        <v>37698</v>
      </c>
      <c r="BI22" s="17">
        <v>0</v>
      </c>
      <c r="BJ22" s="17">
        <v>1090.6451612903227</v>
      </c>
      <c r="BK22" s="17">
        <v>1153.2258064516129</v>
      </c>
    </row>
    <row r="23" spans="1:63" x14ac:dyDescent="0.35">
      <c r="A23" s="18">
        <v>19</v>
      </c>
      <c r="B23" s="41" t="s">
        <v>239</v>
      </c>
      <c r="C23" s="19" t="s">
        <v>284</v>
      </c>
      <c r="D23" s="17">
        <v>274516</v>
      </c>
      <c r="E23" s="17">
        <v>88799</v>
      </c>
      <c r="F23" s="17">
        <v>5719</v>
      </c>
      <c r="G23" s="17">
        <v>660</v>
      </c>
      <c r="H23" s="17">
        <v>1062.5806451612902</v>
      </c>
      <c r="I23" s="17">
        <v>347923</v>
      </c>
      <c r="J23" s="17">
        <v>47330</v>
      </c>
      <c r="K23" s="17">
        <v>38</v>
      </c>
      <c r="L23" s="17">
        <v>670.17857142857144</v>
      </c>
      <c r="M23" s="17">
        <v>1408.5714285714287</v>
      </c>
      <c r="N23" s="17">
        <v>266611</v>
      </c>
      <c r="O23" s="17">
        <v>47199</v>
      </c>
      <c r="P23" s="17">
        <v>0</v>
      </c>
      <c r="Q23" s="17">
        <v>696.35483870967744</v>
      </c>
      <c r="R23" s="17">
        <v>1590.3225806451612</v>
      </c>
      <c r="S23" s="17">
        <v>303005</v>
      </c>
      <c r="T23" s="17">
        <v>39561</v>
      </c>
      <c r="U23" s="17">
        <v>0</v>
      </c>
      <c r="V23" s="17">
        <v>699.36666666666667</v>
      </c>
      <c r="W23" s="17">
        <v>1362</v>
      </c>
      <c r="X23" s="17">
        <v>177042</v>
      </c>
      <c r="Y23" s="17">
        <v>35860</v>
      </c>
      <c r="Z23" s="17">
        <v>0</v>
      </c>
      <c r="AA23" s="17">
        <v>782.90322580645159</v>
      </c>
      <c r="AB23" s="17">
        <v>1214.516129032258</v>
      </c>
      <c r="AC23" s="17">
        <v>242398</v>
      </c>
      <c r="AD23" s="17">
        <v>64549</v>
      </c>
      <c r="AE23" s="17">
        <v>0</v>
      </c>
      <c r="AF23" s="17">
        <v>752.66666666666663</v>
      </c>
      <c r="AG23" s="17">
        <v>1189.3333333333333</v>
      </c>
      <c r="AH23" s="17">
        <v>449067</v>
      </c>
      <c r="AI23" s="17">
        <v>86265</v>
      </c>
      <c r="AJ23" s="17">
        <v>0</v>
      </c>
      <c r="AK23" s="17">
        <v>751.45161290322585</v>
      </c>
      <c r="AL23" s="17">
        <v>1208.0645161290322</v>
      </c>
      <c r="AM23" s="17">
        <v>156709</v>
      </c>
      <c r="AN23" s="17">
        <v>27006</v>
      </c>
      <c r="AO23" s="17">
        <v>0</v>
      </c>
      <c r="AP23" s="17">
        <v>846.61290322580646</v>
      </c>
      <c r="AQ23" s="17">
        <v>1230</v>
      </c>
      <c r="AR23" s="17">
        <v>157864</v>
      </c>
      <c r="AS23" s="17">
        <v>24614</v>
      </c>
      <c r="AT23" s="17">
        <v>0</v>
      </c>
      <c r="AU23" s="17">
        <v>1109.5</v>
      </c>
      <c r="AV23" s="17">
        <v>1230</v>
      </c>
      <c r="AW23" s="17">
        <v>339236</v>
      </c>
      <c r="AX23" s="17">
        <v>33976</v>
      </c>
      <c r="AY23" s="17">
        <v>0</v>
      </c>
      <c r="AZ23" s="17">
        <v>1179.6774193548388</v>
      </c>
      <c r="BA23" s="17">
        <v>1218.3870967741937</v>
      </c>
      <c r="BB23" s="17">
        <v>228405</v>
      </c>
      <c r="BC23" s="17">
        <v>60162</v>
      </c>
      <c r="BD23" s="17">
        <v>0</v>
      </c>
      <c r="BE23" s="17">
        <v>1138</v>
      </c>
      <c r="BF23" s="17">
        <v>1168.6666666666667</v>
      </c>
      <c r="BG23" s="17">
        <v>227712</v>
      </c>
      <c r="BH23" s="17">
        <v>39415</v>
      </c>
      <c r="BI23" s="17">
        <v>0</v>
      </c>
      <c r="BJ23" s="17">
        <v>1084.516129032258</v>
      </c>
      <c r="BK23" s="17">
        <v>1150</v>
      </c>
    </row>
    <row r="24" spans="1:63" x14ac:dyDescent="0.35">
      <c r="A24" s="18">
        <v>20</v>
      </c>
      <c r="B24" s="41" t="s">
        <v>240</v>
      </c>
      <c r="C24" s="19" t="s">
        <v>285</v>
      </c>
      <c r="D24" s="17">
        <v>250367</v>
      </c>
      <c r="E24" s="17">
        <v>25483</v>
      </c>
      <c r="F24" s="17">
        <v>0</v>
      </c>
      <c r="G24" s="17">
        <v>666.77419354838707</v>
      </c>
      <c r="H24" s="17">
        <v>1080.8064516129032</v>
      </c>
      <c r="I24" s="17">
        <v>229145</v>
      </c>
      <c r="J24" s="17">
        <v>15944</v>
      </c>
      <c r="K24" s="17">
        <v>0</v>
      </c>
      <c r="L24" s="17">
        <v>682.14285714285711</v>
      </c>
      <c r="M24" s="17">
        <v>1392.5</v>
      </c>
      <c r="N24" s="17">
        <v>302816</v>
      </c>
      <c r="O24" s="17">
        <v>17257</v>
      </c>
      <c r="P24" s="17">
        <v>0</v>
      </c>
      <c r="Q24" s="17">
        <v>695</v>
      </c>
      <c r="R24" s="17">
        <v>1604.8387096774193</v>
      </c>
      <c r="S24" s="17">
        <v>236176</v>
      </c>
      <c r="T24" s="17">
        <v>26532</v>
      </c>
      <c r="U24" s="17">
        <v>0</v>
      </c>
      <c r="V24" s="17">
        <v>700.5</v>
      </c>
      <c r="W24" s="17">
        <v>1440</v>
      </c>
      <c r="X24" s="17">
        <v>185806</v>
      </c>
      <c r="Y24" s="17">
        <v>27946</v>
      </c>
      <c r="Z24" s="17">
        <v>0</v>
      </c>
      <c r="AA24" s="17">
        <v>799.67741935483866</v>
      </c>
      <c r="AB24" s="17">
        <v>1254.516129032258</v>
      </c>
      <c r="AC24" s="17">
        <v>185166</v>
      </c>
      <c r="AD24" s="17">
        <v>23967</v>
      </c>
      <c r="AE24" s="17">
        <v>0</v>
      </c>
      <c r="AF24" s="17">
        <v>757.33333333333337</v>
      </c>
      <c r="AG24" s="17">
        <v>1251.3333333333333</v>
      </c>
      <c r="AH24" s="17">
        <v>229240</v>
      </c>
      <c r="AI24" s="17">
        <v>13690</v>
      </c>
      <c r="AJ24" s="17">
        <v>0</v>
      </c>
      <c r="AK24" s="17">
        <v>775.16129032258061</v>
      </c>
      <c r="AL24" s="17">
        <v>1262.258064516129</v>
      </c>
      <c r="AM24" s="17">
        <v>108352</v>
      </c>
      <c r="AN24" s="17">
        <v>14703</v>
      </c>
      <c r="AO24" s="17">
        <v>0</v>
      </c>
      <c r="AP24" s="17">
        <v>883.22580645161293</v>
      </c>
      <c r="AQ24" s="17">
        <v>1249.0322580645161</v>
      </c>
      <c r="AR24" s="17">
        <v>138257</v>
      </c>
      <c r="AS24" s="17">
        <v>17844</v>
      </c>
      <c r="AT24" s="17">
        <v>0</v>
      </c>
      <c r="AU24" s="17">
        <v>1144.3333333333333</v>
      </c>
      <c r="AV24" s="17">
        <v>1250</v>
      </c>
      <c r="AW24" s="17">
        <v>183101</v>
      </c>
      <c r="AX24" s="17">
        <v>31896</v>
      </c>
      <c r="AY24" s="17">
        <v>0</v>
      </c>
      <c r="AZ24" s="17">
        <v>1219.3548387096773</v>
      </c>
      <c r="BA24" s="17">
        <v>1241.2903225806451</v>
      </c>
      <c r="BB24" s="17">
        <v>196049</v>
      </c>
      <c r="BC24" s="17">
        <v>31915</v>
      </c>
      <c r="BD24" s="17">
        <v>0</v>
      </c>
      <c r="BE24" s="17">
        <v>1156.6666666666667</v>
      </c>
      <c r="BF24" s="17">
        <v>1212.6666666666667</v>
      </c>
      <c r="BG24" s="17">
        <v>197171</v>
      </c>
      <c r="BH24" s="17">
        <v>32183</v>
      </c>
      <c r="BI24" s="17">
        <v>0</v>
      </c>
      <c r="BJ24" s="17">
        <v>1095.483870967742</v>
      </c>
      <c r="BK24" s="17">
        <v>1200</v>
      </c>
    </row>
    <row r="25" spans="1:63" x14ac:dyDescent="0.35">
      <c r="A25" s="18">
        <v>21</v>
      </c>
      <c r="B25" s="41" t="s">
        <v>240</v>
      </c>
      <c r="C25" s="19" t="s">
        <v>286</v>
      </c>
      <c r="D25" s="17">
        <v>409419</v>
      </c>
      <c r="E25" s="17">
        <v>34640</v>
      </c>
      <c r="F25" s="17">
        <v>770</v>
      </c>
      <c r="G25" s="17">
        <v>666.77419354838707</v>
      </c>
      <c r="H25" s="17">
        <v>1080.8064516129032</v>
      </c>
      <c r="I25" s="17">
        <v>377760</v>
      </c>
      <c r="J25" s="17">
        <v>36833</v>
      </c>
      <c r="K25" s="17">
        <v>594</v>
      </c>
      <c r="L25" s="17">
        <v>687.85714285714289</v>
      </c>
      <c r="M25" s="17">
        <v>1408.5714285714287</v>
      </c>
      <c r="N25" s="17">
        <v>434207</v>
      </c>
      <c r="O25" s="17">
        <v>60997</v>
      </c>
      <c r="P25" s="17">
        <v>1555</v>
      </c>
      <c r="Q25" s="17">
        <v>695</v>
      </c>
      <c r="R25" s="17">
        <v>1604.8387096774193</v>
      </c>
      <c r="S25" s="17">
        <v>396485</v>
      </c>
      <c r="T25" s="17">
        <v>50322</v>
      </c>
      <c r="U25" s="17">
        <v>492</v>
      </c>
      <c r="V25" s="17">
        <v>699.66666666666663</v>
      </c>
      <c r="W25" s="17">
        <v>1440</v>
      </c>
      <c r="X25" s="17">
        <v>270041</v>
      </c>
      <c r="Y25" s="17">
        <v>58473</v>
      </c>
      <c r="Z25" s="17">
        <v>821</v>
      </c>
      <c r="AA25" s="17">
        <v>799.67741935483866</v>
      </c>
      <c r="AB25" s="17">
        <v>1254.516129032258</v>
      </c>
      <c r="AC25" s="17">
        <v>283676</v>
      </c>
      <c r="AD25" s="17">
        <v>43290</v>
      </c>
      <c r="AE25" s="17">
        <v>570</v>
      </c>
      <c r="AF25" s="17">
        <v>756.33333333333337</v>
      </c>
      <c r="AG25" s="17">
        <v>1251.3333333333333</v>
      </c>
      <c r="AH25" s="17">
        <v>323389</v>
      </c>
      <c r="AI25" s="17">
        <v>31926</v>
      </c>
      <c r="AJ25" s="17">
        <v>421</v>
      </c>
      <c r="AK25" s="17">
        <v>775.16129032258061</v>
      </c>
      <c r="AL25" s="17">
        <v>1262.258064516129</v>
      </c>
      <c r="AM25" s="17">
        <v>145486</v>
      </c>
      <c r="AN25" s="17">
        <v>26469</v>
      </c>
      <c r="AO25" s="17">
        <v>349</v>
      </c>
      <c r="AP25" s="17">
        <v>883.54838709677415</v>
      </c>
      <c r="AQ25" s="17">
        <v>1250</v>
      </c>
      <c r="AR25" s="17">
        <v>164505</v>
      </c>
      <c r="AS25" s="17">
        <v>33975</v>
      </c>
      <c r="AT25" s="17">
        <v>401</v>
      </c>
      <c r="AU25" s="17">
        <v>1144.3333333333333</v>
      </c>
      <c r="AV25" s="17">
        <v>1250</v>
      </c>
      <c r="AW25" s="17">
        <v>266460</v>
      </c>
      <c r="AX25" s="17">
        <v>64326</v>
      </c>
      <c r="AY25" s="17">
        <v>780</v>
      </c>
      <c r="AZ25" s="17">
        <v>1219.3548387096773</v>
      </c>
      <c r="BA25" s="17">
        <v>1241.2903225806451</v>
      </c>
      <c r="BB25" s="17">
        <v>310441</v>
      </c>
      <c r="BC25" s="17">
        <v>56373</v>
      </c>
      <c r="BD25" s="17">
        <v>1634</v>
      </c>
      <c r="BE25" s="17">
        <v>1156.6666666666667</v>
      </c>
      <c r="BF25" s="17">
        <v>1212.6666666666667</v>
      </c>
      <c r="BG25" s="17">
        <v>308196</v>
      </c>
      <c r="BH25" s="17">
        <v>45436</v>
      </c>
      <c r="BI25" s="17">
        <v>560</v>
      </c>
      <c r="BJ25" s="17">
        <v>1095.483870967742</v>
      </c>
      <c r="BK25" s="17">
        <v>1200</v>
      </c>
    </row>
    <row r="26" spans="1:63" x14ac:dyDescent="0.35">
      <c r="A26" s="18">
        <v>22</v>
      </c>
      <c r="B26" s="41" t="s">
        <v>240</v>
      </c>
      <c r="C26" s="19" t="s">
        <v>287</v>
      </c>
      <c r="D26" s="17">
        <v>278534</v>
      </c>
      <c r="E26" s="17">
        <v>18241</v>
      </c>
      <c r="F26" s="17">
        <v>1172</v>
      </c>
      <c r="G26" s="17">
        <v>666.77419354838707</v>
      </c>
      <c r="H26" s="17">
        <v>1080.8064516129032</v>
      </c>
      <c r="I26" s="17">
        <v>180345</v>
      </c>
      <c r="J26" s="17">
        <v>9180</v>
      </c>
      <c r="K26" s="17">
        <v>626</v>
      </c>
      <c r="L26" s="17">
        <v>687.85714285714289</v>
      </c>
      <c r="M26" s="17">
        <v>1408.5714285714287</v>
      </c>
      <c r="N26" s="17">
        <v>305595</v>
      </c>
      <c r="O26" s="17">
        <v>13285</v>
      </c>
      <c r="P26" s="17">
        <v>1647</v>
      </c>
      <c r="Q26" s="17">
        <v>695</v>
      </c>
      <c r="R26" s="17">
        <v>1604.8387096774193</v>
      </c>
      <c r="S26" s="17">
        <v>349710</v>
      </c>
      <c r="T26" s="17">
        <v>16564</v>
      </c>
      <c r="U26" s="17">
        <v>2795</v>
      </c>
      <c r="V26" s="17">
        <v>700.5</v>
      </c>
      <c r="W26" s="17">
        <v>1440</v>
      </c>
      <c r="X26" s="17">
        <v>174216</v>
      </c>
      <c r="Y26" s="17">
        <v>12025</v>
      </c>
      <c r="Z26" s="17">
        <v>1970</v>
      </c>
      <c r="AA26" s="17">
        <v>799.67741935483866</v>
      </c>
      <c r="AB26" s="17">
        <v>1254.516129032258</v>
      </c>
      <c r="AC26" s="17">
        <v>232175</v>
      </c>
      <c r="AD26" s="17">
        <v>10962</v>
      </c>
      <c r="AE26" s="17">
        <v>1897</v>
      </c>
      <c r="AF26" s="17">
        <v>756.33333333333337</v>
      </c>
      <c r="AG26" s="17">
        <v>1251.3333333333333</v>
      </c>
      <c r="AH26" s="17">
        <v>228930</v>
      </c>
      <c r="AI26" s="17">
        <v>5883</v>
      </c>
      <c r="AJ26" s="17">
        <v>1665</v>
      </c>
      <c r="AK26" s="17">
        <v>776.12903225806451</v>
      </c>
      <c r="AL26" s="17">
        <v>1262.258064516129</v>
      </c>
      <c r="AM26" s="17">
        <v>114331</v>
      </c>
      <c r="AN26" s="17">
        <v>3709</v>
      </c>
      <c r="AO26" s="17">
        <v>549</v>
      </c>
      <c r="AP26" s="17">
        <v>883.54838709677415</v>
      </c>
      <c r="AQ26" s="17">
        <v>1250</v>
      </c>
      <c r="AR26" s="17">
        <v>125004</v>
      </c>
      <c r="AS26" s="17">
        <v>5130</v>
      </c>
      <c r="AT26" s="17">
        <v>0</v>
      </c>
      <c r="AU26" s="17">
        <v>1144.3333333333333</v>
      </c>
      <c r="AV26" s="17">
        <v>1250</v>
      </c>
      <c r="AW26" s="17">
        <v>186465</v>
      </c>
      <c r="AX26" s="17">
        <v>9727</v>
      </c>
      <c r="AY26" s="17">
        <v>332</v>
      </c>
      <c r="AZ26" s="17">
        <v>1219.3548387096773</v>
      </c>
      <c r="BA26" s="17">
        <v>1241.2903225806451</v>
      </c>
      <c r="BB26" s="17">
        <v>207261</v>
      </c>
      <c r="BC26" s="17">
        <v>14412</v>
      </c>
      <c r="BD26" s="17">
        <v>713</v>
      </c>
      <c r="BE26" s="17">
        <v>1156.6666666666667</v>
      </c>
      <c r="BF26" s="17">
        <v>1212.6666666666667</v>
      </c>
      <c r="BG26" s="17">
        <v>215661</v>
      </c>
      <c r="BH26" s="17">
        <v>18935</v>
      </c>
      <c r="BI26" s="17">
        <v>711</v>
      </c>
      <c r="BJ26" s="17">
        <v>1095.483870967742</v>
      </c>
      <c r="BK26" s="17">
        <v>1200</v>
      </c>
    </row>
    <row r="27" spans="1:63" x14ac:dyDescent="0.35">
      <c r="A27" s="18">
        <v>23</v>
      </c>
      <c r="B27" s="41" t="s">
        <v>240</v>
      </c>
      <c r="C27" s="19" t="s">
        <v>288</v>
      </c>
      <c r="D27" s="17">
        <v>351463</v>
      </c>
      <c r="E27" s="17">
        <v>28154</v>
      </c>
      <c r="F27" s="17">
        <v>1383</v>
      </c>
      <c r="G27" s="17">
        <v>666.77419354838707</v>
      </c>
      <c r="H27" s="17">
        <v>1080.8064516129032</v>
      </c>
      <c r="I27" s="17">
        <v>263945</v>
      </c>
      <c r="J27" s="17">
        <v>22669</v>
      </c>
      <c r="K27" s="17">
        <v>1013</v>
      </c>
      <c r="L27" s="17">
        <v>687.85714285714289</v>
      </c>
      <c r="M27" s="17">
        <v>1408.5714285714287</v>
      </c>
      <c r="N27" s="17">
        <v>302034</v>
      </c>
      <c r="O27" s="17">
        <v>26273</v>
      </c>
      <c r="P27" s="17">
        <v>3186</v>
      </c>
      <c r="Q27" s="17">
        <v>695</v>
      </c>
      <c r="R27" s="17">
        <v>1604.8387096774193</v>
      </c>
      <c r="S27" s="17">
        <v>333416</v>
      </c>
      <c r="T27" s="17">
        <v>23117</v>
      </c>
      <c r="U27" s="17">
        <v>7119</v>
      </c>
      <c r="V27" s="17">
        <v>700.5</v>
      </c>
      <c r="W27" s="17">
        <v>1440</v>
      </c>
      <c r="X27" s="17">
        <v>192940</v>
      </c>
      <c r="Y27" s="17">
        <v>35312</v>
      </c>
      <c r="Z27" s="17">
        <v>7468</v>
      </c>
      <c r="AA27" s="17">
        <v>802.90322580645159</v>
      </c>
      <c r="AB27" s="17">
        <v>1254.516129032258</v>
      </c>
      <c r="AC27" s="17">
        <v>256328</v>
      </c>
      <c r="AD27" s="17">
        <v>38182</v>
      </c>
      <c r="AE27" s="17">
        <v>6768</v>
      </c>
      <c r="AF27" s="17">
        <v>762.33333333333337</v>
      </c>
      <c r="AG27" s="17">
        <v>1216.3333333333333</v>
      </c>
      <c r="AH27" s="17">
        <v>258004</v>
      </c>
      <c r="AI27" s="17">
        <v>35351</v>
      </c>
      <c r="AJ27" s="17">
        <v>6425</v>
      </c>
      <c r="AK27" s="17">
        <v>775.48387096774195</v>
      </c>
      <c r="AL27" s="17">
        <v>1220.9677419354839</v>
      </c>
      <c r="AM27" s="17">
        <v>147183</v>
      </c>
      <c r="AN27" s="17">
        <v>43087</v>
      </c>
      <c r="AO27" s="17">
        <v>6111</v>
      </c>
      <c r="AP27" s="17">
        <v>882.90322580645159</v>
      </c>
      <c r="AQ27" s="17">
        <v>1220</v>
      </c>
      <c r="AR27" s="17">
        <v>154507</v>
      </c>
      <c r="AS27" s="17">
        <v>50547</v>
      </c>
      <c r="AT27" s="17">
        <v>3647</v>
      </c>
      <c r="AU27" s="17">
        <v>1145</v>
      </c>
      <c r="AV27" s="17">
        <v>1220</v>
      </c>
      <c r="AW27" s="17">
        <v>257498</v>
      </c>
      <c r="AX27" s="17">
        <v>56822</v>
      </c>
      <c r="AY27" s="17">
        <v>344</v>
      </c>
      <c r="AZ27" s="17">
        <v>1223.2258064516129</v>
      </c>
      <c r="BA27" s="17">
        <v>1220</v>
      </c>
      <c r="BB27" s="17">
        <v>243902</v>
      </c>
      <c r="BC27" s="17">
        <v>54923</v>
      </c>
      <c r="BD27" s="17">
        <v>1853</v>
      </c>
      <c r="BE27" s="17">
        <v>1157.6666666666667</v>
      </c>
      <c r="BF27" s="17">
        <v>1210.6666666666667</v>
      </c>
      <c r="BG27" s="17">
        <v>229822</v>
      </c>
      <c r="BH27" s="17">
        <v>35570</v>
      </c>
      <c r="BI27" s="17">
        <v>2112</v>
      </c>
      <c r="BJ27" s="17">
        <v>1095.483870967742</v>
      </c>
      <c r="BK27" s="17">
        <v>1190</v>
      </c>
    </row>
    <row r="28" spans="1:63" x14ac:dyDescent="0.35">
      <c r="A28" s="18">
        <v>24</v>
      </c>
      <c r="B28" s="41" t="s">
        <v>233</v>
      </c>
      <c r="C28" s="19" t="s">
        <v>289</v>
      </c>
      <c r="D28" s="17">
        <v>223703</v>
      </c>
      <c r="E28" s="17">
        <v>10789</v>
      </c>
      <c r="F28" s="17">
        <v>660</v>
      </c>
      <c r="G28" s="17">
        <v>612.90322580645159</v>
      </c>
      <c r="H28" s="17">
        <v>1033.5483870967741</v>
      </c>
      <c r="I28" s="17">
        <v>269937</v>
      </c>
      <c r="J28" s="17">
        <v>9308</v>
      </c>
      <c r="K28" s="17">
        <v>257</v>
      </c>
      <c r="L28" s="17">
        <v>632.14285714285711</v>
      </c>
      <c r="M28" s="17">
        <v>1355.7142857142858</v>
      </c>
      <c r="N28" s="17">
        <v>214620</v>
      </c>
      <c r="O28" s="17">
        <v>7070</v>
      </c>
      <c r="P28" s="17">
        <v>55</v>
      </c>
      <c r="Q28" s="17">
        <v>635.48387096774195</v>
      </c>
      <c r="R28" s="17">
        <v>1550</v>
      </c>
      <c r="S28" s="17">
        <v>324669</v>
      </c>
      <c r="T28" s="17">
        <v>13918</v>
      </c>
      <c r="U28" s="17">
        <v>0</v>
      </c>
      <c r="V28" s="17">
        <v>641.33333333333337</v>
      </c>
      <c r="W28" s="17">
        <v>1380</v>
      </c>
      <c r="X28" s="17">
        <v>182792</v>
      </c>
      <c r="Y28" s="17">
        <v>9682</v>
      </c>
      <c r="Z28" s="17">
        <v>0</v>
      </c>
      <c r="AA28" s="17">
        <v>686.93548387096769</v>
      </c>
      <c r="AB28" s="17">
        <v>1224.516129032258</v>
      </c>
      <c r="AC28" s="17">
        <v>246769</v>
      </c>
      <c r="AD28" s="17">
        <v>8197</v>
      </c>
      <c r="AE28" s="17">
        <v>0</v>
      </c>
      <c r="AF28" s="17">
        <v>628</v>
      </c>
      <c r="AG28" s="17">
        <v>1198</v>
      </c>
      <c r="AH28" s="17">
        <v>302939</v>
      </c>
      <c r="AI28" s="17">
        <v>5716</v>
      </c>
      <c r="AJ28" s="17">
        <v>0</v>
      </c>
      <c r="AK28" s="17">
        <v>714.51612903225805</v>
      </c>
      <c r="AL28" s="17">
        <v>1220</v>
      </c>
      <c r="AM28" s="17">
        <v>229572</v>
      </c>
      <c r="AN28" s="17">
        <v>5534</v>
      </c>
      <c r="AO28" s="17">
        <v>0</v>
      </c>
      <c r="AP28" s="17">
        <v>791.29032258064512</v>
      </c>
      <c r="AQ28" s="17">
        <v>1220</v>
      </c>
      <c r="AR28" s="17">
        <v>296424</v>
      </c>
      <c r="AS28" s="17">
        <v>4410</v>
      </c>
      <c r="AT28" s="17">
        <v>0</v>
      </c>
      <c r="AU28" s="17">
        <v>955.33333333333337</v>
      </c>
      <c r="AV28" s="17">
        <v>1220</v>
      </c>
      <c r="AW28" s="17">
        <v>221676</v>
      </c>
      <c r="AX28" s="17">
        <v>4574</v>
      </c>
      <c r="AY28" s="17">
        <v>0</v>
      </c>
      <c r="AZ28" s="17">
        <v>1075.483870967742</v>
      </c>
      <c r="BA28" s="17">
        <v>1214.1935483870968</v>
      </c>
      <c r="BB28" s="17">
        <v>133321</v>
      </c>
      <c r="BC28" s="17">
        <v>5870</v>
      </c>
      <c r="BD28" s="17">
        <v>0</v>
      </c>
      <c r="BE28" s="17">
        <v>1091.3333333333333</v>
      </c>
      <c r="BF28" s="17">
        <v>1185</v>
      </c>
      <c r="BG28" s="17">
        <v>112594</v>
      </c>
      <c r="BH28" s="17">
        <v>7057</v>
      </c>
      <c r="BI28" s="17">
        <v>0</v>
      </c>
      <c r="BJ28" s="17">
        <v>1059.3548387096773</v>
      </c>
      <c r="BK28" s="17">
        <v>1169.6774193548388</v>
      </c>
    </row>
    <row r="29" spans="1:63" x14ac:dyDescent="0.35">
      <c r="A29" s="18">
        <v>25</v>
      </c>
      <c r="B29" s="41" t="s">
        <v>241</v>
      </c>
      <c r="C29" s="21" t="s">
        <v>290</v>
      </c>
      <c r="D29" s="17">
        <v>240766</v>
      </c>
      <c r="E29" s="17">
        <v>17824</v>
      </c>
      <c r="F29" s="17">
        <v>0</v>
      </c>
      <c r="G29" s="17">
        <v>670</v>
      </c>
      <c r="H29" s="17">
        <v>1078.0645161290322</v>
      </c>
      <c r="I29" s="17">
        <v>238131</v>
      </c>
      <c r="J29" s="17">
        <v>19456</v>
      </c>
      <c r="K29" s="17">
        <v>0</v>
      </c>
      <c r="L29" s="17">
        <v>679.10714285714289</v>
      </c>
      <c r="M29" s="17">
        <v>1407.5</v>
      </c>
      <c r="N29" s="17">
        <v>223675</v>
      </c>
      <c r="O29" s="17">
        <v>21064</v>
      </c>
      <c r="P29" s="17">
        <v>0</v>
      </c>
      <c r="Q29" s="17">
        <v>690</v>
      </c>
      <c r="R29" s="17">
        <v>1611.2903225806451</v>
      </c>
      <c r="S29" s="17">
        <v>257515</v>
      </c>
      <c r="T29" s="17">
        <v>28225</v>
      </c>
      <c r="U29" s="17">
        <v>189</v>
      </c>
      <c r="V29" s="17">
        <v>696</v>
      </c>
      <c r="W29" s="17">
        <v>1405.6666666666667</v>
      </c>
      <c r="X29" s="17">
        <v>200036</v>
      </c>
      <c r="Y29" s="17">
        <v>26043</v>
      </c>
      <c r="Z29" s="17">
        <v>189</v>
      </c>
      <c r="AA29" s="17">
        <v>795.64516129032256</v>
      </c>
      <c r="AB29" s="17">
        <v>1245.1612903225807</v>
      </c>
      <c r="AC29" s="17">
        <v>181476</v>
      </c>
      <c r="AD29" s="17">
        <v>24518</v>
      </c>
      <c r="AE29" s="17">
        <v>0</v>
      </c>
      <c r="AF29" s="17">
        <v>715.66666666666663</v>
      </c>
      <c r="AG29" s="17">
        <v>1227.3333333333333</v>
      </c>
      <c r="AH29" s="17">
        <v>285342</v>
      </c>
      <c r="AI29" s="17">
        <v>9422</v>
      </c>
      <c r="AJ29" s="17">
        <v>189</v>
      </c>
      <c r="AK29" s="17">
        <v>758.38709677419354</v>
      </c>
      <c r="AL29" s="17">
        <v>1240</v>
      </c>
      <c r="AM29" s="17">
        <v>167826</v>
      </c>
      <c r="AN29" s="17">
        <v>5892</v>
      </c>
      <c r="AO29" s="17">
        <v>0</v>
      </c>
      <c r="AP29" s="17">
        <v>860.9677419354839</v>
      </c>
      <c r="AQ29" s="17">
        <v>1240</v>
      </c>
      <c r="AR29" s="17">
        <v>96881</v>
      </c>
      <c r="AS29" s="17">
        <v>9064</v>
      </c>
      <c r="AT29" s="17">
        <v>0</v>
      </c>
      <c r="AU29" s="17">
        <v>1086</v>
      </c>
      <c r="AV29" s="17">
        <v>1240</v>
      </c>
      <c r="AW29" s="17">
        <v>127826</v>
      </c>
      <c r="AX29" s="17">
        <v>17600</v>
      </c>
      <c r="AY29" s="17">
        <v>0</v>
      </c>
      <c r="AZ29" s="17">
        <v>1180.9677419354839</v>
      </c>
      <c r="BA29" s="17">
        <v>1237.0967741935483</v>
      </c>
      <c r="BB29" s="17">
        <v>95073</v>
      </c>
      <c r="BC29" s="17">
        <v>12539</v>
      </c>
      <c r="BD29" s="17">
        <v>0</v>
      </c>
      <c r="BE29" s="17">
        <v>1143</v>
      </c>
      <c r="BF29" s="17">
        <v>1208.6666666666667</v>
      </c>
      <c r="BG29" s="17">
        <v>108227</v>
      </c>
      <c r="BH29" s="17">
        <v>9601</v>
      </c>
      <c r="BI29" s="17">
        <v>0</v>
      </c>
      <c r="BJ29" s="17">
        <v>1087.4193548387098</v>
      </c>
      <c r="BK29" s="17">
        <v>1190</v>
      </c>
    </row>
    <row r="30" spans="1:63" x14ac:dyDescent="0.35">
      <c r="A30" s="18">
        <v>26</v>
      </c>
      <c r="B30" s="41" t="s">
        <v>242</v>
      </c>
      <c r="C30" s="19" t="s">
        <v>291</v>
      </c>
      <c r="D30" s="17">
        <v>247130</v>
      </c>
      <c r="E30" s="17">
        <v>79121</v>
      </c>
      <c r="F30" s="17">
        <v>0</v>
      </c>
      <c r="G30" s="17">
        <v>649.83870967741939</v>
      </c>
      <c r="H30" s="17">
        <v>1049.0322580645161</v>
      </c>
      <c r="I30" s="17">
        <v>213036</v>
      </c>
      <c r="J30" s="17">
        <v>73656</v>
      </c>
      <c r="K30" s="17">
        <v>0</v>
      </c>
      <c r="L30" s="17">
        <v>666.42857142857144</v>
      </c>
      <c r="M30" s="17">
        <v>1395.3571428571429</v>
      </c>
      <c r="N30" s="17">
        <v>185889</v>
      </c>
      <c r="O30" s="17">
        <v>64680</v>
      </c>
      <c r="P30" s="17">
        <v>0</v>
      </c>
      <c r="Q30" s="17">
        <v>680</v>
      </c>
      <c r="R30" s="17">
        <v>1562.9032258064517</v>
      </c>
      <c r="S30" s="17">
        <v>192804</v>
      </c>
      <c r="T30" s="17">
        <v>62952</v>
      </c>
      <c r="U30" s="17">
        <v>0</v>
      </c>
      <c r="V30" s="17">
        <v>684.33333333333337</v>
      </c>
      <c r="W30" s="17">
        <v>1342.6666666666667</v>
      </c>
      <c r="X30" s="17">
        <v>204403</v>
      </c>
      <c r="Y30" s="17">
        <v>66468</v>
      </c>
      <c r="Z30" s="17">
        <v>0</v>
      </c>
      <c r="AA30" s="17">
        <v>738.22580645161293</v>
      </c>
      <c r="AB30" s="17">
        <v>1188.7096774193549</v>
      </c>
      <c r="AC30" s="17">
        <v>154048</v>
      </c>
      <c r="AD30" s="17">
        <v>59135</v>
      </c>
      <c r="AE30" s="17">
        <v>0</v>
      </c>
      <c r="AF30" s="17">
        <v>725.33333333333337</v>
      </c>
      <c r="AG30" s="17">
        <v>1181.3333333333333</v>
      </c>
      <c r="AH30" s="17">
        <v>212312</v>
      </c>
      <c r="AI30" s="17">
        <v>55058</v>
      </c>
      <c r="AJ30" s="17">
        <v>0</v>
      </c>
      <c r="AK30" s="17">
        <v>746.12903225806451</v>
      </c>
      <c r="AL30" s="17">
        <v>1207.4193548387098</v>
      </c>
      <c r="AM30" s="17">
        <v>138516</v>
      </c>
      <c r="AN30" s="17">
        <v>43805</v>
      </c>
      <c r="AO30" s="17">
        <v>0</v>
      </c>
      <c r="AP30" s="17">
        <v>842.25806451612902</v>
      </c>
      <c r="AQ30" s="17">
        <v>1230</v>
      </c>
      <c r="AR30" s="17">
        <v>146707</v>
      </c>
      <c r="AS30" s="17">
        <v>34060</v>
      </c>
      <c r="AT30" s="17">
        <v>0</v>
      </c>
      <c r="AU30" s="17">
        <v>1107.5</v>
      </c>
      <c r="AV30" s="17">
        <v>1230</v>
      </c>
      <c r="AW30" s="17">
        <v>115108</v>
      </c>
      <c r="AX30" s="17">
        <v>40860</v>
      </c>
      <c r="AY30" s="17">
        <v>0</v>
      </c>
      <c r="AZ30" s="17">
        <v>1186.4516129032259</v>
      </c>
      <c r="BA30" s="17">
        <v>1218.7096774193549</v>
      </c>
      <c r="BB30" s="17">
        <v>85132</v>
      </c>
      <c r="BC30" s="17">
        <v>53572</v>
      </c>
      <c r="BD30" s="17">
        <v>0</v>
      </c>
      <c r="BE30" s="17">
        <v>1128.6666666666667</v>
      </c>
      <c r="BF30" s="17">
        <v>1171.3333333333333</v>
      </c>
      <c r="BG30" s="17">
        <v>110310</v>
      </c>
      <c r="BH30" s="17">
        <v>47330</v>
      </c>
      <c r="BI30" s="17">
        <v>0</v>
      </c>
      <c r="BJ30" s="17">
        <v>1071.2903225806451</v>
      </c>
      <c r="BK30" s="17">
        <v>1150</v>
      </c>
    </row>
    <row r="31" spans="1:63" x14ac:dyDescent="0.35">
      <c r="A31" s="18">
        <v>27</v>
      </c>
      <c r="B31" s="41" t="s">
        <v>242</v>
      </c>
      <c r="C31" s="19" t="s">
        <v>292</v>
      </c>
      <c r="D31" s="17">
        <v>364443</v>
      </c>
      <c r="E31" s="17">
        <v>43707</v>
      </c>
      <c r="F31" s="17">
        <v>0</v>
      </c>
      <c r="G31" s="17">
        <v>649.83870967741939</v>
      </c>
      <c r="H31" s="17">
        <v>1048.7096774193549</v>
      </c>
      <c r="I31" s="17">
        <v>309760</v>
      </c>
      <c r="J31" s="17">
        <v>36994</v>
      </c>
      <c r="K31" s="17">
        <v>0</v>
      </c>
      <c r="L31" s="17">
        <v>666.78571428571433</v>
      </c>
      <c r="M31" s="17">
        <v>1377.5</v>
      </c>
      <c r="N31" s="17">
        <v>342618</v>
      </c>
      <c r="O31" s="17">
        <v>40424</v>
      </c>
      <c r="P31" s="17">
        <v>0</v>
      </c>
      <c r="Q31" s="17">
        <v>680</v>
      </c>
      <c r="R31" s="17">
        <v>1572.5806451612902</v>
      </c>
      <c r="S31" s="17">
        <v>320066</v>
      </c>
      <c r="T31" s="17">
        <v>36008</v>
      </c>
      <c r="U31" s="17">
        <v>0</v>
      </c>
      <c r="V31" s="17">
        <v>684.33333333333337</v>
      </c>
      <c r="W31" s="17">
        <v>1344.3333333333333</v>
      </c>
      <c r="X31" s="17">
        <v>298519</v>
      </c>
      <c r="Y31" s="17">
        <v>36931</v>
      </c>
      <c r="Z31" s="17">
        <v>0</v>
      </c>
      <c r="AA31" s="17">
        <v>738.22580645161293</v>
      </c>
      <c r="AB31" s="17">
        <v>1187.0967741935483</v>
      </c>
      <c r="AC31" s="17">
        <v>272459</v>
      </c>
      <c r="AD31" s="17">
        <v>25802</v>
      </c>
      <c r="AE31" s="17">
        <v>0</v>
      </c>
      <c r="AF31" s="17">
        <v>725.33333333333337</v>
      </c>
      <c r="AG31" s="17">
        <v>1181.3333333333333</v>
      </c>
      <c r="AH31" s="17">
        <v>389648</v>
      </c>
      <c r="AI31" s="17">
        <v>30482</v>
      </c>
      <c r="AJ31" s="17">
        <v>0</v>
      </c>
      <c r="AK31" s="17">
        <v>747.09677419354841</v>
      </c>
      <c r="AL31" s="17">
        <v>1207.4193548387098</v>
      </c>
      <c r="AM31" s="17">
        <v>233590</v>
      </c>
      <c r="AN31" s="17">
        <v>19370</v>
      </c>
      <c r="AO31" s="17">
        <v>0</v>
      </c>
      <c r="AP31" s="17">
        <v>842.25806451612902</v>
      </c>
      <c r="AQ31" s="17">
        <v>1230</v>
      </c>
      <c r="AR31" s="17">
        <v>239055</v>
      </c>
      <c r="AS31" s="17">
        <v>30984</v>
      </c>
      <c r="AT31" s="17">
        <v>0</v>
      </c>
      <c r="AU31" s="17">
        <v>1107.5</v>
      </c>
      <c r="AV31" s="17">
        <v>1230</v>
      </c>
      <c r="AW31" s="17">
        <v>244087</v>
      </c>
      <c r="AX31" s="17">
        <v>29640</v>
      </c>
      <c r="AY31" s="17">
        <v>0</v>
      </c>
      <c r="AZ31" s="17">
        <v>1186.4516129032259</v>
      </c>
      <c r="BA31" s="17">
        <v>1218.7096774193549</v>
      </c>
      <c r="BB31" s="17">
        <v>225686</v>
      </c>
      <c r="BC31" s="17">
        <v>31105</v>
      </c>
      <c r="BD31" s="17">
        <v>0</v>
      </c>
      <c r="BE31" s="17">
        <v>1128.6666666666667</v>
      </c>
      <c r="BF31" s="17">
        <v>1171.3333333333333</v>
      </c>
      <c r="BG31" s="17">
        <v>223507</v>
      </c>
      <c r="BH31" s="17">
        <v>27042</v>
      </c>
      <c r="BI31" s="17">
        <v>0</v>
      </c>
      <c r="BJ31" s="17">
        <v>1079.0322580645161</v>
      </c>
      <c r="BK31" s="17">
        <v>1150</v>
      </c>
    </row>
    <row r="32" spans="1:63" x14ac:dyDescent="0.35">
      <c r="A32" s="18">
        <v>28</v>
      </c>
      <c r="B32" s="41" t="s">
        <v>243</v>
      </c>
      <c r="C32" s="20" t="s">
        <v>293</v>
      </c>
      <c r="D32" s="17">
        <v>333454</v>
      </c>
      <c r="E32" s="17">
        <v>6880</v>
      </c>
      <c r="F32" s="17">
        <v>1880</v>
      </c>
      <c r="G32" s="17">
        <v>653.70967741935488</v>
      </c>
      <c r="H32" s="17">
        <v>1051.4516129032259</v>
      </c>
      <c r="I32" s="17">
        <v>364760</v>
      </c>
      <c r="J32" s="17">
        <v>6132</v>
      </c>
      <c r="K32" s="17">
        <v>1190</v>
      </c>
      <c r="L32" s="17">
        <v>669.46428571428567</v>
      </c>
      <c r="M32" s="17">
        <v>1406.4285714285713</v>
      </c>
      <c r="N32" s="17">
        <v>383679</v>
      </c>
      <c r="O32" s="17">
        <v>13682</v>
      </c>
      <c r="P32" s="17">
        <v>674</v>
      </c>
      <c r="Q32" s="17">
        <v>695</v>
      </c>
      <c r="R32" s="17">
        <v>1590.3225806451612</v>
      </c>
      <c r="S32" s="17">
        <v>339026</v>
      </c>
      <c r="T32" s="17">
        <v>14286</v>
      </c>
      <c r="U32" s="17">
        <v>112</v>
      </c>
      <c r="V32" s="17">
        <v>695</v>
      </c>
      <c r="W32" s="17">
        <v>1353.6666666666667</v>
      </c>
      <c r="X32" s="17">
        <v>349777</v>
      </c>
      <c r="Y32" s="17">
        <v>12558</v>
      </c>
      <c r="Z32" s="17">
        <v>754</v>
      </c>
      <c r="AA32" s="17">
        <v>741.61290322580646</v>
      </c>
      <c r="AB32" s="17">
        <v>1194.8387096774193</v>
      </c>
      <c r="AC32" s="17">
        <v>266449</v>
      </c>
      <c r="AD32" s="17">
        <v>12322</v>
      </c>
      <c r="AE32" s="17">
        <v>917</v>
      </c>
      <c r="AF32" s="17">
        <v>731.66666666666663</v>
      </c>
      <c r="AG32" s="17">
        <v>1182.3333333333333</v>
      </c>
      <c r="AH32" s="17">
        <v>219348</v>
      </c>
      <c r="AI32" s="17">
        <v>9142</v>
      </c>
      <c r="AJ32" s="17">
        <v>1324</v>
      </c>
      <c r="AK32" s="17">
        <v>747.58064516129036</v>
      </c>
      <c r="AL32" s="17">
        <v>1199.0322580645161</v>
      </c>
      <c r="AM32" s="17">
        <v>198609</v>
      </c>
      <c r="AN32" s="17">
        <v>6136</v>
      </c>
      <c r="AO32" s="17">
        <v>969</v>
      </c>
      <c r="AP32" s="17">
        <v>836.45161290322585</v>
      </c>
      <c r="AQ32" s="17">
        <v>1200</v>
      </c>
      <c r="AR32" s="17">
        <v>226335</v>
      </c>
      <c r="AS32" s="17">
        <v>5756</v>
      </c>
      <c r="AT32" s="17">
        <v>998</v>
      </c>
      <c r="AU32" s="17">
        <v>1106.8333333333333</v>
      </c>
      <c r="AV32" s="17">
        <v>1200</v>
      </c>
      <c r="AW32" s="17">
        <v>193591</v>
      </c>
      <c r="AX32" s="17">
        <v>7074</v>
      </c>
      <c r="AY32" s="17">
        <v>1364</v>
      </c>
      <c r="AZ32" s="17">
        <v>1161.6129032258063</v>
      </c>
      <c r="BA32" s="17">
        <v>1195.8064516129032</v>
      </c>
      <c r="BB32" s="17">
        <v>190336</v>
      </c>
      <c r="BC32" s="17">
        <v>8311</v>
      </c>
      <c r="BD32" s="17">
        <v>1776</v>
      </c>
      <c r="BE32" s="17">
        <v>1132.6666666666667</v>
      </c>
      <c r="BF32" s="17">
        <v>1179.3333333333333</v>
      </c>
      <c r="BG32" s="17">
        <v>175035</v>
      </c>
      <c r="BH32" s="17">
        <v>6364</v>
      </c>
      <c r="BI32" s="17">
        <v>1264</v>
      </c>
      <c r="BJ32" s="17">
        <v>1090.6451612903227</v>
      </c>
      <c r="BK32" s="17">
        <v>1153.2258064516129</v>
      </c>
    </row>
    <row r="33" spans="1:63" x14ac:dyDescent="0.35">
      <c r="A33" s="18">
        <v>29</v>
      </c>
      <c r="B33" s="41" t="s">
        <v>231</v>
      </c>
      <c r="C33" s="20" t="s">
        <v>253</v>
      </c>
      <c r="D33" s="17">
        <v>323785</v>
      </c>
      <c r="E33" s="17">
        <v>19625</v>
      </c>
      <c r="F33" s="17">
        <v>528</v>
      </c>
      <c r="G33" s="17">
        <v>666.77419354838707</v>
      </c>
      <c r="H33" s="17">
        <v>1108.0645161290322</v>
      </c>
      <c r="I33" s="17">
        <v>330864</v>
      </c>
      <c r="J33" s="17">
        <v>29523</v>
      </c>
      <c r="K33" s="17">
        <v>0</v>
      </c>
      <c r="L33" s="17">
        <v>678.57142857142856</v>
      </c>
      <c r="M33" s="17">
        <v>1381.0714285714287</v>
      </c>
      <c r="N33" s="17">
        <v>281695</v>
      </c>
      <c r="O33" s="17">
        <v>39550</v>
      </c>
      <c r="P33" s="17">
        <v>178</v>
      </c>
      <c r="Q33" s="17">
        <v>699.19354838709683</v>
      </c>
      <c r="R33" s="17">
        <v>1600</v>
      </c>
      <c r="S33" s="17">
        <v>243298</v>
      </c>
      <c r="T33" s="17">
        <v>22300</v>
      </c>
      <c r="U33" s="17">
        <v>155</v>
      </c>
      <c r="V33" s="17">
        <v>703.33333333333337</v>
      </c>
      <c r="W33" s="17">
        <v>1464.1666666666667</v>
      </c>
      <c r="X33" s="17">
        <v>382903</v>
      </c>
      <c r="Y33" s="17">
        <v>26053</v>
      </c>
      <c r="Z33" s="17">
        <v>517</v>
      </c>
      <c r="AA33" s="17">
        <v>810.9677419354839</v>
      </c>
      <c r="AB33" s="17">
        <v>1252.258064516129</v>
      </c>
      <c r="AC33" s="17">
        <v>367694</v>
      </c>
      <c r="AD33" s="17">
        <v>22745</v>
      </c>
      <c r="AE33" s="17">
        <v>617</v>
      </c>
      <c r="AF33" s="17">
        <v>757.33333333333337</v>
      </c>
      <c r="AG33" s="17">
        <v>1241.3333333333333</v>
      </c>
      <c r="AH33" s="17">
        <v>444579</v>
      </c>
      <c r="AI33" s="17">
        <v>20723</v>
      </c>
      <c r="AJ33" s="17">
        <v>512</v>
      </c>
      <c r="AK33" s="17">
        <v>766.77419354838707</v>
      </c>
      <c r="AL33" s="17">
        <v>1260</v>
      </c>
      <c r="AM33" s="17">
        <v>270764</v>
      </c>
      <c r="AN33" s="17">
        <v>27025</v>
      </c>
      <c r="AO33" s="17">
        <v>0</v>
      </c>
      <c r="AP33" s="17">
        <v>842.90322580645159</v>
      </c>
      <c r="AQ33" s="17">
        <v>1260</v>
      </c>
      <c r="AR33" s="17">
        <v>119729</v>
      </c>
      <c r="AS33" s="17">
        <v>10568</v>
      </c>
      <c r="AT33" s="17">
        <v>0</v>
      </c>
      <c r="AU33" s="17">
        <v>1123</v>
      </c>
      <c r="AV33" s="17">
        <v>1260</v>
      </c>
      <c r="AW33" s="17">
        <v>330834</v>
      </c>
      <c r="AX33" s="17">
        <v>22793</v>
      </c>
      <c r="AY33" s="17">
        <v>0</v>
      </c>
      <c r="AZ33" s="17">
        <v>1194.8387096774193</v>
      </c>
      <c r="BA33" s="17">
        <v>1257.0967741935483</v>
      </c>
      <c r="BB33" s="17">
        <v>370491</v>
      </c>
      <c r="BC33" s="17">
        <v>43536</v>
      </c>
      <c r="BD33" s="17">
        <v>0</v>
      </c>
      <c r="BE33" s="17">
        <v>1167.3333333333333</v>
      </c>
      <c r="BF33" s="17">
        <v>1228.3333333333333</v>
      </c>
      <c r="BG33" s="17">
        <v>348869</v>
      </c>
      <c r="BH33" s="17">
        <v>18744</v>
      </c>
      <c r="BI33" s="17">
        <v>0</v>
      </c>
      <c r="BJ33" s="17">
        <v>1140</v>
      </c>
      <c r="BK33" s="17">
        <v>1230</v>
      </c>
    </row>
    <row r="34" spans="1:63" x14ac:dyDescent="0.35">
      <c r="A34" s="18">
        <v>30</v>
      </c>
      <c r="B34" s="41" t="s">
        <v>231</v>
      </c>
      <c r="C34" s="20" t="s">
        <v>294</v>
      </c>
      <c r="D34" s="17">
        <v>255339</v>
      </c>
      <c r="E34" s="17">
        <v>71</v>
      </c>
      <c r="F34" s="17">
        <v>0</v>
      </c>
      <c r="G34" s="17">
        <v>660</v>
      </c>
      <c r="H34" s="17">
        <v>1078.4516129032259</v>
      </c>
      <c r="I34" s="17">
        <v>376000</v>
      </c>
      <c r="J34" s="17">
        <v>158</v>
      </c>
      <c r="K34" s="17">
        <v>0</v>
      </c>
      <c r="L34" s="17">
        <v>674.64285714285711</v>
      </c>
      <c r="M34" s="17">
        <v>1375.3571428571429</v>
      </c>
      <c r="N34" s="17">
        <v>302412</v>
      </c>
      <c r="O34" s="17">
        <v>840</v>
      </c>
      <c r="P34" s="17">
        <v>0</v>
      </c>
      <c r="Q34" s="17">
        <v>693.54838709677415</v>
      </c>
      <c r="R34" s="17">
        <v>1609.6774193548388</v>
      </c>
      <c r="S34" s="17">
        <v>240757</v>
      </c>
      <c r="T34" s="17">
        <v>20</v>
      </c>
      <c r="U34" s="17">
        <v>0</v>
      </c>
      <c r="V34" s="17">
        <v>695.83333333333337</v>
      </c>
      <c r="W34" s="17">
        <v>1360.5</v>
      </c>
      <c r="X34" s="17">
        <v>188736</v>
      </c>
      <c r="Y34" s="17">
        <v>8204</v>
      </c>
      <c r="Z34" s="17">
        <v>0</v>
      </c>
      <c r="AA34" s="17">
        <v>791.93548387096769</v>
      </c>
      <c r="AB34" s="17">
        <v>1226.9354838709678</v>
      </c>
      <c r="AC34" s="17">
        <v>144578</v>
      </c>
      <c r="AD34" s="17">
        <v>6290</v>
      </c>
      <c r="AE34" s="17">
        <v>0</v>
      </c>
      <c r="AF34" s="17">
        <v>767.33333333333337</v>
      </c>
      <c r="AG34" s="17">
        <v>1236.3333333333333</v>
      </c>
      <c r="AH34" s="17">
        <v>206491</v>
      </c>
      <c r="AI34" s="17">
        <v>9963</v>
      </c>
      <c r="AJ34" s="17">
        <v>0</v>
      </c>
      <c r="AK34" s="17">
        <v>770.64516129032256</v>
      </c>
      <c r="AL34" s="17">
        <v>1255</v>
      </c>
      <c r="AM34" s="17">
        <v>123391</v>
      </c>
      <c r="AN34" s="17">
        <v>12821</v>
      </c>
      <c r="AO34" s="17">
        <v>0</v>
      </c>
      <c r="AP34" s="17">
        <v>872.90322580645159</v>
      </c>
      <c r="AQ34" s="17">
        <v>1255</v>
      </c>
      <c r="AR34" s="17">
        <v>211787</v>
      </c>
      <c r="AS34" s="17">
        <v>8685</v>
      </c>
      <c r="AT34" s="17">
        <v>0</v>
      </c>
      <c r="AU34" s="17">
        <v>1063.6666666666667</v>
      </c>
      <c r="AV34" s="17">
        <v>1255</v>
      </c>
      <c r="AW34" s="17">
        <v>164904</v>
      </c>
      <c r="AX34" s="17">
        <v>3734</v>
      </c>
      <c r="AY34" s="17">
        <v>0</v>
      </c>
      <c r="AZ34" s="17">
        <v>1200</v>
      </c>
      <c r="BA34" s="17">
        <v>1249.3548387096773</v>
      </c>
      <c r="BB34" s="17">
        <v>106050</v>
      </c>
      <c r="BC34" s="17">
        <v>13011</v>
      </c>
      <c r="BD34" s="17">
        <v>0</v>
      </c>
      <c r="BE34" s="17">
        <v>1142.1666666666667</v>
      </c>
      <c r="BF34" s="17">
        <v>1214.6666666666667</v>
      </c>
      <c r="BG34" s="17">
        <v>131768</v>
      </c>
      <c r="BH34" s="17">
        <v>11648</v>
      </c>
      <c r="BI34" s="17">
        <v>0</v>
      </c>
      <c r="BJ34" s="17">
        <v>1078.7096774193549</v>
      </c>
      <c r="BK34" s="17">
        <v>1200</v>
      </c>
    </row>
    <row r="35" spans="1:63" x14ac:dyDescent="0.35">
      <c r="A35" s="18">
        <v>31</v>
      </c>
      <c r="B35" s="41" t="s">
        <v>244</v>
      </c>
      <c r="C35" s="19" t="s">
        <v>295</v>
      </c>
      <c r="D35" s="17">
        <v>247146</v>
      </c>
      <c r="E35" s="17">
        <v>47903</v>
      </c>
      <c r="F35" s="17">
        <v>0</v>
      </c>
      <c r="G35" s="17">
        <v>680</v>
      </c>
      <c r="H35" s="17">
        <v>1089.3548387096773</v>
      </c>
      <c r="I35" s="17">
        <v>331972</v>
      </c>
      <c r="J35" s="17">
        <v>38654</v>
      </c>
      <c r="K35" s="17">
        <v>0</v>
      </c>
      <c r="L35" s="17">
        <v>688.03571428571433</v>
      </c>
      <c r="M35" s="17">
        <v>1372.5</v>
      </c>
      <c r="N35" s="17">
        <v>217037</v>
      </c>
      <c r="O35" s="17">
        <v>27957</v>
      </c>
      <c r="P35" s="17">
        <v>0</v>
      </c>
      <c r="Q35" s="17">
        <v>700</v>
      </c>
      <c r="R35" s="17">
        <v>1601.6129032258063</v>
      </c>
      <c r="S35" s="17">
        <v>271593</v>
      </c>
      <c r="T35" s="17">
        <v>47736</v>
      </c>
      <c r="U35" s="17">
        <v>0</v>
      </c>
      <c r="V35" s="17">
        <v>708.16666666666663</v>
      </c>
      <c r="W35" s="17">
        <v>1394</v>
      </c>
      <c r="X35" s="17">
        <v>160338</v>
      </c>
      <c r="Y35" s="17">
        <v>40842</v>
      </c>
      <c r="Z35" s="17">
        <v>0</v>
      </c>
      <c r="AA35" s="17">
        <v>801.61290322580646</v>
      </c>
      <c r="AB35" s="17">
        <v>1250</v>
      </c>
      <c r="AC35" s="17">
        <v>173859</v>
      </c>
      <c r="AD35" s="17">
        <v>43758</v>
      </c>
      <c r="AE35" s="17">
        <v>0</v>
      </c>
      <c r="AF35" s="17">
        <v>750</v>
      </c>
      <c r="AG35" s="17">
        <v>1230.3333333333333</v>
      </c>
      <c r="AH35" s="17">
        <v>252075</v>
      </c>
      <c r="AI35" s="17">
        <v>30868</v>
      </c>
      <c r="AJ35" s="17">
        <v>0</v>
      </c>
      <c r="AK35" s="17">
        <v>762.25806451612902</v>
      </c>
      <c r="AL35" s="17">
        <v>1240</v>
      </c>
      <c r="AM35" s="17">
        <v>180190</v>
      </c>
      <c r="AN35" s="17">
        <v>22274</v>
      </c>
      <c r="AO35" s="17">
        <v>0</v>
      </c>
      <c r="AP35" s="17">
        <v>831.61290322580646</v>
      </c>
      <c r="AQ35" s="17">
        <v>1232.258064516129</v>
      </c>
      <c r="AR35" s="17">
        <v>101659</v>
      </c>
      <c r="AS35" s="17">
        <v>23573</v>
      </c>
      <c r="AT35" s="17">
        <v>0</v>
      </c>
      <c r="AU35" s="17">
        <v>1099</v>
      </c>
      <c r="AV35" s="17">
        <v>1219.3333333333333</v>
      </c>
      <c r="AW35" s="17">
        <v>216932</v>
      </c>
      <c r="AX35" s="17">
        <v>44325</v>
      </c>
      <c r="AY35" s="17">
        <v>0</v>
      </c>
      <c r="AZ35" s="17">
        <v>1193.5483870967741</v>
      </c>
      <c r="BA35" s="17">
        <v>1220</v>
      </c>
      <c r="BB35" s="17">
        <v>191293</v>
      </c>
      <c r="BC35" s="17">
        <v>46307</v>
      </c>
      <c r="BD35" s="17">
        <v>0</v>
      </c>
      <c r="BE35" s="17">
        <v>1146.3333333333333</v>
      </c>
      <c r="BF35" s="17">
        <v>1209.3333333333333</v>
      </c>
      <c r="BG35" s="17">
        <v>187347</v>
      </c>
      <c r="BH35" s="17">
        <v>30901</v>
      </c>
      <c r="BI35" s="17">
        <v>0</v>
      </c>
      <c r="BJ35" s="17">
        <v>1100</v>
      </c>
      <c r="BK35" s="17">
        <v>1193.5483870967741</v>
      </c>
    </row>
    <row r="36" spans="1:63" x14ac:dyDescent="0.35">
      <c r="A36" s="18">
        <v>32</v>
      </c>
      <c r="B36" s="41" t="s">
        <v>241</v>
      </c>
      <c r="C36" s="19" t="s">
        <v>296</v>
      </c>
      <c r="D36" s="17">
        <v>177800</v>
      </c>
      <c r="E36" s="17">
        <v>23357</v>
      </c>
      <c r="F36" s="17">
        <v>0</v>
      </c>
      <c r="G36" s="17">
        <v>670</v>
      </c>
      <c r="H36" s="17">
        <v>1078.0645161290322</v>
      </c>
      <c r="I36" s="17">
        <v>160782</v>
      </c>
      <c r="J36" s="17">
        <v>20150</v>
      </c>
      <c r="K36" s="17">
        <v>0</v>
      </c>
      <c r="L36" s="17">
        <v>679.10714285714289</v>
      </c>
      <c r="M36" s="17">
        <v>1405.7142857142858</v>
      </c>
      <c r="N36" s="17">
        <v>165467</v>
      </c>
      <c r="O36" s="17">
        <v>22286</v>
      </c>
      <c r="P36" s="17">
        <v>0</v>
      </c>
      <c r="Q36" s="17">
        <v>690</v>
      </c>
      <c r="R36" s="17">
        <v>1611.2903225806451</v>
      </c>
      <c r="S36" s="17">
        <v>192852</v>
      </c>
      <c r="T36" s="17">
        <v>21729</v>
      </c>
      <c r="U36" s="17">
        <v>0</v>
      </c>
      <c r="V36" s="17">
        <v>696</v>
      </c>
      <c r="W36" s="17">
        <v>1405.6666666666667</v>
      </c>
      <c r="X36" s="17">
        <v>142820</v>
      </c>
      <c r="Y36" s="17">
        <v>19266</v>
      </c>
      <c r="Z36" s="17">
        <v>0</v>
      </c>
      <c r="AA36" s="17">
        <v>803.87096774193549</v>
      </c>
      <c r="AB36" s="17">
        <v>1245.1612903225807</v>
      </c>
      <c r="AC36" s="17">
        <v>144734</v>
      </c>
      <c r="AD36" s="17">
        <v>13820</v>
      </c>
      <c r="AE36" s="17">
        <v>0</v>
      </c>
      <c r="AF36" s="17">
        <v>715.66666666666663</v>
      </c>
      <c r="AG36" s="17">
        <v>1227.3333333333333</v>
      </c>
      <c r="AH36" s="17">
        <v>237176</v>
      </c>
      <c r="AI36" s="17">
        <v>13835</v>
      </c>
      <c r="AJ36" s="17">
        <v>0</v>
      </c>
      <c r="AK36" s="17">
        <v>757.90322580645159</v>
      </c>
      <c r="AL36" s="17">
        <v>1240</v>
      </c>
      <c r="AM36" s="17">
        <v>111504</v>
      </c>
      <c r="AN36" s="17">
        <v>7218</v>
      </c>
      <c r="AO36" s="17">
        <v>0</v>
      </c>
      <c r="AP36" s="17">
        <v>860.9677419354839</v>
      </c>
      <c r="AQ36" s="17">
        <v>1240</v>
      </c>
      <c r="AR36" s="17">
        <v>128517</v>
      </c>
      <c r="AS36" s="17">
        <v>11068</v>
      </c>
      <c r="AT36" s="17">
        <v>0</v>
      </c>
      <c r="AU36" s="17">
        <v>1086.6666666666667</v>
      </c>
      <c r="AV36" s="17">
        <v>1240</v>
      </c>
      <c r="AW36" s="17">
        <v>155540</v>
      </c>
      <c r="AX36" s="17">
        <v>21129</v>
      </c>
      <c r="AY36" s="17">
        <v>0</v>
      </c>
      <c r="AZ36" s="17">
        <v>1180.9677419354839</v>
      </c>
      <c r="BA36" s="17">
        <v>1237.0967741935483</v>
      </c>
      <c r="BB36" s="17">
        <v>159238</v>
      </c>
      <c r="BC36" s="17">
        <v>28748</v>
      </c>
      <c r="BD36" s="17">
        <v>0</v>
      </c>
      <c r="BE36" s="17">
        <v>1143</v>
      </c>
      <c r="BF36" s="17">
        <v>1208.6666666666667</v>
      </c>
      <c r="BG36" s="17">
        <v>178584</v>
      </c>
      <c r="BH36" s="17">
        <v>21522</v>
      </c>
      <c r="BI36" s="17">
        <v>0</v>
      </c>
      <c r="BJ36" s="17">
        <v>1087.4193548387098</v>
      </c>
      <c r="BK36" s="17">
        <v>1190</v>
      </c>
    </row>
    <row r="37" spans="1:63" x14ac:dyDescent="0.35">
      <c r="A37" s="18">
        <v>33</v>
      </c>
      <c r="B37" s="41" t="s">
        <v>231</v>
      </c>
      <c r="C37" s="19" t="s">
        <v>297</v>
      </c>
      <c r="D37" s="17">
        <v>286101</v>
      </c>
      <c r="E37" s="17">
        <v>26507</v>
      </c>
      <c r="F37" s="17">
        <v>0</v>
      </c>
      <c r="G37" s="17">
        <v>660</v>
      </c>
      <c r="H37" s="17">
        <v>1078.7096774193549</v>
      </c>
      <c r="I37" s="17">
        <v>325488</v>
      </c>
      <c r="J37" s="17">
        <v>13277</v>
      </c>
      <c r="K37" s="17">
        <v>0</v>
      </c>
      <c r="L37" s="17">
        <v>674.64285714285711</v>
      </c>
      <c r="M37" s="17">
        <v>1383.9285714285713</v>
      </c>
      <c r="N37" s="17">
        <v>327884</v>
      </c>
      <c r="O37" s="17">
        <v>5132</v>
      </c>
      <c r="P37" s="17">
        <v>0</v>
      </c>
      <c r="Q37" s="17">
        <v>695</v>
      </c>
      <c r="R37" s="17">
        <v>1603.2258064516129</v>
      </c>
      <c r="S37" s="17">
        <v>324247</v>
      </c>
      <c r="T37" s="17">
        <v>21433</v>
      </c>
      <c r="U37" s="17">
        <v>0</v>
      </c>
      <c r="V37" s="17">
        <v>696.33333333333337</v>
      </c>
      <c r="W37" s="17">
        <v>1360.5</v>
      </c>
      <c r="X37" s="17">
        <v>245645</v>
      </c>
      <c r="Y37" s="17">
        <v>23168</v>
      </c>
      <c r="Z37" s="17">
        <v>0</v>
      </c>
      <c r="AA37" s="17">
        <v>791.93548387096769</v>
      </c>
      <c r="AB37" s="17">
        <v>1227.0967741935483</v>
      </c>
      <c r="AC37" s="17">
        <v>260944</v>
      </c>
      <c r="AD37" s="17">
        <v>23950</v>
      </c>
      <c r="AE37" s="17">
        <v>0</v>
      </c>
      <c r="AF37" s="17">
        <v>767.33333333333337</v>
      </c>
      <c r="AG37" s="17">
        <v>1236.3333333333333</v>
      </c>
      <c r="AH37" s="17">
        <v>268199</v>
      </c>
      <c r="AI37" s="17">
        <v>6859</v>
      </c>
      <c r="AJ37" s="17">
        <v>0</v>
      </c>
      <c r="AK37" s="17">
        <v>770.64516129032256</v>
      </c>
      <c r="AL37" s="17">
        <v>1255</v>
      </c>
      <c r="AM37" s="17">
        <v>153349</v>
      </c>
      <c r="AN37" s="17">
        <v>3576</v>
      </c>
      <c r="AO37" s="17">
        <v>0</v>
      </c>
      <c r="AP37" s="17">
        <v>875.80645161290317</v>
      </c>
      <c r="AQ37" s="17">
        <v>1255</v>
      </c>
      <c r="AR37" s="17">
        <v>206596</v>
      </c>
      <c r="AS37" s="17">
        <v>4482</v>
      </c>
      <c r="AT37" s="17">
        <v>0</v>
      </c>
      <c r="AU37" s="17">
        <v>1068</v>
      </c>
      <c r="AV37" s="17">
        <v>1254.3333333333333</v>
      </c>
      <c r="AW37" s="17">
        <v>230227</v>
      </c>
      <c r="AX37" s="17">
        <v>3028</v>
      </c>
      <c r="AY37" s="17">
        <v>0</v>
      </c>
      <c r="AZ37" s="17">
        <v>1206.4516129032259</v>
      </c>
      <c r="BA37" s="17">
        <v>1244.8387096774193</v>
      </c>
      <c r="BB37" s="17">
        <v>180306</v>
      </c>
      <c r="BC37" s="17">
        <v>4265</v>
      </c>
      <c r="BD37" s="17">
        <v>0</v>
      </c>
      <c r="BE37" s="17">
        <v>1142.1666666666667</v>
      </c>
      <c r="BF37" s="17">
        <v>1215.3333333333333</v>
      </c>
      <c r="BG37" s="17">
        <v>128255</v>
      </c>
      <c r="BH37" s="17">
        <v>9928</v>
      </c>
      <c r="BI37" s="17">
        <v>0</v>
      </c>
      <c r="BJ37" s="17">
        <v>1078.7096774193549</v>
      </c>
      <c r="BK37" s="17">
        <v>1200</v>
      </c>
    </row>
    <row r="38" spans="1:63" x14ac:dyDescent="0.35">
      <c r="A38" s="18">
        <v>34</v>
      </c>
      <c r="B38" s="41" t="s">
        <v>237</v>
      </c>
      <c r="C38" s="19" t="s">
        <v>298</v>
      </c>
      <c r="D38" s="17">
        <v>124500</v>
      </c>
      <c r="E38" s="17">
        <v>6092</v>
      </c>
      <c r="F38" s="17">
        <v>0</v>
      </c>
      <c r="G38" s="17">
        <v>650.48387096774195</v>
      </c>
      <c r="H38" s="17">
        <v>1058.7096774193549</v>
      </c>
      <c r="I38" s="17">
        <v>125087</v>
      </c>
      <c r="J38" s="17">
        <v>11142</v>
      </c>
      <c r="K38" s="17">
        <v>0</v>
      </c>
      <c r="L38" s="17">
        <v>669.46428571428567</v>
      </c>
      <c r="M38" s="17">
        <v>1407.1428571428571</v>
      </c>
      <c r="N38" s="17">
        <v>126467</v>
      </c>
      <c r="O38" s="17">
        <v>10951</v>
      </c>
      <c r="P38" s="17">
        <v>0</v>
      </c>
      <c r="Q38" s="17">
        <v>695</v>
      </c>
      <c r="R38" s="17">
        <v>1590.3225806451612</v>
      </c>
      <c r="S38" s="17">
        <v>142397</v>
      </c>
      <c r="T38" s="17">
        <v>13674</v>
      </c>
      <c r="U38" s="17">
        <v>0</v>
      </c>
      <c r="V38" s="17">
        <v>695</v>
      </c>
      <c r="W38" s="17">
        <v>1353.6666666666667</v>
      </c>
      <c r="X38" s="17">
        <v>179711</v>
      </c>
      <c r="Y38" s="17">
        <v>9748</v>
      </c>
      <c r="Z38" s="17">
        <v>0</v>
      </c>
      <c r="AA38" s="17">
        <v>742.58064516129036</v>
      </c>
      <c r="AB38" s="17">
        <v>1197.4193548387098</v>
      </c>
      <c r="AC38" s="17">
        <v>153389</v>
      </c>
      <c r="AD38" s="17">
        <v>8143</v>
      </c>
      <c r="AE38" s="17">
        <v>0</v>
      </c>
      <c r="AF38" s="17">
        <v>740.33333333333337</v>
      </c>
      <c r="AG38" s="17">
        <v>1201.3333333333333</v>
      </c>
      <c r="AH38" s="17">
        <v>185701</v>
      </c>
      <c r="AI38" s="17">
        <v>6724</v>
      </c>
      <c r="AJ38" s="17">
        <v>0</v>
      </c>
      <c r="AK38" s="17">
        <v>750.80645161290317</v>
      </c>
      <c r="AL38" s="17">
        <v>1220</v>
      </c>
      <c r="AM38" s="17">
        <v>129536</v>
      </c>
      <c r="AN38" s="17">
        <v>7028</v>
      </c>
      <c r="AO38" s="17">
        <v>0</v>
      </c>
      <c r="AP38" s="17">
        <v>867.41935483870964</v>
      </c>
      <c r="AQ38" s="17">
        <v>1220</v>
      </c>
      <c r="AR38" s="17">
        <v>194647</v>
      </c>
      <c r="AS38" s="17">
        <v>7101</v>
      </c>
      <c r="AT38" s="17">
        <v>0</v>
      </c>
      <c r="AU38" s="17">
        <v>1108.8333333333333</v>
      </c>
      <c r="AV38" s="17">
        <v>1220</v>
      </c>
      <c r="AW38" s="17">
        <v>227787</v>
      </c>
      <c r="AX38" s="17">
        <v>9839</v>
      </c>
      <c r="AY38" s="17">
        <v>0</v>
      </c>
      <c r="AZ38" s="17">
        <v>1150.6451612903227</v>
      </c>
      <c r="BA38" s="17">
        <v>1211.2903225806451</v>
      </c>
      <c r="BB38" s="17">
        <v>161188</v>
      </c>
      <c r="BC38" s="17">
        <v>13769</v>
      </c>
      <c r="BD38" s="17">
        <v>0</v>
      </c>
      <c r="BE38" s="17">
        <v>1138.3333333333333</v>
      </c>
      <c r="BF38" s="17">
        <v>1179.3333333333333</v>
      </c>
      <c r="BG38" s="17">
        <v>150412</v>
      </c>
      <c r="BH38" s="17">
        <v>18258</v>
      </c>
      <c r="BI38" s="17">
        <v>0</v>
      </c>
      <c r="BJ38" s="17">
        <v>1081.6129032258063</v>
      </c>
      <c r="BK38" s="17">
        <v>1153.2258064516129</v>
      </c>
    </row>
    <row r="39" spans="1:63" x14ac:dyDescent="0.35">
      <c r="A39" s="18">
        <v>35</v>
      </c>
      <c r="B39" s="41" t="s">
        <v>237</v>
      </c>
      <c r="C39" s="19" t="s">
        <v>299</v>
      </c>
      <c r="D39" s="17">
        <v>157337</v>
      </c>
      <c r="E39" s="17">
        <v>13743</v>
      </c>
      <c r="F39" s="17">
        <v>0</v>
      </c>
      <c r="G39" s="17">
        <v>650.48387096774195</v>
      </c>
      <c r="H39" s="17">
        <v>1058.7096774193549</v>
      </c>
      <c r="I39" s="17">
        <v>139529</v>
      </c>
      <c r="J39" s="17">
        <v>7315</v>
      </c>
      <c r="K39" s="17">
        <v>0</v>
      </c>
      <c r="L39" s="17">
        <v>669.46428571428567</v>
      </c>
      <c r="M39" s="17">
        <v>1401.0714285714287</v>
      </c>
      <c r="N39" s="17">
        <v>141922</v>
      </c>
      <c r="O39" s="17">
        <v>3764</v>
      </c>
      <c r="P39" s="17">
        <v>0</v>
      </c>
      <c r="Q39" s="17">
        <v>695</v>
      </c>
      <c r="R39" s="17">
        <v>1641.9354838709678</v>
      </c>
      <c r="S39" s="17">
        <v>189935</v>
      </c>
      <c r="T39" s="17">
        <v>16467</v>
      </c>
      <c r="U39" s="17">
        <v>0</v>
      </c>
      <c r="V39" s="17">
        <v>695</v>
      </c>
      <c r="W39" s="17">
        <v>1388.6666666666667</v>
      </c>
      <c r="X39" s="17">
        <v>252946</v>
      </c>
      <c r="Y39" s="17">
        <v>14243</v>
      </c>
      <c r="Z39" s="17">
        <v>0</v>
      </c>
      <c r="AA39" s="17">
        <v>742.58064516129036</v>
      </c>
      <c r="AB39" s="17">
        <v>1197.4193548387098</v>
      </c>
      <c r="AC39" s="17">
        <v>192140</v>
      </c>
      <c r="AD39" s="17">
        <v>13059</v>
      </c>
      <c r="AE39" s="17">
        <v>0</v>
      </c>
      <c r="AF39" s="17">
        <v>740.33333333333337</v>
      </c>
      <c r="AG39" s="17">
        <v>1201.3333333333333</v>
      </c>
      <c r="AH39" s="17">
        <v>262718</v>
      </c>
      <c r="AI39" s="17">
        <v>12331</v>
      </c>
      <c r="AJ39" s="17">
        <v>0</v>
      </c>
      <c r="AK39" s="17">
        <v>750.80645161290317</v>
      </c>
      <c r="AL39" s="17">
        <v>1220</v>
      </c>
      <c r="AM39" s="17">
        <v>181260</v>
      </c>
      <c r="AN39" s="17">
        <v>9877</v>
      </c>
      <c r="AO39" s="17">
        <v>0</v>
      </c>
      <c r="AP39" s="17">
        <v>867.41935483870964</v>
      </c>
      <c r="AQ39" s="17">
        <v>1219.3548387096773</v>
      </c>
      <c r="AR39" s="17">
        <v>200754</v>
      </c>
      <c r="AS39" s="17">
        <v>12698</v>
      </c>
      <c r="AT39" s="17">
        <v>0</v>
      </c>
      <c r="AU39" s="17">
        <v>1108.8333333333333</v>
      </c>
      <c r="AV39" s="17">
        <v>1220</v>
      </c>
      <c r="AW39" s="17">
        <v>293951</v>
      </c>
      <c r="AX39" s="17">
        <v>11225</v>
      </c>
      <c r="AY39" s="17">
        <v>0</v>
      </c>
      <c r="AZ39" s="17">
        <v>1150.6451612903227</v>
      </c>
      <c r="BA39" s="17">
        <v>1211.2903225806451</v>
      </c>
      <c r="BB39" s="17">
        <v>190160</v>
      </c>
      <c r="BC39" s="17">
        <v>13569</v>
      </c>
      <c r="BD39" s="17">
        <v>0</v>
      </c>
      <c r="BE39" s="17">
        <v>1138.3333333333333</v>
      </c>
      <c r="BF39" s="17">
        <v>1179.3333333333333</v>
      </c>
      <c r="BG39" s="17">
        <v>205978</v>
      </c>
      <c r="BH39" s="17">
        <v>15993</v>
      </c>
      <c r="BI39" s="17">
        <v>0</v>
      </c>
      <c r="BJ39" s="17">
        <v>1081.6129032258063</v>
      </c>
      <c r="BK39" s="17">
        <v>1153.2258064516129</v>
      </c>
    </row>
    <row r="40" spans="1:63" x14ac:dyDescent="0.35">
      <c r="A40" s="18">
        <v>36</v>
      </c>
      <c r="B40" s="41" t="s">
        <v>235</v>
      </c>
      <c r="C40" s="19" t="s">
        <v>300</v>
      </c>
      <c r="D40" s="17">
        <v>376412</v>
      </c>
      <c r="E40" s="17">
        <v>10660</v>
      </c>
      <c r="F40" s="17">
        <v>0</v>
      </c>
      <c r="G40" s="17">
        <v>660</v>
      </c>
      <c r="H40" s="17">
        <v>1075.483870967742</v>
      </c>
      <c r="I40" s="17">
        <v>456603</v>
      </c>
      <c r="J40" s="17">
        <v>12114</v>
      </c>
      <c r="K40" s="17">
        <v>0</v>
      </c>
      <c r="L40" s="17">
        <v>672.85714285714289</v>
      </c>
      <c r="M40" s="17">
        <v>1399.8214285714287</v>
      </c>
      <c r="N40" s="17">
        <v>456341</v>
      </c>
      <c r="O40" s="17">
        <v>15469</v>
      </c>
      <c r="P40" s="17">
        <v>0</v>
      </c>
      <c r="Q40" s="17">
        <v>680</v>
      </c>
      <c r="R40" s="17">
        <v>1594.3548387096773</v>
      </c>
      <c r="S40" s="17">
        <v>454643</v>
      </c>
      <c r="T40" s="17">
        <v>13354</v>
      </c>
      <c r="U40" s="17">
        <v>0</v>
      </c>
      <c r="V40" s="17">
        <v>683.33333333333337</v>
      </c>
      <c r="W40" s="17">
        <v>1388.3333333333333</v>
      </c>
      <c r="X40" s="17">
        <v>571072</v>
      </c>
      <c r="Y40" s="17">
        <v>9400</v>
      </c>
      <c r="Z40" s="17">
        <v>0</v>
      </c>
      <c r="AA40" s="17">
        <v>692.09677419354841</v>
      </c>
      <c r="AB40" s="17">
        <v>1232.0967741935483</v>
      </c>
      <c r="AC40" s="17">
        <v>502719</v>
      </c>
      <c r="AD40" s="17">
        <v>9659</v>
      </c>
      <c r="AE40" s="17">
        <v>0</v>
      </c>
      <c r="AF40" s="17">
        <v>683.66666666666663</v>
      </c>
      <c r="AG40" s="17">
        <v>1210.3333333333333</v>
      </c>
      <c r="AH40" s="17">
        <v>655840</v>
      </c>
      <c r="AI40" s="17">
        <v>10389</v>
      </c>
      <c r="AJ40" s="17">
        <v>0</v>
      </c>
      <c r="AK40" s="17">
        <v>695.09677419354841</v>
      </c>
      <c r="AL40" s="17">
        <v>1220</v>
      </c>
      <c r="AM40" s="17">
        <v>380986</v>
      </c>
      <c r="AN40" s="17">
        <v>5968</v>
      </c>
      <c r="AO40" s="17">
        <v>0</v>
      </c>
      <c r="AP40" s="17">
        <v>703.74193548387098</v>
      </c>
      <c r="AQ40" s="17">
        <v>1220</v>
      </c>
      <c r="AR40" s="17">
        <v>324080</v>
      </c>
      <c r="AS40" s="17">
        <v>4816</v>
      </c>
      <c r="AT40" s="17">
        <v>0</v>
      </c>
      <c r="AU40" s="17">
        <v>979.66666666666663</v>
      </c>
      <c r="AV40" s="17">
        <v>1220</v>
      </c>
      <c r="AW40" s="17">
        <v>617534</v>
      </c>
      <c r="AX40" s="17">
        <v>10350</v>
      </c>
      <c r="AY40" s="17">
        <v>0</v>
      </c>
      <c r="AZ40" s="17">
        <v>1090.6451612903227</v>
      </c>
      <c r="BA40" s="17">
        <v>1220</v>
      </c>
      <c r="BB40" s="17">
        <v>484649</v>
      </c>
      <c r="BC40" s="17">
        <v>10915</v>
      </c>
      <c r="BD40" s="17">
        <v>0</v>
      </c>
      <c r="BE40" s="17">
        <v>1131.8333333333333</v>
      </c>
      <c r="BF40" s="17">
        <v>1195</v>
      </c>
      <c r="BG40" s="17">
        <v>421429</v>
      </c>
      <c r="BH40" s="17">
        <v>9449</v>
      </c>
      <c r="BI40" s="17">
        <v>0</v>
      </c>
      <c r="BJ40" s="17">
        <v>1086.7741935483871</v>
      </c>
      <c r="BK40" s="17">
        <v>1190</v>
      </c>
    </row>
    <row r="41" spans="1:63" x14ac:dyDescent="0.35">
      <c r="A41" s="18">
        <v>37</v>
      </c>
      <c r="B41" s="41" t="s">
        <v>237</v>
      </c>
      <c r="C41" s="19" t="s">
        <v>301</v>
      </c>
      <c r="D41" s="17">
        <v>256789</v>
      </c>
      <c r="E41" s="17">
        <v>8706</v>
      </c>
      <c r="F41" s="17">
        <v>0</v>
      </c>
      <c r="G41" s="17">
        <v>650.48387096774195</v>
      </c>
      <c r="H41" s="17">
        <v>1055.9677419354839</v>
      </c>
      <c r="I41" s="17">
        <v>251994</v>
      </c>
      <c r="J41" s="17">
        <v>8431</v>
      </c>
      <c r="K41" s="17">
        <v>0</v>
      </c>
      <c r="L41" s="17">
        <v>669.46428571428567</v>
      </c>
      <c r="M41" s="17">
        <v>1406.4285714285713</v>
      </c>
      <c r="N41" s="17">
        <v>251170</v>
      </c>
      <c r="O41" s="17">
        <v>13348</v>
      </c>
      <c r="P41" s="17">
        <v>0</v>
      </c>
      <c r="Q41" s="17">
        <v>695</v>
      </c>
      <c r="R41" s="17">
        <v>1590.3225806451612</v>
      </c>
      <c r="S41" s="17">
        <v>260995</v>
      </c>
      <c r="T41" s="17">
        <v>17341</v>
      </c>
      <c r="U41" s="17">
        <v>0</v>
      </c>
      <c r="V41" s="17">
        <v>695</v>
      </c>
      <c r="W41" s="17">
        <v>1353.6666666666667</v>
      </c>
      <c r="X41" s="17">
        <v>245034</v>
      </c>
      <c r="Y41" s="17">
        <v>9983</v>
      </c>
      <c r="Z41" s="17">
        <v>0</v>
      </c>
      <c r="AA41" s="17">
        <v>742.58064516129036</v>
      </c>
      <c r="AB41" s="17">
        <v>1197.0967741935483</v>
      </c>
      <c r="AC41" s="17">
        <v>222130</v>
      </c>
      <c r="AD41" s="17">
        <v>12538</v>
      </c>
      <c r="AE41" s="17">
        <v>0</v>
      </c>
      <c r="AF41" s="17">
        <v>741.33333333333337</v>
      </c>
      <c r="AG41" s="17">
        <v>1201.3333333333333</v>
      </c>
      <c r="AH41" s="17">
        <v>327974</v>
      </c>
      <c r="AI41" s="17">
        <v>17994</v>
      </c>
      <c r="AJ41" s="17">
        <v>0</v>
      </c>
      <c r="AK41" s="17">
        <v>750.80645161290317</v>
      </c>
      <c r="AL41" s="17">
        <v>1220</v>
      </c>
      <c r="AM41" s="17">
        <v>119980</v>
      </c>
      <c r="AN41" s="17">
        <v>7541</v>
      </c>
      <c r="AO41" s="17">
        <v>0</v>
      </c>
      <c r="AP41" s="17">
        <v>867.41935483870964</v>
      </c>
      <c r="AQ41" s="17">
        <v>1220</v>
      </c>
      <c r="AR41" s="17">
        <v>186094</v>
      </c>
      <c r="AS41" s="17">
        <v>11059</v>
      </c>
      <c r="AT41" s="17">
        <v>0</v>
      </c>
      <c r="AU41" s="17">
        <v>1108.8333333333333</v>
      </c>
      <c r="AV41" s="17">
        <v>1220</v>
      </c>
      <c r="AW41" s="17">
        <v>252752</v>
      </c>
      <c r="AX41" s="17">
        <v>15229</v>
      </c>
      <c r="AY41" s="17">
        <v>0</v>
      </c>
      <c r="AZ41" s="17">
        <v>1150.6451612903227</v>
      </c>
      <c r="BA41" s="17">
        <v>1211.2903225806451</v>
      </c>
      <c r="BB41" s="17">
        <v>216907</v>
      </c>
      <c r="BC41" s="17">
        <v>18746</v>
      </c>
      <c r="BD41" s="17">
        <v>0</v>
      </c>
      <c r="BE41" s="17">
        <v>1138.3333333333333</v>
      </c>
      <c r="BF41" s="17">
        <v>1179.3333333333333</v>
      </c>
      <c r="BG41" s="17">
        <v>191634</v>
      </c>
      <c r="BH41" s="17">
        <v>22706</v>
      </c>
      <c r="BI41" s="17">
        <v>0</v>
      </c>
      <c r="BJ41" s="17">
        <v>1081.6129032258063</v>
      </c>
      <c r="BK41" s="17">
        <v>1153.2258064516129</v>
      </c>
    </row>
    <row r="42" spans="1:63" x14ac:dyDescent="0.35">
      <c r="A42" s="18">
        <v>38</v>
      </c>
      <c r="B42" s="41" t="s">
        <v>237</v>
      </c>
      <c r="C42" s="19" t="s">
        <v>302</v>
      </c>
      <c r="D42" s="17">
        <v>257262</v>
      </c>
      <c r="E42" s="17">
        <v>31110</v>
      </c>
      <c r="F42" s="17">
        <v>0</v>
      </c>
      <c r="G42" s="17">
        <v>650.48387096774195</v>
      </c>
      <c r="H42" s="17">
        <v>1047.5806451612902</v>
      </c>
      <c r="I42" s="17">
        <v>254061</v>
      </c>
      <c r="J42" s="17">
        <v>22686</v>
      </c>
      <c r="K42" s="17">
        <v>0</v>
      </c>
      <c r="L42" s="17">
        <v>669.46428571428567</v>
      </c>
      <c r="M42" s="17">
        <v>1404.2857142857142</v>
      </c>
      <c r="N42" s="17">
        <v>222548</v>
      </c>
      <c r="O42" s="17">
        <v>23743</v>
      </c>
      <c r="P42" s="17">
        <v>0</v>
      </c>
      <c r="Q42" s="17">
        <v>695</v>
      </c>
      <c r="R42" s="17">
        <v>1590.3225806451612</v>
      </c>
      <c r="S42" s="17">
        <v>268078</v>
      </c>
      <c r="T42" s="17">
        <v>46266</v>
      </c>
      <c r="U42" s="17">
        <v>0</v>
      </c>
      <c r="V42" s="17">
        <v>695</v>
      </c>
      <c r="W42" s="17">
        <v>1349</v>
      </c>
      <c r="X42" s="17">
        <v>276567</v>
      </c>
      <c r="Y42" s="17">
        <v>26299</v>
      </c>
      <c r="Z42" s="17">
        <v>0</v>
      </c>
      <c r="AA42" s="17">
        <v>742.58064516129036</v>
      </c>
      <c r="AB42" s="17">
        <v>1197.4193548387098</v>
      </c>
      <c r="AC42" s="17">
        <v>231283</v>
      </c>
      <c r="AD42" s="17">
        <v>25477</v>
      </c>
      <c r="AE42" s="17">
        <v>0</v>
      </c>
      <c r="AF42" s="17">
        <v>735.33333333333337</v>
      </c>
      <c r="AG42" s="17">
        <v>1201.3333333333333</v>
      </c>
      <c r="AH42" s="17">
        <v>304825</v>
      </c>
      <c r="AI42" s="17">
        <v>19274</v>
      </c>
      <c r="AJ42" s="17">
        <v>0</v>
      </c>
      <c r="AK42" s="17">
        <v>750.80645161290317</v>
      </c>
      <c r="AL42" s="17">
        <v>1220</v>
      </c>
      <c r="AM42" s="17">
        <v>167502</v>
      </c>
      <c r="AN42" s="17">
        <v>16378</v>
      </c>
      <c r="AO42" s="17">
        <v>0</v>
      </c>
      <c r="AP42" s="17">
        <v>867.41935483870964</v>
      </c>
      <c r="AQ42" s="17">
        <v>1220</v>
      </c>
      <c r="AR42" s="17">
        <v>247830</v>
      </c>
      <c r="AS42" s="17">
        <v>16138</v>
      </c>
      <c r="AT42" s="17">
        <v>0</v>
      </c>
      <c r="AU42" s="17">
        <v>1108.8333333333333</v>
      </c>
      <c r="AV42" s="17">
        <v>1220</v>
      </c>
      <c r="AW42" s="17">
        <v>273072</v>
      </c>
      <c r="AX42" s="17">
        <v>18313</v>
      </c>
      <c r="AY42" s="17">
        <v>0</v>
      </c>
      <c r="AZ42" s="17">
        <v>1150.6451612903227</v>
      </c>
      <c r="BA42" s="17">
        <v>1211.2903225806451</v>
      </c>
      <c r="BB42" s="17">
        <v>170782</v>
      </c>
      <c r="BC42" s="17">
        <v>14402</v>
      </c>
      <c r="BD42" s="17">
        <v>0</v>
      </c>
      <c r="BE42" s="17">
        <v>1138.3333333333333</v>
      </c>
      <c r="BF42" s="17">
        <v>1179.3333333333333</v>
      </c>
      <c r="BG42" s="17">
        <v>185917</v>
      </c>
      <c r="BH42" s="17">
        <v>0</v>
      </c>
      <c r="BI42" s="17">
        <v>0</v>
      </c>
      <c r="BJ42" s="17">
        <v>1081.6129032258063</v>
      </c>
      <c r="BK42" s="17">
        <v>1153.2258064516129</v>
      </c>
    </row>
    <row r="43" spans="1:63" x14ac:dyDescent="0.35">
      <c r="A43" s="18">
        <v>39</v>
      </c>
      <c r="B43" s="41" t="s">
        <v>242</v>
      </c>
      <c r="C43" s="19" t="s">
        <v>303</v>
      </c>
      <c r="D43" s="17">
        <v>221854</v>
      </c>
      <c r="E43" s="17">
        <v>44263</v>
      </c>
      <c r="F43" s="17">
        <v>0</v>
      </c>
      <c r="G43" s="17">
        <v>652.25806451612902</v>
      </c>
      <c r="H43" s="17">
        <v>1057.258064516129</v>
      </c>
      <c r="I43" s="17">
        <v>186204</v>
      </c>
      <c r="J43" s="17">
        <v>29723</v>
      </c>
      <c r="K43" s="17">
        <v>0</v>
      </c>
      <c r="L43" s="17">
        <v>669.28571428571433</v>
      </c>
      <c r="M43" s="17">
        <v>1406.4285714285713</v>
      </c>
      <c r="N43" s="17">
        <v>221767</v>
      </c>
      <c r="O43" s="17">
        <v>23594</v>
      </c>
      <c r="P43" s="17">
        <v>0</v>
      </c>
      <c r="Q43" s="17">
        <v>695</v>
      </c>
      <c r="R43" s="17">
        <v>1590.3225806451612</v>
      </c>
      <c r="S43" s="17">
        <v>263887</v>
      </c>
      <c r="T43" s="17">
        <v>29645</v>
      </c>
      <c r="U43" s="17">
        <v>0</v>
      </c>
      <c r="V43" s="17">
        <v>695</v>
      </c>
      <c r="W43" s="17">
        <v>1357</v>
      </c>
      <c r="X43" s="17">
        <v>207810</v>
      </c>
      <c r="Y43" s="17">
        <v>35340</v>
      </c>
      <c r="Z43" s="17">
        <v>0</v>
      </c>
      <c r="AA43" s="17">
        <v>740.9677419354839</v>
      </c>
      <c r="AB43" s="17">
        <v>1197.4193548387098</v>
      </c>
      <c r="AC43" s="17">
        <v>196226</v>
      </c>
      <c r="AD43" s="17">
        <v>25499</v>
      </c>
      <c r="AE43" s="17">
        <v>0</v>
      </c>
      <c r="AF43" s="17">
        <v>726.66666666666663</v>
      </c>
      <c r="AG43" s="17">
        <v>1181.3333333333333</v>
      </c>
      <c r="AH43" s="17">
        <v>259958</v>
      </c>
      <c r="AI43" s="17">
        <v>24651</v>
      </c>
      <c r="AJ43" s="17">
        <v>0</v>
      </c>
      <c r="AK43" s="17">
        <v>746.77419354838707</v>
      </c>
      <c r="AL43" s="17">
        <v>1207.4193548387098</v>
      </c>
      <c r="AM43" s="17">
        <v>124349</v>
      </c>
      <c r="AN43" s="17">
        <v>21820</v>
      </c>
      <c r="AO43" s="17">
        <v>0</v>
      </c>
      <c r="AP43" s="17">
        <v>841.61290322580646</v>
      </c>
      <c r="AQ43" s="17">
        <v>1230</v>
      </c>
      <c r="AR43" s="17">
        <v>163217</v>
      </c>
      <c r="AS43" s="17">
        <v>24132</v>
      </c>
      <c r="AT43" s="17">
        <v>0</v>
      </c>
      <c r="AU43" s="17">
        <v>1107.5</v>
      </c>
      <c r="AV43" s="17">
        <v>1230</v>
      </c>
      <c r="AW43" s="17">
        <v>205967</v>
      </c>
      <c r="AX43" s="17">
        <v>24351</v>
      </c>
      <c r="AY43" s="17">
        <v>0</v>
      </c>
      <c r="AZ43" s="17">
        <v>1186.4516129032259</v>
      </c>
      <c r="BA43" s="17">
        <v>1218.7096774193549</v>
      </c>
      <c r="BB43" s="17">
        <v>205640</v>
      </c>
      <c r="BC43" s="17">
        <v>45823</v>
      </c>
      <c r="BD43" s="17">
        <v>0</v>
      </c>
      <c r="BE43" s="17">
        <v>1129.3333333333333</v>
      </c>
      <c r="BF43" s="17">
        <v>1171.3333333333333</v>
      </c>
      <c r="BG43" s="17">
        <v>215785</v>
      </c>
      <c r="BH43" s="17">
        <v>38861</v>
      </c>
      <c r="BI43" s="17">
        <v>0</v>
      </c>
      <c r="BJ43" s="17">
        <v>1079.0322580645161</v>
      </c>
      <c r="BK43" s="17">
        <v>1150</v>
      </c>
    </row>
    <row r="44" spans="1:63" x14ac:dyDescent="0.35">
      <c r="A44" s="18">
        <v>40</v>
      </c>
      <c r="B44" s="41" t="s">
        <v>242</v>
      </c>
      <c r="C44" s="19" t="s">
        <v>304</v>
      </c>
      <c r="D44" s="17">
        <v>209820</v>
      </c>
      <c r="E44" s="17">
        <v>38188</v>
      </c>
      <c r="F44" s="17">
        <v>1240</v>
      </c>
      <c r="G44" s="17">
        <v>652.09677419354841</v>
      </c>
      <c r="H44" s="17">
        <v>1059.3548387096773</v>
      </c>
      <c r="I44" s="17">
        <v>203657</v>
      </c>
      <c r="J44" s="17">
        <v>43732</v>
      </c>
      <c r="K44" s="17">
        <v>0</v>
      </c>
      <c r="L44" s="17">
        <v>669.28571428571433</v>
      </c>
      <c r="M44" s="17">
        <v>1407.1428571428571</v>
      </c>
      <c r="N44" s="17">
        <v>191732</v>
      </c>
      <c r="O44" s="17">
        <v>38082</v>
      </c>
      <c r="P44" s="17">
        <v>2176</v>
      </c>
      <c r="Q44" s="17">
        <v>695</v>
      </c>
      <c r="R44" s="17">
        <v>1590.3225806451612</v>
      </c>
      <c r="S44" s="17">
        <v>168967</v>
      </c>
      <c r="T44" s="17">
        <v>41578</v>
      </c>
      <c r="U44" s="17">
        <v>1689</v>
      </c>
      <c r="V44" s="17">
        <v>695</v>
      </c>
      <c r="W44" s="17">
        <v>1357</v>
      </c>
      <c r="X44" s="17">
        <v>218843</v>
      </c>
      <c r="Y44" s="17">
        <v>31604</v>
      </c>
      <c r="Z44" s="17">
        <v>1956</v>
      </c>
      <c r="AA44" s="17">
        <v>742.58064516129036</v>
      </c>
      <c r="AB44" s="17">
        <v>1197.4193548387098</v>
      </c>
      <c r="AC44" s="17">
        <v>197572</v>
      </c>
      <c r="AD44" s="17">
        <v>22835</v>
      </c>
      <c r="AE44" s="17">
        <v>1623</v>
      </c>
      <c r="AF44" s="17">
        <v>727.33333333333337</v>
      </c>
      <c r="AG44" s="17">
        <v>1182</v>
      </c>
      <c r="AH44" s="17">
        <v>252508</v>
      </c>
      <c r="AI44" s="17">
        <v>19602</v>
      </c>
      <c r="AJ44" s="17">
        <v>0</v>
      </c>
      <c r="AK44" s="17">
        <v>746.77419354838707</v>
      </c>
      <c r="AL44" s="17">
        <v>1207.4193548387098</v>
      </c>
      <c r="AM44" s="17">
        <v>139758</v>
      </c>
      <c r="AN44" s="17">
        <v>14466</v>
      </c>
      <c r="AO44" s="17">
        <v>0</v>
      </c>
      <c r="AP44" s="17">
        <v>843.22580645161293</v>
      </c>
      <c r="AQ44" s="17">
        <v>1230</v>
      </c>
      <c r="AR44" s="17">
        <v>154762</v>
      </c>
      <c r="AS44" s="17">
        <v>17196</v>
      </c>
      <c r="AT44" s="17">
        <v>1519</v>
      </c>
      <c r="AU44" s="17">
        <v>1107.5</v>
      </c>
      <c r="AV44" s="17">
        <v>1230</v>
      </c>
      <c r="AW44" s="17">
        <v>182377</v>
      </c>
      <c r="AX44" s="17">
        <v>10992</v>
      </c>
      <c r="AY44" s="17">
        <v>431</v>
      </c>
      <c r="AZ44" s="17">
        <v>1186.4516129032259</v>
      </c>
      <c r="BA44" s="17">
        <v>1218.7096774193549</v>
      </c>
      <c r="BB44" s="17">
        <v>176442</v>
      </c>
      <c r="BC44" s="17">
        <v>17870</v>
      </c>
      <c r="BD44" s="17">
        <v>785</v>
      </c>
      <c r="BE44" s="17">
        <v>1129</v>
      </c>
      <c r="BF44" s="17">
        <v>1171.3333333333333</v>
      </c>
      <c r="BG44" s="17">
        <v>190777</v>
      </c>
      <c r="BH44" s="17">
        <v>14731</v>
      </c>
      <c r="BI44" s="17">
        <v>639</v>
      </c>
      <c r="BJ44" s="17">
        <v>1079.6774193548388</v>
      </c>
      <c r="BK44" s="17">
        <v>1150</v>
      </c>
    </row>
    <row r="45" spans="1:63" x14ac:dyDescent="0.35">
      <c r="A45" s="18">
        <v>41</v>
      </c>
      <c r="B45" s="41" t="s">
        <v>231</v>
      </c>
      <c r="C45" s="19" t="s">
        <v>305</v>
      </c>
      <c r="D45" s="17">
        <v>221283</v>
      </c>
      <c r="E45" s="17">
        <v>11088</v>
      </c>
      <c r="F45" s="17">
        <v>0</v>
      </c>
      <c r="G45" s="17">
        <v>666.77419354838707</v>
      </c>
      <c r="H45" s="17">
        <v>1091.6129032258063</v>
      </c>
      <c r="I45" s="17">
        <v>243340</v>
      </c>
      <c r="J45" s="17">
        <v>12524</v>
      </c>
      <c r="K45" s="17">
        <v>0</v>
      </c>
      <c r="L45" s="17">
        <v>678.21428571428567</v>
      </c>
      <c r="M45" s="17">
        <v>1381.0714285714287</v>
      </c>
      <c r="N45" s="17">
        <v>259162</v>
      </c>
      <c r="O45" s="17">
        <v>16054</v>
      </c>
      <c r="P45" s="17">
        <v>0</v>
      </c>
      <c r="Q45" s="17">
        <v>695</v>
      </c>
      <c r="R45" s="17">
        <v>1611.2903225806451</v>
      </c>
      <c r="S45" s="17">
        <v>267670</v>
      </c>
      <c r="T45" s="17">
        <v>29245</v>
      </c>
      <c r="U45" s="17">
        <v>0</v>
      </c>
      <c r="V45" s="17">
        <v>697.83333333333337</v>
      </c>
      <c r="W45" s="17">
        <v>1526.6666666666667</v>
      </c>
      <c r="X45" s="17">
        <v>240407</v>
      </c>
      <c r="Y45" s="17">
        <v>30483</v>
      </c>
      <c r="Z45" s="17">
        <v>408</v>
      </c>
      <c r="AA45" s="17">
        <v>807.58064516129036</v>
      </c>
      <c r="AB45" s="17">
        <v>1255.483870967742</v>
      </c>
      <c r="AC45" s="17">
        <v>281594</v>
      </c>
      <c r="AD45" s="17">
        <v>33892</v>
      </c>
      <c r="AE45" s="17">
        <v>0</v>
      </c>
      <c r="AF45" s="17">
        <v>754.33333333333337</v>
      </c>
      <c r="AG45" s="17">
        <v>1241.3333333333333</v>
      </c>
      <c r="AH45" s="17">
        <v>292310</v>
      </c>
      <c r="AI45" s="17">
        <v>27425</v>
      </c>
      <c r="AJ45" s="17">
        <v>0</v>
      </c>
      <c r="AK45" s="17">
        <v>762.90322580645159</v>
      </c>
      <c r="AL45" s="17">
        <v>1260</v>
      </c>
      <c r="AM45" s="17">
        <v>247561</v>
      </c>
      <c r="AN45" s="17">
        <v>18315</v>
      </c>
      <c r="AO45" s="17">
        <v>100</v>
      </c>
      <c r="AP45" s="17">
        <v>849.67741935483866</v>
      </c>
      <c r="AQ45" s="17">
        <v>1258.0645161290322</v>
      </c>
      <c r="AR45" s="17">
        <v>138788</v>
      </c>
      <c r="AS45" s="17">
        <v>19954</v>
      </c>
      <c r="AT45" s="17">
        <v>0</v>
      </c>
      <c r="AU45" s="17">
        <v>1096</v>
      </c>
      <c r="AV45" s="17">
        <v>1260</v>
      </c>
      <c r="AW45" s="17">
        <v>269373</v>
      </c>
      <c r="AX45" s="17">
        <v>17083</v>
      </c>
      <c r="AY45" s="17">
        <v>0</v>
      </c>
      <c r="AZ45" s="17">
        <v>1192.258064516129</v>
      </c>
      <c r="BA45" s="17">
        <v>1246.4516129032259</v>
      </c>
      <c r="BB45" s="17">
        <v>305048</v>
      </c>
      <c r="BC45" s="17">
        <v>38709</v>
      </c>
      <c r="BD45" s="17">
        <v>0</v>
      </c>
      <c r="BE45" s="17">
        <v>1131.1666666666667</v>
      </c>
      <c r="BF45" s="17">
        <v>1200</v>
      </c>
      <c r="BG45" s="17">
        <v>268366</v>
      </c>
      <c r="BH45" s="17">
        <v>35999</v>
      </c>
      <c r="BI45" s="17">
        <v>0</v>
      </c>
      <c r="BJ45" s="17">
        <v>1072.5806451612902</v>
      </c>
      <c r="BK45" s="17">
        <v>1200</v>
      </c>
    </row>
    <row r="46" spans="1:63" x14ac:dyDescent="0.35">
      <c r="A46" s="18">
        <v>42</v>
      </c>
      <c r="B46" s="41" t="s">
        <v>239</v>
      </c>
      <c r="C46" s="19" t="s">
        <v>306</v>
      </c>
      <c r="D46" s="17">
        <v>380542</v>
      </c>
      <c r="E46" s="17">
        <v>127241</v>
      </c>
      <c r="F46" s="17">
        <v>8960</v>
      </c>
      <c r="G46" s="17">
        <v>654.0322580645161</v>
      </c>
      <c r="H46" s="17">
        <v>1062.9032258064517</v>
      </c>
      <c r="I46" s="17">
        <v>350959</v>
      </c>
      <c r="J46" s="17">
        <v>112244</v>
      </c>
      <c r="K46" s="17">
        <v>6217</v>
      </c>
      <c r="L46" s="17">
        <v>668.75</v>
      </c>
      <c r="M46" s="17">
        <v>1401.4285714285713</v>
      </c>
      <c r="N46" s="17">
        <v>353180</v>
      </c>
      <c r="O46" s="17">
        <v>58220</v>
      </c>
      <c r="P46" s="17">
        <v>5271</v>
      </c>
      <c r="Q46" s="17">
        <v>695</v>
      </c>
      <c r="R46" s="17">
        <v>1590.3225806451612</v>
      </c>
      <c r="S46" s="17">
        <v>391161</v>
      </c>
      <c r="T46" s="17">
        <v>76654</v>
      </c>
      <c r="U46" s="17">
        <v>4353</v>
      </c>
      <c r="V46" s="17">
        <v>696.16666666666663</v>
      </c>
      <c r="W46" s="17">
        <v>1362</v>
      </c>
      <c r="X46" s="17">
        <v>271903</v>
      </c>
      <c r="Y46" s="17">
        <v>44533</v>
      </c>
      <c r="Z46" s="17">
        <v>4532</v>
      </c>
      <c r="AA46" s="17">
        <v>770</v>
      </c>
      <c r="AB46" s="17">
        <v>1214.516129032258</v>
      </c>
      <c r="AC46" s="17">
        <v>295502</v>
      </c>
      <c r="AD46" s="17">
        <v>45078</v>
      </c>
      <c r="AE46" s="17">
        <v>5120</v>
      </c>
      <c r="AF46" s="17">
        <v>752.66666666666663</v>
      </c>
      <c r="AG46" s="17">
        <v>1189.3333333333333</v>
      </c>
      <c r="AH46" s="17">
        <v>426438</v>
      </c>
      <c r="AI46" s="17">
        <v>47596</v>
      </c>
      <c r="AJ46" s="17">
        <v>9219</v>
      </c>
      <c r="AK46" s="17">
        <v>751.45161290322585</v>
      </c>
      <c r="AL46" s="17">
        <v>1208.0645161290322</v>
      </c>
      <c r="AM46" s="17">
        <v>192177</v>
      </c>
      <c r="AN46" s="17">
        <v>37679</v>
      </c>
      <c r="AO46" s="17">
        <v>1457</v>
      </c>
      <c r="AP46" s="17">
        <v>847.25806451612902</v>
      </c>
      <c r="AQ46" s="17">
        <v>1230</v>
      </c>
      <c r="AR46" s="17">
        <v>223343</v>
      </c>
      <c r="AS46" s="17">
        <v>41952</v>
      </c>
      <c r="AT46" s="17">
        <v>0</v>
      </c>
      <c r="AU46" s="17">
        <v>1108.8333333333333</v>
      </c>
      <c r="AV46" s="17">
        <v>1230</v>
      </c>
      <c r="AW46" s="17">
        <v>349757</v>
      </c>
      <c r="AX46" s="17">
        <v>50452</v>
      </c>
      <c r="AY46" s="17">
        <v>1450</v>
      </c>
      <c r="AZ46" s="17">
        <v>1179.6774193548388</v>
      </c>
      <c r="BA46" s="17">
        <v>1218.3870967741937</v>
      </c>
      <c r="BB46" s="17">
        <v>365564</v>
      </c>
      <c r="BC46" s="17">
        <v>65966</v>
      </c>
      <c r="BD46" s="17">
        <v>0</v>
      </c>
      <c r="BE46" s="17">
        <v>1138</v>
      </c>
      <c r="BF46" s="17">
        <v>1170.3333333333333</v>
      </c>
      <c r="BG46" s="17">
        <v>347679</v>
      </c>
      <c r="BH46" s="17">
        <v>61673</v>
      </c>
      <c r="BI46" s="17">
        <v>410</v>
      </c>
      <c r="BJ46" s="17">
        <v>1084.516129032258</v>
      </c>
      <c r="BK46" s="17">
        <v>1150</v>
      </c>
    </row>
    <row r="47" spans="1:63" x14ac:dyDescent="0.35">
      <c r="A47" s="18">
        <v>43</v>
      </c>
      <c r="B47" s="41" t="s">
        <v>239</v>
      </c>
      <c r="C47" s="19" t="s">
        <v>63</v>
      </c>
      <c r="D47" s="17">
        <v>164612</v>
      </c>
      <c r="E47" s="17">
        <v>23334</v>
      </c>
      <c r="F47" s="17">
        <v>0</v>
      </c>
      <c r="G47" s="17">
        <v>653.87096774193549</v>
      </c>
      <c r="H47" s="17">
        <v>1062.9032258064517</v>
      </c>
      <c r="I47" s="17">
        <v>250057</v>
      </c>
      <c r="J47" s="17">
        <v>22773</v>
      </c>
      <c r="K47" s="17">
        <v>0</v>
      </c>
      <c r="L47" s="17">
        <v>670.17857142857144</v>
      </c>
      <c r="M47" s="17">
        <v>1408.5714285714287</v>
      </c>
      <c r="N47" s="17">
        <v>267931</v>
      </c>
      <c r="O47" s="17">
        <v>24182</v>
      </c>
      <c r="P47" s="17">
        <v>0</v>
      </c>
      <c r="Q47" s="17">
        <v>695</v>
      </c>
      <c r="R47" s="17">
        <v>1596.7741935483871</v>
      </c>
      <c r="S47" s="17">
        <v>279794</v>
      </c>
      <c r="T47" s="17">
        <v>28074</v>
      </c>
      <c r="U47" s="17">
        <v>0</v>
      </c>
      <c r="V47" s="17">
        <v>696</v>
      </c>
      <c r="W47" s="17">
        <v>1362</v>
      </c>
      <c r="X47" s="17">
        <v>203571</v>
      </c>
      <c r="Y47" s="17">
        <v>25573</v>
      </c>
      <c r="Z47" s="17">
        <v>0</v>
      </c>
      <c r="AA47" s="17">
        <v>770</v>
      </c>
      <c r="AB47" s="17">
        <v>1214.516129032258</v>
      </c>
      <c r="AC47" s="17">
        <v>179549</v>
      </c>
      <c r="AD47" s="17">
        <v>26359</v>
      </c>
      <c r="AE47" s="17">
        <v>0</v>
      </c>
      <c r="AF47" s="17">
        <v>755</v>
      </c>
      <c r="AG47" s="17">
        <v>1189.3333333333333</v>
      </c>
      <c r="AH47" s="17">
        <v>337692</v>
      </c>
      <c r="AI47" s="17">
        <v>26799</v>
      </c>
      <c r="AJ47" s="17">
        <v>0</v>
      </c>
      <c r="AK47" s="17">
        <v>750.48387096774195</v>
      </c>
      <c r="AL47" s="17">
        <v>1206.7741935483871</v>
      </c>
      <c r="AM47" s="17">
        <v>145210</v>
      </c>
      <c r="AN47" s="17">
        <v>19522</v>
      </c>
      <c r="AO47" s="17">
        <v>0</v>
      </c>
      <c r="AP47" s="17">
        <v>847.25806451612902</v>
      </c>
      <c r="AQ47" s="17">
        <v>1230</v>
      </c>
      <c r="AR47" s="17">
        <v>249685</v>
      </c>
      <c r="AS47" s="17">
        <v>19097</v>
      </c>
      <c r="AT47" s="17">
        <v>0</v>
      </c>
      <c r="AU47" s="17">
        <v>1109.5</v>
      </c>
      <c r="AV47" s="17">
        <v>1230</v>
      </c>
      <c r="AW47" s="17">
        <v>268288</v>
      </c>
      <c r="AX47" s="17">
        <v>24263</v>
      </c>
      <c r="AY47" s="17">
        <v>0</v>
      </c>
      <c r="AZ47" s="17">
        <v>1179.6774193548388</v>
      </c>
      <c r="BA47" s="17">
        <v>1218.3870967741937</v>
      </c>
      <c r="BB47" s="17">
        <v>270720</v>
      </c>
      <c r="BC47" s="17">
        <v>36156</v>
      </c>
      <c r="BD47" s="17">
        <v>0</v>
      </c>
      <c r="BE47" s="17">
        <v>1137</v>
      </c>
      <c r="BF47" s="17">
        <v>1170.3333333333333</v>
      </c>
      <c r="BG47" s="17">
        <v>248851</v>
      </c>
      <c r="BH47" s="17">
        <v>37966</v>
      </c>
      <c r="BI47" s="17">
        <v>993</v>
      </c>
      <c r="BJ47" s="17">
        <v>1084.516129032258</v>
      </c>
      <c r="BK47" s="17">
        <v>1150</v>
      </c>
    </row>
    <row r="48" spans="1:63" x14ac:dyDescent="0.35">
      <c r="A48" s="18">
        <v>44</v>
      </c>
      <c r="B48" s="41" t="s">
        <v>232</v>
      </c>
      <c r="C48" s="19" t="s">
        <v>307</v>
      </c>
      <c r="D48" s="17">
        <v>37369</v>
      </c>
      <c r="E48" s="17">
        <v>2372</v>
      </c>
      <c r="F48" s="17">
        <v>44</v>
      </c>
      <c r="G48" s="17">
        <v>666.77419354838707</v>
      </c>
      <c r="H48" s="17">
        <v>1080.8064516129032</v>
      </c>
      <c r="I48" s="17">
        <v>8992</v>
      </c>
      <c r="J48" s="17">
        <v>3495</v>
      </c>
      <c r="K48" s="17">
        <v>34</v>
      </c>
      <c r="L48" s="17">
        <v>687.85714285714289</v>
      </c>
      <c r="M48" s="17">
        <v>1392.5</v>
      </c>
      <c r="N48" s="17">
        <v>10514</v>
      </c>
      <c r="O48" s="17">
        <v>3119</v>
      </c>
      <c r="P48" s="17">
        <v>1221</v>
      </c>
      <c r="Q48" s="17">
        <v>695</v>
      </c>
      <c r="R48" s="17">
        <v>1604.8387096774193</v>
      </c>
      <c r="S48" s="17">
        <v>4791</v>
      </c>
      <c r="T48" s="17">
        <v>574</v>
      </c>
      <c r="U48" s="17">
        <v>469</v>
      </c>
      <c r="V48" s="17">
        <v>700.5</v>
      </c>
      <c r="W48" s="17">
        <v>1440</v>
      </c>
      <c r="X48" s="17">
        <v>24714</v>
      </c>
      <c r="Y48" s="17">
        <v>1199</v>
      </c>
      <c r="Z48" s="17">
        <v>1544</v>
      </c>
      <c r="AA48" s="17">
        <v>799.67741935483866</v>
      </c>
      <c r="AB48" s="17">
        <v>1254.516129032258</v>
      </c>
      <c r="AC48" s="17">
        <v>12103</v>
      </c>
      <c r="AD48" s="17">
        <v>1778</v>
      </c>
      <c r="AE48" s="17">
        <v>16</v>
      </c>
      <c r="AF48" s="17">
        <v>759</v>
      </c>
      <c r="AG48" s="17">
        <v>1251.3333333333333</v>
      </c>
      <c r="AH48" s="17">
        <v>12849</v>
      </c>
      <c r="AI48" s="17">
        <v>310</v>
      </c>
      <c r="AJ48" s="17">
        <v>8</v>
      </c>
      <c r="AK48" s="17">
        <v>776.77419354838707</v>
      </c>
      <c r="AL48" s="17">
        <v>1262.258064516129</v>
      </c>
      <c r="AM48" s="17">
        <v>59734</v>
      </c>
      <c r="AN48" s="17">
        <v>1311</v>
      </c>
      <c r="AO48" s="17">
        <v>38</v>
      </c>
      <c r="AP48" s="17">
        <v>876.77419354838707</v>
      </c>
      <c r="AQ48" s="17">
        <v>1250</v>
      </c>
      <c r="AR48" s="17">
        <v>76220</v>
      </c>
      <c r="AS48" s="17">
        <v>708</v>
      </c>
      <c r="AT48" s="17">
        <v>40</v>
      </c>
      <c r="AU48" s="17">
        <v>1145.6666666666667</v>
      </c>
      <c r="AV48" s="17">
        <v>1248.3333333333333</v>
      </c>
      <c r="AW48" s="17">
        <v>21714</v>
      </c>
      <c r="AX48" s="17">
        <v>1268</v>
      </c>
      <c r="AY48" s="17">
        <v>25</v>
      </c>
      <c r="AZ48" s="17">
        <v>1219.3548387096773</v>
      </c>
      <c r="BA48" s="17">
        <v>1241.2903225806451</v>
      </c>
      <c r="BB48" s="17">
        <v>33057</v>
      </c>
      <c r="BC48" s="17">
        <v>3811</v>
      </c>
      <c r="BD48" s="17">
        <v>36</v>
      </c>
      <c r="BE48" s="17">
        <v>1156.3333333333333</v>
      </c>
      <c r="BF48" s="17">
        <v>1212.6666666666667</v>
      </c>
      <c r="BG48" s="17">
        <v>108123</v>
      </c>
      <c r="BH48" s="17">
        <v>9015</v>
      </c>
      <c r="BI48" s="17">
        <v>110</v>
      </c>
      <c r="BJ48" s="17">
        <v>1090.9677419354839</v>
      </c>
      <c r="BK48" s="17">
        <v>1200</v>
      </c>
    </row>
    <row r="49" spans="1:63" x14ac:dyDescent="0.35">
      <c r="A49" s="18">
        <v>45</v>
      </c>
      <c r="B49" s="41" t="s">
        <v>238</v>
      </c>
      <c r="C49" s="19" t="s">
        <v>308</v>
      </c>
      <c r="D49" s="17">
        <v>242212</v>
      </c>
      <c r="E49" s="17">
        <v>24309</v>
      </c>
      <c r="F49" s="17">
        <v>0</v>
      </c>
      <c r="G49" s="17">
        <v>656.29032258064512</v>
      </c>
      <c r="H49" s="17">
        <v>1065.8064516129032</v>
      </c>
      <c r="I49" s="17">
        <v>259241</v>
      </c>
      <c r="J49" s="17">
        <v>19469</v>
      </c>
      <c r="K49" s="17">
        <v>0</v>
      </c>
      <c r="L49" s="17">
        <v>669.46428571428567</v>
      </c>
      <c r="M49" s="17">
        <v>1401.0714285714287</v>
      </c>
      <c r="N49" s="17">
        <v>256562</v>
      </c>
      <c r="O49" s="17">
        <v>22161</v>
      </c>
      <c r="P49" s="17">
        <v>0</v>
      </c>
      <c r="Q49" s="17">
        <v>695</v>
      </c>
      <c r="R49" s="17">
        <v>1590.3225806451612</v>
      </c>
      <c r="S49" s="17">
        <v>270599</v>
      </c>
      <c r="T49" s="17">
        <v>27470</v>
      </c>
      <c r="U49" s="17">
        <v>0</v>
      </c>
      <c r="V49" s="17">
        <v>695</v>
      </c>
      <c r="W49" s="17">
        <v>1353.6666666666667</v>
      </c>
      <c r="X49" s="17">
        <v>203045</v>
      </c>
      <c r="Y49" s="17">
        <v>24451</v>
      </c>
      <c r="Z49" s="17">
        <v>0</v>
      </c>
      <c r="AA49" s="17">
        <v>741.61290322580646</v>
      </c>
      <c r="AB49" s="17">
        <v>1197.4193548387098</v>
      </c>
      <c r="AC49" s="17">
        <v>230398</v>
      </c>
      <c r="AD49" s="17">
        <v>22479</v>
      </c>
      <c r="AE49" s="17">
        <v>0</v>
      </c>
      <c r="AF49" s="17">
        <v>731.66666666666663</v>
      </c>
      <c r="AG49" s="17">
        <v>1182.3333333333333</v>
      </c>
      <c r="AH49" s="17">
        <v>247264</v>
      </c>
      <c r="AI49" s="17">
        <v>20252</v>
      </c>
      <c r="AJ49" s="17">
        <v>0</v>
      </c>
      <c r="AK49" s="17">
        <v>747.58064516129036</v>
      </c>
      <c r="AL49" s="17">
        <v>1199.0322580645161</v>
      </c>
      <c r="AM49" s="17">
        <v>140268</v>
      </c>
      <c r="AN49" s="17">
        <v>17455</v>
      </c>
      <c r="AO49" s="17">
        <v>0</v>
      </c>
      <c r="AP49" s="17">
        <v>836.45161290322585</v>
      </c>
      <c r="AQ49" s="17">
        <v>1200</v>
      </c>
      <c r="AR49" s="17">
        <v>176782</v>
      </c>
      <c r="AS49" s="17">
        <v>16952</v>
      </c>
      <c r="AT49" s="17">
        <v>0</v>
      </c>
      <c r="AU49" s="17">
        <v>1106.1666666666667</v>
      </c>
      <c r="AV49" s="17">
        <v>1199.3333333333333</v>
      </c>
      <c r="AW49" s="17">
        <v>214380</v>
      </c>
      <c r="AX49" s="17">
        <v>18156</v>
      </c>
      <c r="AY49" s="17">
        <v>0</v>
      </c>
      <c r="AZ49" s="17">
        <v>1161.6129032258063</v>
      </c>
      <c r="BA49" s="17">
        <v>1196.7741935483871</v>
      </c>
      <c r="BB49" s="17">
        <v>182463</v>
      </c>
      <c r="BC49" s="17">
        <v>23140</v>
      </c>
      <c r="BD49" s="17">
        <v>0</v>
      </c>
      <c r="BE49" s="17">
        <v>1132.3333333333333</v>
      </c>
      <c r="BF49" s="17">
        <v>1178.6666666666667</v>
      </c>
      <c r="BG49" s="17">
        <v>187164</v>
      </c>
      <c r="BH49" s="17">
        <v>24028</v>
      </c>
      <c r="BI49" s="17">
        <v>0</v>
      </c>
      <c r="BJ49" s="17">
        <v>1090.9677419354839</v>
      </c>
      <c r="BK49" s="17">
        <v>1153.2258064516129</v>
      </c>
    </row>
    <row r="50" spans="1:63" x14ac:dyDescent="0.35">
      <c r="A50" s="18">
        <v>46</v>
      </c>
      <c r="B50" s="41" t="s">
        <v>235</v>
      </c>
      <c r="C50" s="19" t="s">
        <v>254</v>
      </c>
      <c r="D50" s="17">
        <v>376994</v>
      </c>
      <c r="E50" s="17">
        <v>7640</v>
      </c>
      <c r="F50" s="17">
        <v>0</v>
      </c>
      <c r="G50" s="17">
        <v>660</v>
      </c>
      <c r="H50" s="17">
        <v>1075.483870967742</v>
      </c>
      <c r="I50" s="17">
        <v>536909</v>
      </c>
      <c r="J50" s="17">
        <v>14817</v>
      </c>
      <c r="K50" s="17">
        <v>0</v>
      </c>
      <c r="L50" s="17">
        <v>673.39285714285711</v>
      </c>
      <c r="M50" s="17">
        <v>1389.1071428571429</v>
      </c>
      <c r="N50" s="17">
        <v>683645</v>
      </c>
      <c r="O50" s="17">
        <v>14077</v>
      </c>
      <c r="P50" s="17">
        <v>0</v>
      </c>
      <c r="Q50" s="17">
        <v>680</v>
      </c>
      <c r="R50" s="17">
        <v>1600.8064516129032</v>
      </c>
      <c r="S50" s="17">
        <v>503153</v>
      </c>
      <c r="T50" s="17">
        <v>10418</v>
      </c>
      <c r="U50" s="17">
        <v>0</v>
      </c>
      <c r="V50" s="17">
        <v>683.83333333333337</v>
      </c>
      <c r="W50" s="17">
        <v>1389</v>
      </c>
      <c r="X50" s="17">
        <v>607689</v>
      </c>
      <c r="Y50" s="17">
        <v>8897</v>
      </c>
      <c r="Z50" s="17">
        <v>0</v>
      </c>
      <c r="AA50" s="17">
        <v>692.41935483870964</v>
      </c>
      <c r="AB50" s="17">
        <v>1224.1935483870968</v>
      </c>
      <c r="AC50" s="17">
        <v>472612</v>
      </c>
      <c r="AD50" s="17">
        <v>11511</v>
      </c>
      <c r="AE50" s="17">
        <v>0</v>
      </c>
      <c r="AF50" s="17">
        <v>685.33333333333337</v>
      </c>
      <c r="AG50" s="17">
        <v>1211.3333333333333</v>
      </c>
      <c r="AH50" s="17">
        <v>686913</v>
      </c>
      <c r="AI50" s="17">
        <v>8717</v>
      </c>
      <c r="AJ50" s="17">
        <v>0</v>
      </c>
      <c r="AK50" s="17">
        <v>695.09677419354841</v>
      </c>
      <c r="AL50" s="17">
        <v>1219.3548387096773</v>
      </c>
      <c r="AM50" s="17">
        <v>435477</v>
      </c>
      <c r="AN50" s="17">
        <v>5622</v>
      </c>
      <c r="AO50" s="17">
        <v>0</v>
      </c>
      <c r="AP50" s="17">
        <v>703.74193548387098</v>
      </c>
      <c r="AQ50" s="17">
        <v>1220</v>
      </c>
      <c r="AR50" s="17">
        <v>521399</v>
      </c>
      <c r="AS50" s="17">
        <v>6594</v>
      </c>
      <c r="AT50" s="17">
        <v>0</v>
      </c>
      <c r="AU50" s="17">
        <v>981</v>
      </c>
      <c r="AV50" s="17">
        <v>1220</v>
      </c>
      <c r="AW50" s="17">
        <v>633700</v>
      </c>
      <c r="AX50" s="17">
        <v>8942</v>
      </c>
      <c r="AY50" s="17">
        <v>0</v>
      </c>
      <c r="AZ50" s="17">
        <v>1093.8709677419354</v>
      </c>
      <c r="BA50" s="17">
        <v>1217.5806451612902</v>
      </c>
      <c r="BB50" s="17">
        <v>435158</v>
      </c>
      <c r="BC50" s="17">
        <v>8075</v>
      </c>
      <c r="BD50" s="17">
        <v>0</v>
      </c>
      <c r="BE50" s="17">
        <v>1131.8333333333333</v>
      </c>
      <c r="BF50" s="17">
        <v>1195</v>
      </c>
      <c r="BG50" s="17">
        <v>336418</v>
      </c>
      <c r="BH50" s="17">
        <v>4853</v>
      </c>
      <c r="BI50" s="17">
        <v>0</v>
      </c>
      <c r="BJ50" s="17">
        <v>1084.1935483870968</v>
      </c>
      <c r="BK50" s="17">
        <v>1190</v>
      </c>
    </row>
    <row r="51" spans="1:63" x14ac:dyDescent="0.35">
      <c r="A51" s="18">
        <v>47</v>
      </c>
      <c r="B51" s="41" t="s">
        <v>238</v>
      </c>
      <c r="C51" s="19" t="s">
        <v>255</v>
      </c>
      <c r="D51" s="17">
        <v>172509</v>
      </c>
      <c r="E51" s="17">
        <v>11793</v>
      </c>
      <c r="F51" s="17">
        <v>0</v>
      </c>
      <c r="G51" s="17">
        <v>656.29032258064512</v>
      </c>
      <c r="H51" s="17">
        <v>1065.8064516129032</v>
      </c>
      <c r="I51" s="17">
        <v>178590</v>
      </c>
      <c r="J51" s="17">
        <v>14284</v>
      </c>
      <c r="K51" s="17">
        <v>0</v>
      </c>
      <c r="L51" s="17">
        <v>668.75</v>
      </c>
      <c r="M51" s="17">
        <v>1385</v>
      </c>
      <c r="N51" s="17">
        <v>188862</v>
      </c>
      <c r="O51" s="17">
        <v>13939</v>
      </c>
      <c r="P51" s="17">
        <v>0</v>
      </c>
      <c r="Q51" s="17">
        <v>695</v>
      </c>
      <c r="R51" s="17">
        <v>1587.0967741935483</v>
      </c>
      <c r="S51" s="17">
        <v>175725</v>
      </c>
      <c r="T51" s="17">
        <v>17862</v>
      </c>
      <c r="U51" s="17">
        <v>0</v>
      </c>
      <c r="V51" s="17">
        <v>695</v>
      </c>
      <c r="W51" s="17">
        <v>1353.6666666666667</v>
      </c>
      <c r="X51" s="17">
        <v>208244</v>
      </c>
      <c r="Y51" s="17">
        <v>20748</v>
      </c>
      <c r="Z51" s="17">
        <v>0</v>
      </c>
      <c r="AA51" s="17">
        <v>741.61290322580646</v>
      </c>
      <c r="AB51" s="17">
        <v>1198.3870967741937</v>
      </c>
      <c r="AC51" s="17">
        <v>165529</v>
      </c>
      <c r="AD51" s="17">
        <v>18199</v>
      </c>
      <c r="AE51" s="17">
        <v>0</v>
      </c>
      <c r="AF51" s="17">
        <v>731.66666666666663</v>
      </c>
      <c r="AG51" s="17">
        <v>1182.3333333333333</v>
      </c>
      <c r="AH51" s="17">
        <v>181278</v>
      </c>
      <c r="AI51" s="17">
        <v>20584</v>
      </c>
      <c r="AJ51" s="17">
        <v>0</v>
      </c>
      <c r="AK51" s="17">
        <v>747.58064516129036</v>
      </c>
      <c r="AL51" s="17">
        <v>1199.0322580645161</v>
      </c>
      <c r="AM51" s="17">
        <v>173820</v>
      </c>
      <c r="AN51" s="17">
        <v>16776</v>
      </c>
      <c r="AO51" s="17">
        <v>0</v>
      </c>
      <c r="AP51" s="17">
        <v>836.45161290322585</v>
      </c>
      <c r="AQ51" s="17">
        <v>1200</v>
      </c>
      <c r="AR51" s="17">
        <v>257196</v>
      </c>
      <c r="AS51" s="17">
        <v>34923</v>
      </c>
      <c r="AT51" s="17">
        <v>0</v>
      </c>
      <c r="AU51" s="17">
        <v>1106.8333333333333</v>
      </c>
      <c r="AV51" s="17">
        <v>1200</v>
      </c>
      <c r="AW51" s="17">
        <v>215375</v>
      </c>
      <c r="AX51" s="17">
        <v>32048</v>
      </c>
      <c r="AY51" s="17">
        <v>0</v>
      </c>
      <c r="AZ51" s="17">
        <v>1161.6129032258063</v>
      </c>
      <c r="BA51" s="17">
        <v>1196.7741935483871</v>
      </c>
      <c r="BB51" s="17">
        <v>211454</v>
      </c>
      <c r="BC51" s="17">
        <v>24559</v>
      </c>
      <c r="BD51" s="17">
        <v>0</v>
      </c>
      <c r="BE51" s="17">
        <v>1132.6666666666667</v>
      </c>
      <c r="BF51" s="17">
        <v>1179.3333333333333</v>
      </c>
      <c r="BG51" s="17">
        <v>201474</v>
      </c>
      <c r="BH51" s="17">
        <v>20845</v>
      </c>
      <c r="BI51" s="17">
        <v>0</v>
      </c>
      <c r="BJ51" s="17">
        <v>1090.6451612903227</v>
      </c>
      <c r="BK51" s="17">
        <v>1153.2258064516129</v>
      </c>
    </row>
    <row r="52" spans="1:63" x14ac:dyDescent="0.35">
      <c r="A52" s="18">
        <v>48</v>
      </c>
      <c r="B52" s="41" t="s">
        <v>238</v>
      </c>
      <c r="C52" s="19" t="s">
        <v>256</v>
      </c>
      <c r="D52" s="17">
        <v>752117</v>
      </c>
      <c r="E52" s="17">
        <v>37420</v>
      </c>
      <c r="F52" s="17">
        <v>0</v>
      </c>
      <c r="G52" s="17">
        <v>650.32258064516134</v>
      </c>
      <c r="H52" s="17">
        <v>1043.3870967741937</v>
      </c>
      <c r="I52" s="17">
        <v>580495</v>
      </c>
      <c r="J52" s="17">
        <v>41772</v>
      </c>
      <c r="K52" s="17">
        <v>0</v>
      </c>
      <c r="L52" s="17">
        <v>666.42857142857144</v>
      </c>
      <c r="M52" s="17">
        <v>1395.3571428571429</v>
      </c>
      <c r="N52" s="17">
        <v>644842</v>
      </c>
      <c r="O52" s="17">
        <v>44766</v>
      </c>
      <c r="P52" s="17">
        <v>0</v>
      </c>
      <c r="Q52" s="17">
        <v>680.48387096774195</v>
      </c>
      <c r="R52" s="17">
        <v>1559.6774193548388</v>
      </c>
      <c r="S52" s="17">
        <v>729962</v>
      </c>
      <c r="T52" s="17">
        <v>53443</v>
      </c>
      <c r="U52" s="17">
        <v>305</v>
      </c>
      <c r="V52" s="17">
        <v>680</v>
      </c>
      <c r="W52" s="17">
        <v>1339.3333333333333</v>
      </c>
      <c r="X52" s="17">
        <v>903148</v>
      </c>
      <c r="Y52" s="17">
        <v>50687</v>
      </c>
      <c r="Z52" s="17">
        <v>2193</v>
      </c>
      <c r="AA52" s="17">
        <v>718.54838709677415</v>
      </c>
      <c r="AB52" s="17">
        <v>1188.7096774193549</v>
      </c>
      <c r="AC52" s="17">
        <v>669172</v>
      </c>
      <c r="AD52" s="17">
        <v>37240</v>
      </c>
      <c r="AE52" s="17">
        <v>3130</v>
      </c>
      <c r="AF52" s="17">
        <v>720</v>
      </c>
      <c r="AG52" s="17">
        <v>1178.3333333333333</v>
      </c>
      <c r="AH52" s="17">
        <v>777311</v>
      </c>
      <c r="AI52" s="17">
        <v>36603</v>
      </c>
      <c r="AJ52" s="17">
        <v>2858</v>
      </c>
      <c r="AK52" s="17">
        <v>741.29032258064512</v>
      </c>
      <c r="AL52" s="17">
        <v>1197.0967741935483</v>
      </c>
      <c r="AM52" s="17">
        <v>691270</v>
      </c>
      <c r="AN52" s="17">
        <v>40174</v>
      </c>
      <c r="AO52" s="17">
        <v>3762</v>
      </c>
      <c r="AP52" s="17">
        <v>826.45161290322585</v>
      </c>
      <c r="AQ52" s="17">
        <v>1200</v>
      </c>
      <c r="AR52" s="17">
        <v>472599</v>
      </c>
      <c r="AS52" s="17">
        <v>37990</v>
      </c>
      <c r="AT52" s="17">
        <v>2879</v>
      </c>
      <c r="AU52" s="17">
        <v>1098.8333333333333</v>
      </c>
      <c r="AV52" s="17">
        <v>1198.3333333333333</v>
      </c>
      <c r="AW52" s="17">
        <v>571008</v>
      </c>
      <c r="AX52" s="17">
        <v>38698</v>
      </c>
      <c r="AY52" s="17">
        <v>323</v>
      </c>
      <c r="AZ52" s="17">
        <v>1145.483870967742</v>
      </c>
      <c r="BA52" s="17">
        <v>1187.0967741935483</v>
      </c>
      <c r="BB52" s="17">
        <v>548391</v>
      </c>
      <c r="BC52" s="17">
        <v>41013</v>
      </c>
      <c r="BD52" s="17">
        <v>1623</v>
      </c>
      <c r="BE52" s="17">
        <v>1127.3333333333333</v>
      </c>
      <c r="BF52" s="17">
        <v>1160.6666666666667</v>
      </c>
      <c r="BG52" s="17">
        <v>575636</v>
      </c>
      <c r="BH52" s="17">
        <v>40040</v>
      </c>
      <c r="BI52" s="17">
        <v>1817</v>
      </c>
      <c r="BJ52" s="17">
        <v>1081.2903225806451</v>
      </c>
      <c r="BK52" s="17">
        <v>1150</v>
      </c>
    </row>
    <row r="53" spans="1:63" x14ac:dyDescent="0.35">
      <c r="A53" s="18">
        <v>49</v>
      </c>
      <c r="B53" s="41" t="s">
        <v>231</v>
      </c>
      <c r="C53" s="19" t="s">
        <v>257</v>
      </c>
      <c r="D53" s="17">
        <v>121641</v>
      </c>
      <c r="E53" s="17">
        <v>6832</v>
      </c>
      <c r="F53" s="17">
        <v>0</v>
      </c>
      <c r="G53" s="17">
        <v>635.64516129032256</v>
      </c>
      <c r="H53" s="17">
        <v>1037.9032258064517</v>
      </c>
      <c r="I53" s="17">
        <v>142530</v>
      </c>
      <c r="J53" s="17">
        <v>38016</v>
      </c>
      <c r="K53" s="17">
        <v>0</v>
      </c>
      <c r="L53" s="17">
        <v>649.46428571428567</v>
      </c>
      <c r="M53" s="17">
        <v>1370.3571428571429</v>
      </c>
      <c r="N53" s="17">
        <v>192018</v>
      </c>
      <c r="O53" s="17">
        <v>7934</v>
      </c>
      <c r="P53" s="17">
        <v>0</v>
      </c>
      <c r="Q53" s="17">
        <v>655</v>
      </c>
      <c r="R53" s="17">
        <v>1599.0322580645161</v>
      </c>
      <c r="S53" s="17">
        <v>182906</v>
      </c>
      <c r="T53" s="17">
        <v>7568</v>
      </c>
      <c r="U53" s="17">
        <v>0</v>
      </c>
      <c r="V53" s="17">
        <v>663</v>
      </c>
      <c r="W53" s="17">
        <v>1422.1666666666667</v>
      </c>
      <c r="X53" s="17">
        <v>278298</v>
      </c>
      <c r="Y53" s="17">
        <v>23000</v>
      </c>
      <c r="Z53" s="17">
        <v>0</v>
      </c>
      <c r="AA53" s="17">
        <v>739.51612903225805</v>
      </c>
      <c r="AB53" s="17">
        <v>1200</v>
      </c>
      <c r="AC53" s="17">
        <v>94421</v>
      </c>
      <c r="AD53" s="17">
        <v>20534</v>
      </c>
      <c r="AE53" s="17">
        <v>0</v>
      </c>
      <c r="AF53" s="17">
        <v>716.16666666666663</v>
      </c>
      <c r="AG53" s="17">
        <v>1201.3333333333333</v>
      </c>
      <c r="AH53" s="17">
        <v>220697</v>
      </c>
      <c r="AI53" s="17">
        <v>7190</v>
      </c>
      <c r="AJ53" s="17">
        <v>0</v>
      </c>
      <c r="AK53" s="17">
        <v>729.67741935483866</v>
      </c>
      <c r="AL53" s="17">
        <v>1220</v>
      </c>
      <c r="AM53" s="17">
        <v>446514</v>
      </c>
      <c r="AN53" s="17">
        <v>6453</v>
      </c>
      <c r="AO53" s="17">
        <v>0</v>
      </c>
      <c r="AP53" s="17">
        <v>817.25806451612902</v>
      </c>
      <c r="AQ53" s="17">
        <v>1195.483870967742</v>
      </c>
      <c r="AR53" s="17">
        <v>268629</v>
      </c>
      <c r="AS53" s="17">
        <v>8384</v>
      </c>
      <c r="AT53" s="17">
        <v>0</v>
      </c>
      <c r="AU53" s="17">
        <v>1104.6666666666667</v>
      </c>
      <c r="AV53" s="17">
        <v>1180</v>
      </c>
      <c r="AW53" s="17">
        <v>151682</v>
      </c>
      <c r="AX53" s="17">
        <v>43391</v>
      </c>
      <c r="AY53" s="17">
        <v>0</v>
      </c>
      <c r="AZ53" s="17">
        <v>1156.7741935483871</v>
      </c>
      <c r="BA53" s="17">
        <v>1185.8064516129032</v>
      </c>
      <c r="BB53" s="17">
        <v>123980</v>
      </c>
      <c r="BC53" s="17">
        <v>27806</v>
      </c>
      <c r="BD53" s="17">
        <v>0</v>
      </c>
      <c r="BE53" s="17">
        <v>1118</v>
      </c>
      <c r="BF53" s="17">
        <v>1180</v>
      </c>
      <c r="BG53" s="17">
        <v>102911</v>
      </c>
      <c r="BH53" s="17">
        <v>37375</v>
      </c>
      <c r="BI53" s="17">
        <v>0</v>
      </c>
      <c r="BJ53" s="17">
        <v>1067.741935483871</v>
      </c>
      <c r="BK53" s="17">
        <v>1178.0645161290322</v>
      </c>
    </row>
    <row r="54" spans="1:63" x14ac:dyDescent="0.35">
      <c r="A54" s="18">
        <v>50</v>
      </c>
      <c r="B54" s="41" t="s">
        <v>238</v>
      </c>
      <c r="C54" s="19" t="s">
        <v>258</v>
      </c>
      <c r="D54" s="17">
        <v>195321</v>
      </c>
      <c r="E54" s="17">
        <v>11428</v>
      </c>
      <c r="F54" s="17">
        <v>0</v>
      </c>
      <c r="G54" s="17">
        <v>656.29032258064512</v>
      </c>
      <c r="H54" s="17">
        <v>1067.4193548387098</v>
      </c>
      <c r="I54" s="17">
        <v>204501</v>
      </c>
      <c r="J54" s="17">
        <v>10013</v>
      </c>
      <c r="K54" s="17">
        <v>0</v>
      </c>
      <c r="L54" s="17">
        <v>668.75</v>
      </c>
      <c r="M54" s="17">
        <v>1385</v>
      </c>
      <c r="N54" s="17">
        <v>227095</v>
      </c>
      <c r="O54" s="17">
        <v>10552</v>
      </c>
      <c r="P54" s="17">
        <v>0</v>
      </c>
      <c r="Q54" s="17">
        <v>695</v>
      </c>
      <c r="R54" s="17">
        <v>1591.9354838709678</v>
      </c>
      <c r="S54" s="17">
        <v>221502</v>
      </c>
      <c r="T54" s="17">
        <v>14509</v>
      </c>
      <c r="U54" s="17">
        <v>0</v>
      </c>
      <c r="V54" s="17">
        <v>695</v>
      </c>
      <c r="W54" s="17">
        <v>1353.6666666666667</v>
      </c>
      <c r="X54" s="17">
        <v>239488</v>
      </c>
      <c r="Y54" s="17">
        <v>13892</v>
      </c>
      <c r="Z54" s="17">
        <v>0</v>
      </c>
      <c r="AA54" s="17">
        <v>741.45161290322585</v>
      </c>
      <c r="AB54" s="17">
        <v>1224.1935483870968</v>
      </c>
      <c r="AC54" s="17">
        <v>219538</v>
      </c>
      <c r="AD54" s="17">
        <v>12651</v>
      </c>
      <c r="AE54" s="17">
        <v>0</v>
      </c>
      <c r="AF54" s="17">
        <v>731.66666666666663</v>
      </c>
      <c r="AG54" s="17">
        <v>1182.3333333333333</v>
      </c>
      <c r="AH54" s="17">
        <v>207972</v>
      </c>
      <c r="AI54" s="17">
        <v>9447</v>
      </c>
      <c r="AJ54" s="17">
        <v>0</v>
      </c>
      <c r="AK54" s="17">
        <v>747.58064516129036</v>
      </c>
      <c r="AL54" s="17">
        <v>1199.0322580645161</v>
      </c>
      <c r="AM54" s="17">
        <v>228458</v>
      </c>
      <c r="AN54" s="17">
        <v>11412</v>
      </c>
      <c r="AO54" s="17">
        <v>0</v>
      </c>
      <c r="AP54" s="17">
        <v>835.48387096774195</v>
      </c>
      <c r="AQ54" s="17">
        <v>1200</v>
      </c>
      <c r="AR54" s="17">
        <v>175123</v>
      </c>
      <c r="AS54" s="17">
        <v>8578</v>
      </c>
      <c r="AT54" s="17">
        <v>0</v>
      </c>
      <c r="AU54" s="17">
        <v>1105.8333333333333</v>
      </c>
      <c r="AV54" s="17">
        <v>1200</v>
      </c>
      <c r="AW54" s="17">
        <v>190209</v>
      </c>
      <c r="AX54" s="17">
        <v>8788</v>
      </c>
      <c r="AY54" s="17">
        <v>0</v>
      </c>
      <c r="AZ54" s="17">
        <v>1161.6129032258063</v>
      </c>
      <c r="BA54" s="17">
        <v>1195.8064516129032</v>
      </c>
      <c r="BB54" s="17">
        <v>201412</v>
      </c>
      <c r="BC54" s="17">
        <v>13574</v>
      </c>
      <c r="BD54" s="17">
        <v>0</v>
      </c>
      <c r="BE54" s="17">
        <v>1132.6666666666667</v>
      </c>
      <c r="BF54" s="17">
        <v>1179.3333333333333</v>
      </c>
      <c r="BG54" s="17">
        <v>196761</v>
      </c>
      <c r="BH54" s="17">
        <v>11359</v>
      </c>
      <c r="BI54" s="17">
        <v>0</v>
      </c>
      <c r="BJ54" s="17">
        <v>1090.9677419354839</v>
      </c>
      <c r="BK54" s="17">
        <v>1153.2258064516129</v>
      </c>
    </row>
    <row r="55" spans="1:63" x14ac:dyDescent="0.35">
      <c r="A55" s="18">
        <v>51</v>
      </c>
      <c r="B55" s="41" t="s">
        <v>244</v>
      </c>
      <c r="C55" s="19" t="s">
        <v>309</v>
      </c>
      <c r="D55" s="17">
        <v>166994</v>
      </c>
      <c r="E55" s="17">
        <v>3959</v>
      </c>
      <c r="F55" s="17">
        <v>0</v>
      </c>
      <c r="G55" s="17">
        <v>669.0322580645161</v>
      </c>
      <c r="H55" s="17">
        <v>1077.4193548387098</v>
      </c>
      <c r="I55" s="17">
        <v>150578</v>
      </c>
      <c r="J55" s="17">
        <v>6802</v>
      </c>
      <c r="K55" s="17">
        <v>0</v>
      </c>
      <c r="L55" s="17">
        <v>674.46428571428567</v>
      </c>
      <c r="M55" s="17">
        <v>1389.1071428571429</v>
      </c>
      <c r="N55" s="17">
        <v>173123</v>
      </c>
      <c r="O55" s="17">
        <v>7003</v>
      </c>
      <c r="P55" s="17">
        <v>0</v>
      </c>
      <c r="Q55" s="17">
        <v>689.19354838709683</v>
      </c>
      <c r="R55" s="17">
        <v>1608.0645161290322</v>
      </c>
      <c r="S55" s="17">
        <v>273594</v>
      </c>
      <c r="T55" s="17">
        <v>7227</v>
      </c>
      <c r="U55" s="17">
        <v>0</v>
      </c>
      <c r="V55" s="17">
        <v>702.33333333333337</v>
      </c>
      <c r="W55" s="17">
        <v>1400.6666666666667</v>
      </c>
      <c r="X55" s="17">
        <v>134982</v>
      </c>
      <c r="Y55" s="17">
        <v>4282</v>
      </c>
      <c r="Z55" s="17">
        <v>0</v>
      </c>
      <c r="AA55" s="17">
        <v>810.32258064516134</v>
      </c>
      <c r="AB55" s="17">
        <v>1243.2258064516129</v>
      </c>
      <c r="AC55" s="17">
        <v>160111</v>
      </c>
      <c r="AD55" s="17">
        <v>2485</v>
      </c>
      <c r="AE55" s="17">
        <v>0</v>
      </c>
      <c r="AF55" s="17">
        <v>744.66666666666663</v>
      </c>
      <c r="AG55" s="17">
        <v>1251.3333333333333</v>
      </c>
      <c r="AH55" s="17">
        <v>255586</v>
      </c>
      <c r="AI55" s="17">
        <v>2913</v>
      </c>
      <c r="AJ55" s="17">
        <v>0</v>
      </c>
      <c r="AK55" s="17">
        <v>756.12903225806451</v>
      </c>
      <c r="AL55" s="17">
        <v>1252.5806451612902</v>
      </c>
      <c r="AM55" s="17">
        <v>90817</v>
      </c>
      <c r="AN55" s="17">
        <v>1211</v>
      </c>
      <c r="AO55" s="17">
        <v>0</v>
      </c>
      <c r="AP55" s="17">
        <v>831.93548387096769</v>
      </c>
      <c r="AQ55" s="17">
        <v>1237.741935483871</v>
      </c>
      <c r="AR55" s="17">
        <v>109932</v>
      </c>
      <c r="AS55" s="17">
        <v>3409</v>
      </c>
      <c r="AT55" s="17">
        <v>0</v>
      </c>
      <c r="AU55" s="17">
        <v>1071.3333333333333</v>
      </c>
      <c r="AV55" s="17">
        <v>1220</v>
      </c>
      <c r="AW55" s="17">
        <v>181426</v>
      </c>
      <c r="AX55" s="17">
        <v>5926</v>
      </c>
      <c r="AY55" s="17">
        <v>0</v>
      </c>
      <c r="AZ55" s="17">
        <v>1199.0322580645161</v>
      </c>
      <c r="BA55" s="17">
        <v>1220</v>
      </c>
      <c r="BB55" s="17">
        <v>183072</v>
      </c>
      <c r="BC55" s="17">
        <v>7671</v>
      </c>
      <c r="BD55" s="17">
        <v>0</v>
      </c>
      <c r="BE55" s="17">
        <v>1145.8333333333333</v>
      </c>
      <c r="BF55" s="17">
        <v>1209.3333333333333</v>
      </c>
      <c r="BG55" s="17">
        <v>187256</v>
      </c>
      <c r="BH55" s="17">
        <v>5236</v>
      </c>
      <c r="BI55" s="17">
        <v>0</v>
      </c>
      <c r="BJ55" s="17">
        <v>1107.4193548387098</v>
      </c>
      <c r="BK55" s="17">
        <v>1193.5483870967741</v>
      </c>
    </row>
    <row r="56" spans="1:63" x14ac:dyDescent="0.35">
      <c r="A56" s="18">
        <v>52</v>
      </c>
      <c r="B56" s="41" t="s">
        <v>231</v>
      </c>
      <c r="C56" s="19" t="s">
        <v>259</v>
      </c>
      <c r="D56" s="17">
        <v>170435</v>
      </c>
      <c r="E56" s="17">
        <v>1104</v>
      </c>
      <c r="F56" s="17">
        <v>0</v>
      </c>
      <c r="G56" s="17">
        <v>635.64516129032256</v>
      </c>
      <c r="H56" s="17">
        <v>1037.9032258064517</v>
      </c>
      <c r="I56" s="17">
        <v>175952</v>
      </c>
      <c r="J56" s="17">
        <v>1536</v>
      </c>
      <c r="K56" s="17">
        <v>0</v>
      </c>
      <c r="L56" s="17">
        <v>654.46428571428567</v>
      </c>
      <c r="M56" s="17">
        <v>1365</v>
      </c>
      <c r="N56" s="17">
        <v>151424</v>
      </c>
      <c r="O56" s="17">
        <v>2149</v>
      </c>
      <c r="P56" s="17">
        <v>0</v>
      </c>
      <c r="Q56" s="17">
        <v>675</v>
      </c>
      <c r="R56" s="17">
        <v>1583.8709677419354</v>
      </c>
      <c r="S56" s="17">
        <v>125449</v>
      </c>
      <c r="T56" s="17">
        <v>994</v>
      </c>
      <c r="U56" s="17">
        <v>156</v>
      </c>
      <c r="V56" s="17">
        <v>677.33333333333337</v>
      </c>
      <c r="W56" s="17">
        <v>1422.1666666666667</v>
      </c>
      <c r="X56" s="17">
        <v>197938</v>
      </c>
      <c r="Y56" s="17">
        <v>918</v>
      </c>
      <c r="Z56" s="17">
        <v>601</v>
      </c>
      <c r="AA56" s="17">
        <v>739.51612903225805</v>
      </c>
      <c r="AB56" s="17">
        <v>1201.2903225806451</v>
      </c>
      <c r="AC56" s="17">
        <v>128196</v>
      </c>
      <c r="AD56" s="17">
        <v>394</v>
      </c>
      <c r="AE56" s="17">
        <v>627</v>
      </c>
      <c r="AF56" s="17">
        <v>716.16666666666663</v>
      </c>
      <c r="AG56" s="17">
        <v>1201.3333333333333</v>
      </c>
      <c r="AH56" s="17">
        <v>270793</v>
      </c>
      <c r="AI56" s="17">
        <v>851</v>
      </c>
      <c r="AJ56" s="17">
        <v>400</v>
      </c>
      <c r="AK56" s="17">
        <v>729.77419354838707</v>
      </c>
      <c r="AL56" s="17">
        <v>1220</v>
      </c>
      <c r="AM56" s="17">
        <v>310864</v>
      </c>
      <c r="AN56" s="17">
        <v>455</v>
      </c>
      <c r="AO56" s="17">
        <v>0</v>
      </c>
      <c r="AP56" s="17">
        <v>817.25806451612902</v>
      </c>
      <c r="AQ56" s="17">
        <v>1195.483870967742</v>
      </c>
      <c r="AR56" s="17">
        <v>116783</v>
      </c>
      <c r="AS56" s="17">
        <v>1248</v>
      </c>
      <c r="AT56" s="17">
        <v>33</v>
      </c>
      <c r="AU56" s="17">
        <v>1104.6666666666667</v>
      </c>
      <c r="AV56" s="17">
        <v>1180</v>
      </c>
      <c r="AW56" s="17">
        <v>196619</v>
      </c>
      <c r="AX56" s="17">
        <v>1563</v>
      </c>
      <c r="AY56" s="17">
        <v>0</v>
      </c>
      <c r="AZ56" s="17">
        <v>1156.7741935483871</v>
      </c>
      <c r="BA56" s="17">
        <v>1185.8064516129032</v>
      </c>
      <c r="BB56" s="17">
        <v>251638</v>
      </c>
      <c r="BC56" s="17">
        <v>7202</v>
      </c>
      <c r="BD56" s="17">
        <v>0</v>
      </c>
      <c r="BE56" s="17">
        <v>1117.6666666666667</v>
      </c>
      <c r="BF56" s="17">
        <v>1180</v>
      </c>
      <c r="BG56" s="17">
        <v>194002</v>
      </c>
      <c r="BH56" s="17">
        <v>12448</v>
      </c>
      <c r="BI56" s="17">
        <v>0</v>
      </c>
      <c r="BJ56" s="17">
        <v>1067.0967741935483</v>
      </c>
      <c r="BK56" s="17">
        <v>1178.3870967741937</v>
      </c>
    </row>
    <row r="57" spans="1:63" x14ac:dyDescent="0.35">
      <c r="A57" s="18">
        <v>53</v>
      </c>
      <c r="B57" s="41" t="s">
        <v>244</v>
      </c>
      <c r="C57" s="19" t="s">
        <v>310</v>
      </c>
      <c r="D57" s="17">
        <v>77171</v>
      </c>
      <c r="E57" s="17">
        <v>15695</v>
      </c>
      <c r="F57" s="17">
        <v>0</v>
      </c>
      <c r="G57" s="17">
        <v>680</v>
      </c>
      <c r="H57" s="17">
        <v>1074.8387096774193</v>
      </c>
      <c r="I57" s="17">
        <v>115636</v>
      </c>
      <c r="J57" s="17">
        <v>15273</v>
      </c>
      <c r="K57" s="17">
        <v>0</v>
      </c>
      <c r="L57" s="17">
        <v>688.03571428571433</v>
      </c>
      <c r="M57" s="17">
        <v>1405.7142857142858</v>
      </c>
      <c r="N57" s="17">
        <v>77046</v>
      </c>
      <c r="O57" s="17">
        <v>16984</v>
      </c>
      <c r="P57" s="17">
        <v>0</v>
      </c>
      <c r="Q57" s="17">
        <v>700</v>
      </c>
      <c r="R57" s="17">
        <v>1606.4516129032259</v>
      </c>
      <c r="S57" s="17">
        <v>428</v>
      </c>
      <c r="T57" s="17">
        <v>0</v>
      </c>
      <c r="U57" s="17">
        <v>0</v>
      </c>
      <c r="V57" s="17">
        <v>708.5</v>
      </c>
      <c r="W57" s="17">
        <v>1405.6666666666667</v>
      </c>
      <c r="X57" s="17">
        <v>137182</v>
      </c>
      <c r="Y57" s="17">
        <v>4755</v>
      </c>
      <c r="Z57" s="17">
        <v>0</v>
      </c>
      <c r="AA57" s="17">
        <v>810.32258064516134</v>
      </c>
      <c r="AB57" s="17">
        <v>1250</v>
      </c>
      <c r="AC57" s="17">
        <v>83597</v>
      </c>
      <c r="AD57" s="17">
        <v>4804</v>
      </c>
      <c r="AE57" s="17">
        <v>0</v>
      </c>
      <c r="AF57" s="17">
        <v>740.66666666666663</v>
      </c>
      <c r="AG57" s="17">
        <v>1231.6666666666667</v>
      </c>
      <c r="AH57" s="17">
        <v>209465</v>
      </c>
      <c r="AI57" s="17">
        <v>4927</v>
      </c>
      <c r="AJ57" s="17">
        <v>0</v>
      </c>
      <c r="AK57" s="17">
        <v>771.29032258064512</v>
      </c>
      <c r="AL57" s="17">
        <v>1240</v>
      </c>
      <c r="AM57" s="17">
        <v>66458</v>
      </c>
      <c r="AN57" s="17">
        <v>822</v>
      </c>
      <c r="AO57" s="17">
        <v>0</v>
      </c>
      <c r="AP57" s="17">
        <v>836.12903225806451</v>
      </c>
      <c r="AQ57" s="17">
        <v>1240</v>
      </c>
      <c r="AR57" s="17">
        <v>58823</v>
      </c>
      <c r="AS57" s="17">
        <v>2083</v>
      </c>
      <c r="AT57" s="17">
        <v>0</v>
      </c>
      <c r="AU57" s="17">
        <v>1109</v>
      </c>
      <c r="AV57" s="17">
        <v>1240</v>
      </c>
      <c r="AW57" s="17">
        <v>61875</v>
      </c>
      <c r="AX57" s="17">
        <v>11440</v>
      </c>
      <c r="AY57" s="17">
        <v>0</v>
      </c>
      <c r="AZ57" s="17">
        <v>1199.6774193548388</v>
      </c>
      <c r="BA57" s="17">
        <v>1240</v>
      </c>
      <c r="BB57" s="17">
        <v>40246</v>
      </c>
      <c r="BC57" s="17">
        <v>4223</v>
      </c>
      <c r="BD57" s="17">
        <v>0</v>
      </c>
      <c r="BE57" s="17">
        <v>1155</v>
      </c>
      <c r="BF57" s="17">
        <v>1209.3333333333333</v>
      </c>
      <c r="BG57" s="17">
        <v>25450</v>
      </c>
      <c r="BH57" s="17">
        <v>3303</v>
      </c>
      <c r="BI57" s="17">
        <v>0</v>
      </c>
      <c r="BJ57" s="17">
        <v>1101.2903225806451</v>
      </c>
      <c r="BK57" s="17">
        <v>1193.2258064516129</v>
      </c>
    </row>
    <row r="58" spans="1:63" x14ac:dyDescent="0.35">
      <c r="A58" s="18">
        <v>54</v>
      </c>
      <c r="B58" s="41" t="s">
        <v>244</v>
      </c>
      <c r="C58" s="19" t="s">
        <v>311</v>
      </c>
      <c r="D58" s="17">
        <v>16341</v>
      </c>
      <c r="E58" s="17">
        <v>0</v>
      </c>
      <c r="F58" s="17">
        <v>0</v>
      </c>
      <c r="G58" s="17">
        <v>650</v>
      </c>
      <c r="H58" s="17">
        <v>1074.8387096774193</v>
      </c>
      <c r="I58" s="17">
        <v>21882</v>
      </c>
      <c r="J58" s="17">
        <v>0</v>
      </c>
      <c r="K58" s="17">
        <v>0</v>
      </c>
      <c r="L58" s="17">
        <v>686.96428571428567</v>
      </c>
      <c r="M58" s="17">
        <v>1398.5714285714287</v>
      </c>
      <c r="N58" s="17">
        <v>28489</v>
      </c>
      <c r="O58" s="17">
        <v>0</v>
      </c>
      <c r="P58" s="17">
        <v>0</v>
      </c>
      <c r="Q58" s="17">
        <v>700</v>
      </c>
      <c r="R58" s="17">
        <v>1606.4516129032259</v>
      </c>
      <c r="S58" s="17">
        <v>10890</v>
      </c>
      <c r="T58" s="17">
        <v>0</v>
      </c>
      <c r="U58" s="17">
        <v>0</v>
      </c>
      <c r="V58" s="17">
        <v>708.5</v>
      </c>
      <c r="W58" s="17">
        <v>1405.6666666666667</v>
      </c>
      <c r="X58" s="17">
        <v>90603</v>
      </c>
      <c r="Y58" s="17">
        <v>2619</v>
      </c>
      <c r="Z58" s="17">
        <v>0</v>
      </c>
      <c r="AA58" s="17">
        <v>810.32258064516134</v>
      </c>
      <c r="AB58" s="17">
        <v>1250</v>
      </c>
      <c r="AC58" s="17">
        <v>90361</v>
      </c>
      <c r="AD58" s="17">
        <v>894</v>
      </c>
      <c r="AE58" s="17">
        <v>0</v>
      </c>
      <c r="AF58" s="17">
        <v>740.66666666666663</v>
      </c>
      <c r="AG58" s="17">
        <v>1231.3333333333333</v>
      </c>
      <c r="AH58" s="17">
        <v>121395</v>
      </c>
      <c r="AI58" s="17">
        <v>655</v>
      </c>
      <c r="AJ58" s="17">
        <v>0</v>
      </c>
      <c r="AK58" s="17">
        <v>771.29032258064512</v>
      </c>
      <c r="AL58" s="17">
        <v>1240</v>
      </c>
      <c r="AM58" s="17">
        <v>41659</v>
      </c>
      <c r="AN58" s="17">
        <v>318</v>
      </c>
      <c r="AO58" s="17">
        <v>0</v>
      </c>
      <c r="AP58" s="17">
        <v>836.12903225806451</v>
      </c>
      <c r="AQ58" s="17">
        <v>1240</v>
      </c>
      <c r="AR58" s="17">
        <v>47847</v>
      </c>
      <c r="AS58" s="17">
        <v>288</v>
      </c>
      <c r="AT58" s="17">
        <v>0</v>
      </c>
      <c r="AU58" s="17">
        <v>1109</v>
      </c>
      <c r="AV58" s="17">
        <v>1240</v>
      </c>
      <c r="AW58" s="17">
        <v>37266</v>
      </c>
      <c r="AX58" s="17">
        <v>2694</v>
      </c>
      <c r="AY58" s="17">
        <v>0</v>
      </c>
      <c r="AZ58" s="17">
        <v>1199.6774193548388</v>
      </c>
      <c r="BA58" s="17">
        <v>1240</v>
      </c>
      <c r="BB58" s="17">
        <v>25834</v>
      </c>
      <c r="BC58" s="17">
        <v>1846</v>
      </c>
      <c r="BD58" s="17">
        <v>0</v>
      </c>
      <c r="BE58" s="17">
        <v>1155</v>
      </c>
      <c r="BF58" s="17">
        <v>1209.3333333333333</v>
      </c>
      <c r="BG58" s="17">
        <v>21589</v>
      </c>
      <c r="BH58" s="17">
        <v>656</v>
      </c>
      <c r="BI58" s="17">
        <v>0</v>
      </c>
      <c r="BJ58" s="17">
        <v>1101.2903225806451</v>
      </c>
      <c r="BK58" s="17">
        <v>1193.5483870967741</v>
      </c>
    </row>
    <row r="59" spans="1:63" x14ac:dyDescent="0.35">
      <c r="A59" s="18">
        <v>55</v>
      </c>
      <c r="B59" s="41" t="s">
        <v>233</v>
      </c>
      <c r="C59" s="19" t="s">
        <v>312</v>
      </c>
      <c r="D59" s="17">
        <v>1201421</v>
      </c>
      <c r="E59" s="17">
        <v>483662</v>
      </c>
      <c r="F59" s="17">
        <v>0</v>
      </c>
      <c r="G59" s="17">
        <v>625</v>
      </c>
      <c r="H59" s="17">
        <v>1032.258064516129</v>
      </c>
      <c r="I59" s="17">
        <v>1290332</v>
      </c>
      <c r="J59" s="17">
        <v>475451</v>
      </c>
      <c r="K59" s="17">
        <v>0</v>
      </c>
      <c r="L59" s="17">
        <v>635.53571428571433</v>
      </c>
      <c r="M59" s="17">
        <v>1384.2857142857142</v>
      </c>
      <c r="N59" s="17">
        <v>1060221</v>
      </c>
      <c r="O59" s="17">
        <v>499521</v>
      </c>
      <c r="P59" s="17">
        <v>0</v>
      </c>
      <c r="Q59" s="17">
        <v>636.77419354838707</v>
      </c>
      <c r="R59" s="17">
        <v>1501.6129032258063</v>
      </c>
      <c r="S59" s="17">
        <v>1531817</v>
      </c>
      <c r="T59" s="17">
        <v>485741</v>
      </c>
      <c r="U59" s="17">
        <v>0</v>
      </c>
      <c r="V59" s="17">
        <v>645.5</v>
      </c>
      <c r="W59" s="17">
        <v>1358.3333333333333</v>
      </c>
      <c r="X59" s="17">
        <v>1140863</v>
      </c>
      <c r="Y59" s="17">
        <v>416799</v>
      </c>
      <c r="Z59" s="17">
        <v>0</v>
      </c>
      <c r="AA59" s="17">
        <v>686.06451612903231</v>
      </c>
      <c r="AB59" s="17">
        <v>1168.0645161290322</v>
      </c>
      <c r="AC59" s="17">
        <v>1302265</v>
      </c>
      <c r="AD59" s="17">
        <v>309324</v>
      </c>
      <c r="AE59" s="17">
        <v>0</v>
      </c>
      <c r="AF59" s="17">
        <v>623.66666666666663</v>
      </c>
      <c r="AG59" s="17">
        <v>1166.6666666666667</v>
      </c>
      <c r="AH59" s="17">
        <v>1513942</v>
      </c>
      <c r="AI59" s="17">
        <v>183184</v>
      </c>
      <c r="AJ59" s="17">
        <v>0</v>
      </c>
      <c r="AK59" s="17">
        <v>735.48387096774195</v>
      </c>
      <c r="AL59" s="17">
        <v>1220</v>
      </c>
      <c r="AM59" s="17">
        <v>828382</v>
      </c>
      <c r="AN59" s="17">
        <v>90739</v>
      </c>
      <c r="AO59" s="17">
        <v>0</v>
      </c>
      <c r="AP59" s="17">
        <v>792.58064516129036</v>
      </c>
      <c r="AQ59" s="17">
        <v>1220</v>
      </c>
      <c r="AR59" s="17">
        <v>1235597</v>
      </c>
      <c r="AS59" s="17">
        <v>111644</v>
      </c>
      <c r="AT59" s="17">
        <v>0</v>
      </c>
      <c r="AU59" s="17">
        <v>956.66666666666663</v>
      </c>
      <c r="AV59" s="17">
        <v>1220</v>
      </c>
      <c r="AW59" s="17">
        <v>1147627</v>
      </c>
      <c r="AX59" s="17">
        <v>148292</v>
      </c>
      <c r="AY59" s="17">
        <v>0</v>
      </c>
      <c r="AZ59" s="17">
        <v>1075.483870967742</v>
      </c>
      <c r="BA59" s="17">
        <v>1214.1935483870968</v>
      </c>
      <c r="BB59" s="17">
        <v>711793</v>
      </c>
      <c r="BC59" s="17">
        <v>206859</v>
      </c>
      <c r="BD59" s="17">
        <v>0</v>
      </c>
      <c r="BE59" s="17">
        <v>1091.3333333333333</v>
      </c>
      <c r="BF59" s="17">
        <v>1178.3333333333333</v>
      </c>
      <c r="BG59" s="17">
        <v>882155</v>
      </c>
      <c r="BH59" s="17">
        <v>240172</v>
      </c>
      <c r="BI59" s="17">
        <v>0</v>
      </c>
      <c r="BJ59" s="17">
        <v>1059.0322580645161</v>
      </c>
      <c r="BK59" s="17">
        <v>1160.9677419354839</v>
      </c>
    </row>
    <row r="60" spans="1:63" x14ac:dyDescent="0.35">
      <c r="A60" s="18">
        <v>56</v>
      </c>
      <c r="B60" s="41" t="s">
        <v>243</v>
      </c>
      <c r="C60" s="19" t="s">
        <v>313</v>
      </c>
      <c r="D60" s="17">
        <v>239484</v>
      </c>
      <c r="E60" s="17">
        <v>38935</v>
      </c>
      <c r="F60" s="17">
        <v>3366</v>
      </c>
      <c r="G60" s="17">
        <v>656.29032258064512</v>
      </c>
      <c r="H60" s="17">
        <v>1065.8064516129032</v>
      </c>
      <c r="I60" s="17">
        <v>265679</v>
      </c>
      <c r="J60" s="17">
        <v>34896</v>
      </c>
      <c r="K60" s="17">
        <v>3142</v>
      </c>
      <c r="L60" s="17">
        <v>669.46428571428567</v>
      </c>
      <c r="M60" s="17">
        <v>1406.4285714285713</v>
      </c>
      <c r="N60" s="17">
        <v>265673</v>
      </c>
      <c r="O60" s="17">
        <v>34345</v>
      </c>
      <c r="P60" s="17">
        <v>2472</v>
      </c>
      <c r="Q60" s="17">
        <v>695</v>
      </c>
      <c r="R60" s="17">
        <v>1590.3225806451612</v>
      </c>
      <c r="S60" s="17">
        <v>297720</v>
      </c>
      <c r="T60" s="17">
        <v>41996</v>
      </c>
      <c r="U60" s="17">
        <v>552</v>
      </c>
      <c r="V60" s="17">
        <v>695</v>
      </c>
      <c r="W60" s="17">
        <v>1353.6666666666667</v>
      </c>
      <c r="X60" s="17">
        <v>266970</v>
      </c>
      <c r="Y60" s="17">
        <v>45312</v>
      </c>
      <c r="Z60" s="17">
        <v>2506</v>
      </c>
      <c r="AA60" s="17">
        <v>741.61290322580646</v>
      </c>
      <c r="AB60" s="17">
        <v>1197.4193548387098</v>
      </c>
      <c r="AC60" s="17">
        <v>238827</v>
      </c>
      <c r="AD60" s="17">
        <v>42319</v>
      </c>
      <c r="AE60" s="17">
        <v>2527</v>
      </c>
      <c r="AF60" s="17">
        <v>731.66666666666663</v>
      </c>
      <c r="AG60" s="17">
        <v>1182.3333333333333</v>
      </c>
      <c r="AH60" s="17">
        <v>254648</v>
      </c>
      <c r="AI60" s="17">
        <v>39906</v>
      </c>
      <c r="AJ60" s="17">
        <v>2951</v>
      </c>
      <c r="AK60" s="17">
        <v>747.58064516129036</v>
      </c>
      <c r="AL60" s="17">
        <v>1199.0322580645161</v>
      </c>
      <c r="AM60" s="17">
        <v>160991</v>
      </c>
      <c r="AN60" s="17">
        <v>35633</v>
      </c>
      <c r="AO60" s="17">
        <v>2831</v>
      </c>
      <c r="AP60" s="17">
        <v>836.45161290322585</v>
      </c>
      <c r="AQ60" s="17">
        <v>1200</v>
      </c>
      <c r="AR60" s="17">
        <v>209241</v>
      </c>
      <c r="AS60" s="17">
        <v>26821</v>
      </c>
      <c r="AT60" s="17">
        <v>2523</v>
      </c>
      <c r="AU60" s="17">
        <v>1103.5</v>
      </c>
      <c r="AV60" s="17">
        <v>1200</v>
      </c>
      <c r="AW60" s="17">
        <v>255976</v>
      </c>
      <c r="AX60" s="17">
        <v>32124</v>
      </c>
      <c r="AY60" s="17">
        <v>761</v>
      </c>
      <c r="AZ60" s="17">
        <v>1161.6129032258063</v>
      </c>
      <c r="BA60" s="17">
        <v>1195.8064516129032</v>
      </c>
      <c r="BB60" s="17">
        <v>268517</v>
      </c>
      <c r="BC60" s="17">
        <v>46327</v>
      </c>
      <c r="BD60" s="17">
        <v>1875</v>
      </c>
      <c r="BE60" s="17">
        <v>1132.6666666666667</v>
      </c>
      <c r="BF60" s="17">
        <v>1179.3333333333333</v>
      </c>
      <c r="BG60" s="17">
        <v>258354</v>
      </c>
      <c r="BH60" s="17">
        <v>42555</v>
      </c>
      <c r="BI60" s="17">
        <v>2287</v>
      </c>
      <c r="BJ60" s="17">
        <v>1091.9354838709678</v>
      </c>
      <c r="BK60" s="17">
        <v>1153.2258064516129</v>
      </c>
    </row>
    <row r="61" spans="1:63" x14ac:dyDescent="0.35">
      <c r="A61" s="18">
        <v>57</v>
      </c>
      <c r="B61" s="41" t="s">
        <v>234</v>
      </c>
      <c r="C61" s="19" t="s">
        <v>314</v>
      </c>
      <c r="D61" s="17">
        <v>332044</v>
      </c>
      <c r="E61" s="17">
        <v>29996</v>
      </c>
      <c r="F61" s="17">
        <v>0</v>
      </c>
      <c r="G61" s="17">
        <v>650.64516129032256</v>
      </c>
      <c r="H61" s="17">
        <v>1045.1612903225807</v>
      </c>
      <c r="I61" s="17">
        <v>234891</v>
      </c>
      <c r="J61" s="17">
        <v>23143</v>
      </c>
      <c r="K61" s="17">
        <v>0</v>
      </c>
      <c r="L61" s="17">
        <v>666.60714285714289</v>
      </c>
      <c r="M61" s="17">
        <v>1395.3571428571429</v>
      </c>
      <c r="N61" s="17">
        <v>274256</v>
      </c>
      <c r="O61" s="17">
        <v>42660</v>
      </c>
      <c r="P61" s="17">
        <v>0</v>
      </c>
      <c r="Q61" s="17">
        <v>680</v>
      </c>
      <c r="R61" s="17">
        <v>1562.9032258064517</v>
      </c>
      <c r="S61" s="17">
        <v>302102</v>
      </c>
      <c r="T61" s="17">
        <v>43841</v>
      </c>
      <c r="U61" s="17">
        <v>0</v>
      </c>
      <c r="V61" s="17">
        <v>680</v>
      </c>
      <c r="W61" s="17">
        <v>1339.3333333333333</v>
      </c>
      <c r="X61" s="17">
        <v>279128</v>
      </c>
      <c r="Y61" s="17">
        <v>44828</v>
      </c>
      <c r="Z61" s="17">
        <v>0</v>
      </c>
      <c r="AA61" s="17">
        <v>718.54838709677415</v>
      </c>
      <c r="AB61" s="17">
        <v>1187.0967741935483</v>
      </c>
      <c r="AC61" s="17">
        <v>230942</v>
      </c>
      <c r="AD61" s="17">
        <v>40227</v>
      </c>
      <c r="AE61" s="17">
        <v>0</v>
      </c>
      <c r="AF61" s="17">
        <v>725</v>
      </c>
      <c r="AG61" s="17">
        <v>1182.3333333333333</v>
      </c>
      <c r="AH61" s="17">
        <v>240466</v>
      </c>
      <c r="AI61" s="17">
        <v>37551</v>
      </c>
      <c r="AJ61" s="17">
        <v>0</v>
      </c>
      <c r="AK61" s="17">
        <v>756.61290322580646</v>
      </c>
      <c r="AL61" s="17">
        <v>1190</v>
      </c>
      <c r="AM61" s="17">
        <v>137179</v>
      </c>
      <c r="AN61" s="17">
        <v>42126</v>
      </c>
      <c r="AO61" s="17">
        <v>0</v>
      </c>
      <c r="AP61" s="17">
        <v>867.09677419354841</v>
      </c>
      <c r="AQ61" s="17">
        <v>1190</v>
      </c>
      <c r="AR61" s="17">
        <v>185626</v>
      </c>
      <c r="AS61" s="17">
        <v>42695</v>
      </c>
      <c r="AT61" s="17">
        <v>0</v>
      </c>
      <c r="AU61" s="17">
        <v>1108.1666666666667</v>
      </c>
      <c r="AV61" s="17">
        <v>1190</v>
      </c>
      <c r="AW61" s="17">
        <v>185029</v>
      </c>
      <c r="AX61" s="17">
        <v>42091</v>
      </c>
      <c r="AY61" s="17">
        <v>0</v>
      </c>
      <c r="AZ61" s="17">
        <v>1160</v>
      </c>
      <c r="BA61" s="17">
        <v>1193.8709677419354</v>
      </c>
      <c r="BB61" s="17">
        <v>162397</v>
      </c>
      <c r="BC61" s="17">
        <v>45712</v>
      </c>
      <c r="BD61" s="17">
        <v>0</v>
      </c>
      <c r="BE61" s="17">
        <v>1127.3333333333333</v>
      </c>
      <c r="BF61" s="17">
        <v>1168.6666666666667</v>
      </c>
      <c r="BG61" s="17">
        <v>196621</v>
      </c>
      <c r="BH61" s="17">
        <v>39455</v>
      </c>
      <c r="BI61" s="17">
        <v>0</v>
      </c>
      <c r="BJ61" s="17">
        <v>1083.8709677419354</v>
      </c>
      <c r="BK61" s="17">
        <v>1150</v>
      </c>
    </row>
    <row r="62" spans="1:63" x14ac:dyDescent="0.35">
      <c r="A62" s="18">
        <v>58</v>
      </c>
      <c r="B62" s="41" t="s">
        <v>231</v>
      </c>
      <c r="C62" s="19" t="s">
        <v>315</v>
      </c>
      <c r="D62" s="17">
        <v>140599</v>
      </c>
      <c r="E62" s="17">
        <v>1513</v>
      </c>
      <c r="F62" s="17">
        <v>0</v>
      </c>
      <c r="G62" s="17">
        <v>660</v>
      </c>
      <c r="H62" s="17">
        <v>1078.0645161290322</v>
      </c>
      <c r="I62" s="17">
        <v>149730</v>
      </c>
      <c r="J62" s="17">
        <v>962</v>
      </c>
      <c r="K62" s="17">
        <v>0</v>
      </c>
      <c r="L62" s="17">
        <v>674.64285714285711</v>
      </c>
      <c r="M62" s="17">
        <v>1388.2142857142858</v>
      </c>
      <c r="N62" s="17">
        <v>163492</v>
      </c>
      <c r="O62" s="17">
        <v>850</v>
      </c>
      <c r="P62" s="17">
        <v>0</v>
      </c>
      <c r="Q62" s="17">
        <v>695</v>
      </c>
      <c r="R62" s="17">
        <v>1610.483870967742</v>
      </c>
      <c r="S62" s="17">
        <v>142400</v>
      </c>
      <c r="T62" s="17">
        <v>3751</v>
      </c>
      <c r="U62" s="17">
        <v>0</v>
      </c>
      <c r="V62" s="17">
        <v>695.83333333333337</v>
      </c>
      <c r="W62" s="17">
        <v>1360.5</v>
      </c>
      <c r="X62" s="17">
        <v>150404</v>
      </c>
      <c r="Y62" s="17">
        <v>3073</v>
      </c>
      <c r="Z62" s="17">
        <v>0</v>
      </c>
      <c r="AA62" s="17">
        <v>791.93548387096769</v>
      </c>
      <c r="AB62" s="17">
        <v>1227.0967741935483</v>
      </c>
      <c r="AC62" s="17">
        <v>118226</v>
      </c>
      <c r="AD62" s="17">
        <v>2507</v>
      </c>
      <c r="AE62" s="17">
        <v>0</v>
      </c>
      <c r="AF62" s="17">
        <v>767.33333333333337</v>
      </c>
      <c r="AG62" s="17">
        <v>1236.3333333333333</v>
      </c>
      <c r="AH62" s="17">
        <v>168019</v>
      </c>
      <c r="AI62" s="17">
        <v>2442</v>
      </c>
      <c r="AJ62" s="17">
        <v>0</v>
      </c>
      <c r="AK62" s="17">
        <v>770.64516129032256</v>
      </c>
      <c r="AL62" s="17">
        <v>1255</v>
      </c>
      <c r="AM62" s="17">
        <v>108662</v>
      </c>
      <c r="AN62" s="17">
        <v>2915</v>
      </c>
      <c r="AO62" s="17">
        <v>0</v>
      </c>
      <c r="AP62" s="17">
        <v>875.80645161290317</v>
      </c>
      <c r="AQ62" s="17">
        <v>1255</v>
      </c>
      <c r="AR62" s="17">
        <v>110277</v>
      </c>
      <c r="AS62" s="17">
        <v>1585</v>
      </c>
      <c r="AT62" s="17">
        <v>0</v>
      </c>
      <c r="AU62" s="17">
        <v>1063.6666666666667</v>
      </c>
      <c r="AV62" s="17">
        <v>1255</v>
      </c>
      <c r="AW62" s="17">
        <v>154714</v>
      </c>
      <c r="AX62" s="17">
        <v>4473</v>
      </c>
      <c r="AY62" s="17">
        <v>0</v>
      </c>
      <c r="AZ62" s="17">
        <v>1206.4516129032259</v>
      </c>
      <c r="BA62" s="17">
        <v>1247.0967741935483</v>
      </c>
      <c r="BB62" s="17">
        <v>154418</v>
      </c>
      <c r="BC62" s="17">
        <v>4802</v>
      </c>
      <c r="BD62" s="17">
        <v>0</v>
      </c>
      <c r="BE62" s="17">
        <v>1143.8333333333333</v>
      </c>
      <c r="BF62" s="17">
        <v>1215.3333333333333</v>
      </c>
      <c r="BG62" s="17">
        <v>99281</v>
      </c>
      <c r="BH62" s="17">
        <v>3253</v>
      </c>
      <c r="BI62" s="17">
        <v>0</v>
      </c>
      <c r="BJ62" s="17">
        <v>1078.7096774193549</v>
      </c>
      <c r="BK62" s="17">
        <v>1200</v>
      </c>
    </row>
    <row r="63" spans="1:63" x14ac:dyDescent="0.35">
      <c r="A63" s="18">
        <v>59</v>
      </c>
      <c r="B63" s="41" t="s">
        <v>245</v>
      </c>
      <c r="C63" s="19" t="s">
        <v>316</v>
      </c>
      <c r="D63" s="17">
        <v>417660</v>
      </c>
      <c r="E63" s="17">
        <v>22961</v>
      </c>
      <c r="F63" s="17">
        <v>0</v>
      </c>
      <c r="G63" s="17">
        <v>666.77419354838707</v>
      </c>
      <c r="H63" s="17">
        <v>1107.0967741935483</v>
      </c>
      <c r="I63" s="17">
        <v>339993</v>
      </c>
      <c r="J63" s="17">
        <v>35142</v>
      </c>
      <c r="K63" s="17">
        <v>0</v>
      </c>
      <c r="L63" s="17">
        <v>678.57142857142856</v>
      </c>
      <c r="M63" s="17">
        <v>1373.2142857142858</v>
      </c>
      <c r="N63" s="17">
        <v>364974</v>
      </c>
      <c r="O63" s="17">
        <v>29380</v>
      </c>
      <c r="P63" s="17">
        <v>2413</v>
      </c>
      <c r="Q63" s="17">
        <v>700</v>
      </c>
      <c r="R63" s="17">
        <v>1607.258064516129</v>
      </c>
      <c r="S63" s="17">
        <v>323696</v>
      </c>
      <c r="T63" s="17">
        <v>32921</v>
      </c>
      <c r="U63" s="17">
        <v>1745</v>
      </c>
      <c r="V63" s="17">
        <v>703.16666666666663</v>
      </c>
      <c r="W63" s="17">
        <v>1464.1666666666667</v>
      </c>
      <c r="X63" s="17">
        <v>382262</v>
      </c>
      <c r="Y63" s="17">
        <v>42184</v>
      </c>
      <c r="Z63" s="17">
        <v>1651</v>
      </c>
      <c r="AA63" s="17">
        <v>810.32258064516134</v>
      </c>
      <c r="AB63" s="17">
        <v>1253.5483870967741</v>
      </c>
      <c r="AC63" s="17">
        <v>417120</v>
      </c>
      <c r="AD63" s="17">
        <v>45473</v>
      </c>
      <c r="AE63" s="17">
        <v>1899</v>
      </c>
      <c r="AF63" s="17">
        <v>757.33333333333337</v>
      </c>
      <c r="AG63" s="17">
        <v>1241.3333333333333</v>
      </c>
      <c r="AH63" s="17">
        <v>483068</v>
      </c>
      <c r="AI63" s="17">
        <v>30006</v>
      </c>
      <c r="AJ63" s="17">
        <v>2207</v>
      </c>
      <c r="AK63" s="17">
        <v>766.77419354838707</v>
      </c>
      <c r="AL63" s="17">
        <v>1260</v>
      </c>
      <c r="AM63" s="17">
        <v>318827</v>
      </c>
      <c r="AN63" s="17">
        <v>11277</v>
      </c>
      <c r="AO63" s="17">
        <v>2185</v>
      </c>
      <c r="AP63" s="17">
        <v>843.54838709677415</v>
      </c>
      <c r="AQ63" s="17">
        <v>1256.1290322580646</v>
      </c>
      <c r="AR63" s="17">
        <v>242219</v>
      </c>
      <c r="AS63" s="17">
        <v>8379</v>
      </c>
      <c r="AT63" s="17">
        <v>2494</v>
      </c>
      <c r="AU63" s="17">
        <v>1118</v>
      </c>
      <c r="AV63" s="17">
        <v>1260</v>
      </c>
      <c r="AW63" s="17">
        <v>384496</v>
      </c>
      <c r="AX63" s="17">
        <v>26277</v>
      </c>
      <c r="AY63" s="17">
        <v>2200</v>
      </c>
      <c r="AZ63" s="17">
        <v>1196.7741935483871</v>
      </c>
      <c r="BA63" s="17">
        <v>1260</v>
      </c>
      <c r="BB63" s="17">
        <v>400179</v>
      </c>
      <c r="BC63" s="17">
        <v>19065</v>
      </c>
      <c r="BD63" s="17">
        <v>0</v>
      </c>
      <c r="BE63" s="17">
        <v>1168</v>
      </c>
      <c r="BF63" s="17">
        <v>1229</v>
      </c>
      <c r="BG63" s="17">
        <v>413547</v>
      </c>
      <c r="BH63" s="17">
        <v>43149</v>
      </c>
      <c r="BI63" s="17">
        <v>0</v>
      </c>
      <c r="BJ63" s="17">
        <v>1137.4193548387098</v>
      </c>
      <c r="BK63" s="17">
        <v>1228.3870967741937</v>
      </c>
    </row>
    <row r="64" spans="1:63" x14ac:dyDescent="0.35">
      <c r="A64" s="18">
        <v>60</v>
      </c>
      <c r="B64" s="41" t="s">
        <v>245</v>
      </c>
      <c r="C64" s="20" t="s">
        <v>260</v>
      </c>
      <c r="D64" s="17">
        <v>269441</v>
      </c>
      <c r="E64" s="17">
        <v>17221</v>
      </c>
      <c r="F64" s="17">
        <v>0</v>
      </c>
      <c r="G64" s="17">
        <v>666.77419354838707</v>
      </c>
      <c r="H64" s="17">
        <v>1108.0645161290322</v>
      </c>
      <c r="I64" s="17">
        <v>286219</v>
      </c>
      <c r="J64" s="17">
        <v>29446</v>
      </c>
      <c r="K64" s="17">
        <v>0</v>
      </c>
      <c r="L64" s="17">
        <v>678.57142857142856</v>
      </c>
      <c r="M64" s="17">
        <v>1381.0714285714287</v>
      </c>
      <c r="N64" s="17">
        <v>249804</v>
      </c>
      <c r="O64" s="17">
        <v>32568</v>
      </c>
      <c r="P64" s="17">
        <v>0</v>
      </c>
      <c r="Q64" s="17">
        <v>700</v>
      </c>
      <c r="R64" s="17">
        <v>1600</v>
      </c>
      <c r="S64" s="17">
        <v>217973</v>
      </c>
      <c r="T64" s="17">
        <v>21241</v>
      </c>
      <c r="U64" s="17">
        <v>0</v>
      </c>
      <c r="V64" s="17">
        <v>703.33333333333337</v>
      </c>
      <c r="W64" s="17">
        <v>1464.1666666666667</v>
      </c>
      <c r="X64" s="17">
        <v>357509</v>
      </c>
      <c r="Y64" s="17">
        <v>33294</v>
      </c>
      <c r="Z64" s="17">
        <v>0</v>
      </c>
      <c r="AA64" s="17">
        <v>810.9677419354839</v>
      </c>
      <c r="AB64" s="17">
        <v>1255.483870967742</v>
      </c>
      <c r="AC64" s="17">
        <v>395219</v>
      </c>
      <c r="AD64" s="17">
        <v>23178</v>
      </c>
      <c r="AE64" s="17">
        <v>0</v>
      </c>
      <c r="AF64" s="17">
        <v>757.33333333333337</v>
      </c>
      <c r="AG64" s="17">
        <v>1241.3333333333333</v>
      </c>
      <c r="AH64" s="17">
        <v>404942</v>
      </c>
      <c r="AI64" s="17">
        <v>18667</v>
      </c>
      <c r="AJ64" s="17">
        <v>0</v>
      </c>
      <c r="AK64" s="17">
        <v>766.77419354838707</v>
      </c>
      <c r="AL64" s="17">
        <v>1260</v>
      </c>
      <c r="AM64" s="17">
        <v>282398</v>
      </c>
      <c r="AN64" s="17">
        <v>28726</v>
      </c>
      <c r="AO64" s="17">
        <v>0</v>
      </c>
      <c r="AP64" s="17">
        <v>842.25806451612902</v>
      </c>
      <c r="AQ64" s="17">
        <v>1260</v>
      </c>
      <c r="AR64" s="17">
        <v>183201</v>
      </c>
      <c r="AS64" s="17">
        <v>27540</v>
      </c>
      <c r="AT64" s="17">
        <v>0</v>
      </c>
      <c r="AU64" s="17">
        <v>1124.6666666666667</v>
      </c>
      <c r="AV64" s="17">
        <v>1260</v>
      </c>
      <c r="AW64" s="17">
        <v>317354</v>
      </c>
      <c r="AX64" s="17">
        <v>29600</v>
      </c>
      <c r="AY64" s="17">
        <v>0</v>
      </c>
      <c r="AZ64" s="17">
        <v>1194.8387096774193</v>
      </c>
      <c r="BA64" s="17">
        <v>1257.0967741935483</v>
      </c>
      <c r="BB64" s="17">
        <v>320432</v>
      </c>
      <c r="BC64" s="17">
        <v>29776</v>
      </c>
      <c r="BD64" s="17">
        <v>0</v>
      </c>
      <c r="BE64" s="17">
        <v>1167.3333333333333</v>
      </c>
      <c r="BF64" s="17">
        <v>1230</v>
      </c>
      <c r="BG64" s="17">
        <v>323657</v>
      </c>
      <c r="BH64" s="17">
        <v>17552</v>
      </c>
      <c r="BI64" s="17">
        <v>0</v>
      </c>
      <c r="BJ64" s="17">
        <v>1140</v>
      </c>
      <c r="BK64" s="17">
        <v>1230</v>
      </c>
    </row>
    <row r="65" spans="1:63" x14ac:dyDescent="0.35">
      <c r="A65" s="18">
        <v>61</v>
      </c>
      <c r="B65" s="41" t="s">
        <v>245</v>
      </c>
      <c r="C65" s="19" t="s">
        <v>317</v>
      </c>
      <c r="D65" s="17">
        <v>499302</v>
      </c>
      <c r="E65" s="17">
        <v>17134</v>
      </c>
      <c r="F65" s="17">
        <v>0</v>
      </c>
      <c r="G65" s="17">
        <v>666.77419354838707</v>
      </c>
      <c r="H65" s="17">
        <v>1108.0645161290322</v>
      </c>
      <c r="I65" s="17">
        <v>406796</v>
      </c>
      <c r="J65" s="17">
        <v>48209</v>
      </c>
      <c r="K65" s="17">
        <v>0</v>
      </c>
      <c r="L65" s="17">
        <v>678.57142857142856</v>
      </c>
      <c r="M65" s="17">
        <v>1381.0714285714287</v>
      </c>
      <c r="N65" s="17">
        <v>409367</v>
      </c>
      <c r="O65" s="17">
        <v>32412</v>
      </c>
      <c r="P65" s="17">
        <v>1476</v>
      </c>
      <c r="Q65" s="17">
        <v>700</v>
      </c>
      <c r="R65" s="17">
        <v>1603.2258064516129</v>
      </c>
      <c r="S65" s="17">
        <v>457181</v>
      </c>
      <c r="T65" s="17">
        <v>19296</v>
      </c>
      <c r="U65" s="17">
        <v>1423</v>
      </c>
      <c r="V65" s="17">
        <v>703.33333333333337</v>
      </c>
      <c r="W65" s="17">
        <v>1464.1666666666667</v>
      </c>
      <c r="X65" s="17">
        <v>418251</v>
      </c>
      <c r="Y65" s="17">
        <v>22713</v>
      </c>
      <c r="Z65" s="17">
        <v>1249</v>
      </c>
      <c r="AA65" s="17">
        <v>810.9677419354839</v>
      </c>
      <c r="AB65" s="17">
        <v>1255.483870967742</v>
      </c>
      <c r="AC65" s="17">
        <v>532910</v>
      </c>
      <c r="AD65" s="17">
        <v>28160</v>
      </c>
      <c r="AE65" s="17">
        <v>1176</v>
      </c>
      <c r="AF65" s="17">
        <v>757.33333333333337</v>
      </c>
      <c r="AG65" s="17">
        <v>1241.3333333333333</v>
      </c>
      <c r="AH65" s="17">
        <v>505927</v>
      </c>
      <c r="AI65" s="17">
        <v>19265</v>
      </c>
      <c r="AJ65" s="17">
        <v>1639</v>
      </c>
      <c r="AK65" s="17">
        <v>766.77419354838707</v>
      </c>
      <c r="AL65" s="17">
        <v>1260</v>
      </c>
      <c r="AM65" s="17">
        <v>359659</v>
      </c>
      <c r="AN65" s="17">
        <v>15806</v>
      </c>
      <c r="AO65" s="17">
        <v>1672</v>
      </c>
      <c r="AP65" s="17">
        <v>843.54838709677415</v>
      </c>
      <c r="AQ65" s="17">
        <v>1256.1290322580646</v>
      </c>
      <c r="AR65" s="17">
        <v>213921</v>
      </c>
      <c r="AS65" s="17">
        <v>11553</v>
      </c>
      <c r="AT65" s="17">
        <v>1177</v>
      </c>
      <c r="AU65" s="17">
        <v>1116.6666666666667</v>
      </c>
      <c r="AV65" s="17">
        <v>1260</v>
      </c>
      <c r="AW65" s="17">
        <v>495011</v>
      </c>
      <c r="AX65" s="17">
        <v>17976</v>
      </c>
      <c r="AY65" s="17">
        <v>2189</v>
      </c>
      <c r="AZ65" s="17">
        <v>1196.7741935483871</v>
      </c>
      <c r="BA65" s="17">
        <v>1260</v>
      </c>
      <c r="BB65" s="17">
        <v>464250</v>
      </c>
      <c r="BC65" s="17">
        <v>38067</v>
      </c>
      <c r="BD65" s="17">
        <v>3238</v>
      </c>
      <c r="BE65" s="17">
        <v>1168</v>
      </c>
      <c r="BF65" s="17">
        <v>1230</v>
      </c>
      <c r="BG65" s="17">
        <v>486838</v>
      </c>
      <c r="BH65" s="17">
        <v>36178</v>
      </c>
      <c r="BI65" s="17">
        <v>932</v>
      </c>
      <c r="BJ65" s="17">
        <v>1137.4193548387098</v>
      </c>
      <c r="BK65" s="17">
        <v>1230</v>
      </c>
    </row>
    <row r="66" spans="1:63" x14ac:dyDescent="0.35">
      <c r="A66" s="18">
        <v>62</v>
      </c>
      <c r="B66" s="41" t="s">
        <v>236</v>
      </c>
      <c r="C66" s="19" t="s">
        <v>318</v>
      </c>
      <c r="D66" s="17">
        <v>221877</v>
      </c>
      <c r="E66" s="17">
        <v>41776</v>
      </c>
      <c r="F66" s="17">
        <v>1536</v>
      </c>
      <c r="G66" s="17">
        <v>619.19354838709683</v>
      </c>
      <c r="H66" s="17">
        <v>1058.5483870967741</v>
      </c>
      <c r="I66" s="17">
        <v>193529</v>
      </c>
      <c r="J66" s="17">
        <v>35825</v>
      </c>
      <c r="K66" s="17">
        <v>3255</v>
      </c>
      <c r="L66" s="17">
        <v>647.14285714285711</v>
      </c>
      <c r="M66" s="17">
        <v>1389.4642857142858</v>
      </c>
      <c r="N66" s="17">
        <v>201515</v>
      </c>
      <c r="O66" s="17">
        <v>25641</v>
      </c>
      <c r="P66" s="17">
        <v>1777</v>
      </c>
      <c r="Q66" s="17">
        <v>663.87096774193549</v>
      </c>
      <c r="R66" s="17">
        <v>1562.9032258064517</v>
      </c>
      <c r="S66" s="17">
        <v>261245</v>
      </c>
      <c r="T66" s="17">
        <v>21953</v>
      </c>
      <c r="U66" s="17">
        <v>1490</v>
      </c>
      <c r="V66" s="17">
        <v>665.66666666666663</v>
      </c>
      <c r="W66" s="17">
        <v>1384.1666666666667</v>
      </c>
      <c r="X66" s="17">
        <v>106296</v>
      </c>
      <c r="Y66" s="17">
        <v>20980</v>
      </c>
      <c r="Z66" s="17">
        <v>1509</v>
      </c>
      <c r="AA66" s="17">
        <v>748.06451612903231</v>
      </c>
      <c r="AB66" s="17">
        <v>1229.6774193548388</v>
      </c>
      <c r="AC66" s="17">
        <v>214562</v>
      </c>
      <c r="AD66" s="17">
        <v>22395</v>
      </c>
      <c r="AE66" s="17">
        <v>3551</v>
      </c>
      <c r="AF66" s="17">
        <v>670.66666666666663</v>
      </c>
      <c r="AG66" s="17">
        <v>1218.3333333333333</v>
      </c>
      <c r="AH66" s="17">
        <v>210321</v>
      </c>
      <c r="AI66" s="17">
        <v>27319</v>
      </c>
      <c r="AJ66" s="17">
        <v>1332</v>
      </c>
      <c r="AK66" s="17">
        <v>734.19354838709683</v>
      </c>
      <c r="AL66" s="17">
        <v>1200</v>
      </c>
      <c r="AM66" s="17">
        <v>103741</v>
      </c>
      <c r="AN66" s="17">
        <v>18063</v>
      </c>
      <c r="AO66" s="17">
        <v>1049</v>
      </c>
      <c r="AP66" s="17">
        <v>818.06451612903231</v>
      </c>
      <c r="AQ66" s="17">
        <v>1200</v>
      </c>
      <c r="AR66" s="17">
        <v>139756</v>
      </c>
      <c r="AS66" s="17">
        <v>23471</v>
      </c>
      <c r="AT66" s="17">
        <v>1313</v>
      </c>
      <c r="AU66" s="17">
        <v>998.66666666666663</v>
      </c>
      <c r="AV66" s="17">
        <v>1200</v>
      </c>
      <c r="AW66" s="17">
        <v>126823</v>
      </c>
      <c r="AX66" s="17">
        <v>34088</v>
      </c>
      <c r="AY66" s="17">
        <v>1668</v>
      </c>
      <c r="AZ66" s="17">
        <v>1088.3870967741937</v>
      </c>
      <c r="BA66" s="17">
        <v>1200</v>
      </c>
      <c r="BB66" s="17">
        <v>119102</v>
      </c>
      <c r="BC66" s="17">
        <v>29057</v>
      </c>
      <c r="BD66" s="17">
        <v>1605</v>
      </c>
      <c r="BE66" s="17">
        <v>1090.6666666666667</v>
      </c>
      <c r="BF66" s="17">
        <v>1177.6666666666667</v>
      </c>
      <c r="BG66" s="17">
        <v>133694</v>
      </c>
      <c r="BH66" s="17">
        <v>26201</v>
      </c>
      <c r="BI66" s="17">
        <v>1502</v>
      </c>
      <c r="BJ66" s="17">
        <v>1044.516129032258</v>
      </c>
      <c r="BK66" s="17">
        <v>1150</v>
      </c>
    </row>
    <row r="67" spans="1:63" x14ac:dyDescent="0.35">
      <c r="A67" s="18">
        <v>63</v>
      </c>
      <c r="B67" s="41" t="s">
        <v>236</v>
      </c>
      <c r="C67" s="19" t="s">
        <v>319</v>
      </c>
      <c r="D67" s="17">
        <v>230674</v>
      </c>
      <c r="E67" s="17">
        <v>34346</v>
      </c>
      <c r="F67" s="17">
        <v>2401</v>
      </c>
      <c r="G67" s="17">
        <v>619.19354838709683</v>
      </c>
      <c r="H67" s="17">
        <v>1058.3870967741937</v>
      </c>
      <c r="I67" s="17">
        <v>141463</v>
      </c>
      <c r="J67" s="17">
        <v>34381</v>
      </c>
      <c r="K67" s="17">
        <v>21</v>
      </c>
      <c r="L67" s="17">
        <v>647.14285714285711</v>
      </c>
      <c r="M67" s="17">
        <v>1389.6428571428571</v>
      </c>
      <c r="N67" s="17">
        <v>167512</v>
      </c>
      <c r="O67" s="17">
        <v>22574</v>
      </c>
      <c r="P67" s="17">
        <v>1729</v>
      </c>
      <c r="Q67" s="17">
        <v>663.87096774193549</v>
      </c>
      <c r="R67" s="17">
        <v>1562.9032258064517</v>
      </c>
      <c r="S67" s="17">
        <v>257460</v>
      </c>
      <c r="T67" s="17">
        <v>30359</v>
      </c>
      <c r="U67" s="17">
        <v>2675</v>
      </c>
      <c r="V67" s="17">
        <v>665.66666666666663</v>
      </c>
      <c r="W67" s="17">
        <v>1385</v>
      </c>
      <c r="X67" s="17">
        <v>106510</v>
      </c>
      <c r="Y67" s="17">
        <v>7790</v>
      </c>
      <c r="Z67" s="17">
        <v>3335</v>
      </c>
      <c r="AA67" s="17">
        <v>749.35483870967744</v>
      </c>
      <c r="AB67" s="17">
        <v>1230.9677419354839</v>
      </c>
      <c r="AC67" s="17">
        <v>144411</v>
      </c>
      <c r="AD67" s="17">
        <v>6946</v>
      </c>
      <c r="AE67" s="17">
        <v>2215</v>
      </c>
      <c r="AF67" s="17">
        <v>670.66666666666663</v>
      </c>
      <c r="AG67" s="17">
        <v>1219.3333333333333</v>
      </c>
      <c r="AH67" s="17">
        <v>145813</v>
      </c>
      <c r="AI67" s="17">
        <v>8561</v>
      </c>
      <c r="AJ67" s="17">
        <v>992</v>
      </c>
      <c r="AK67" s="17">
        <v>734.19354838709683</v>
      </c>
      <c r="AL67" s="17">
        <v>1200</v>
      </c>
      <c r="AM67" s="17">
        <v>118251</v>
      </c>
      <c r="AN67" s="17">
        <v>6259</v>
      </c>
      <c r="AO67" s="17">
        <v>801</v>
      </c>
      <c r="AP67" s="17">
        <v>818.06451612903231</v>
      </c>
      <c r="AQ67" s="17">
        <v>1200</v>
      </c>
      <c r="AR67" s="17">
        <v>136004</v>
      </c>
      <c r="AS67" s="17">
        <v>7356</v>
      </c>
      <c r="AT67" s="17">
        <v>704</v>
      </c>
      <c r="AU67" s="17">
        <v>998.66666666666663</v>
      </c>
      <c r="AV67" s="17">
        <v>1200</v>
      </c>
      <c r="AW67" s="17">
        <v>77822</v>
      </c>
      <c r="AX67" s="17">
        <v>9496</v>
      </c>
      <c r="AY67" s="17">
        <v>782</v>
      </c>
      <c r="AZ67" s="17">
        <v>1088.3870967741937</v>
      </c>
      <c r="BA67" s="17">
        <v>1200</v>
      </c>
      <c r="BB67" s="17">
        <v>73844</v>
      </c>
      <c r="BC67" s="17">
        <v>9344</v>
      </c>
      <c r="BD67" s="17">
        <v>377</v>
      </c>
      <c r="BE67" s="17">
        <v>1090.6666666666667</v>
      </c>
      <c r="BF67" s="17">
        <v>1177.6666666666667</v>
      </c>
      <c r="BG67" s="17">
        <v>80188</v>
      </c>
      <c r="BH67" s="17">
        <v>11385</v>
      </c>
      <c r="BI67" s="17">
        <v>1071</v>
      </c>
      <c r="BJ67" s="17">
        <v>1044.516129032258</v>
      </c>
      <c r="BK67" s="17">
        <v>1150</v>
      </c>
    </row>
    <row r="68" spans="1:63" x14ac:dyDescent="0.35">
      <c r="A68" s="18">
        <v>64</v>
      </c>
      <c r="B68" s="41" t="s">
        <v>236</v>
      </c>
      <c r="C68" s="19" t="s">
        <v>320</v>
      </c>
      <c r="D68" s="17">
        <v>216563</v>
      </c>
      <c r="E68" s="17">
        <v>75515</v>
      </c>
      <c r="F68" s="17">
        <v>3165</v>
      </c>
      <c r="G68" s="17">
        <v>619.19354838709683</v>
      </c>
      <c r="H68" s="17">
        <v>1058.5483870967741</v>
      </c>
      <c r="I68" s="17">
        <v>176830</v>
      </c>
      <c r="J68" s="17">
        <v>63965</v>
      </c>
      <c r="K68" s="17">
        <v>1001</v>
      </c>
      <c r="L68" s="17">
        <v>646.42857142857144</v>
      </c>
      <c r="M68" s="17">
        <v>1393.9285714285713</v>
      </c>
      <c r="N68" s="17">
        <v>175079</v>
      </c>
      <c r="O68" s="17">
        <v>48575</v>
      </c>
      <c r="P68" s="17">
        <v>2006</v>
      </c>
      <c r="Q68" s="17">
        <v>663.87096774193549</v>
      </c>
      <c r="R68" s="17">
        <v>1562.9032258064517</v>
      </c>
      <c r="S68" s="17">
        <v>244773</v>
      </c>
      <c r="T68" s="17">
        <v>51286</v>
      </c>
      <c r="U68" s="17">
        <v>3497</v>
      </c>
      <c r="V68" s="17">
        <v>665.66666666666663</v>
      </c>
      <c r="W68" s="17">
        <v>1385</v>
      </c>
      <c r="X68" s="17">
        <v>81481</v>
      </c>
      <c r="Y68" s="17">
        <v>28227</v>
      </c>
      <c r="Z68" s="17">
        <v>1408</v>
      </c>
      <c r="AA68" s="17">
        <v>748.70967741935488</v>
      </c>
      <c r="AB68" s="17">
        <v>1229.6774193548388</v>
      </c>
      <c r="AC68" s="17">
        <v>117934</v>
      </c>
      <c r="AD68" s="17">
        <v>26144</v>
      </c>
      <c r="AE68" s="17">
        <v>2684</v>
      </c>
      <c r="AF68" s="17">
        <v>670.66666666666663</v>
      </c>
      <c r="AG68" s="17">
        <v>1219.3333333333333</v>
      </c>
      <c r="AH68" s="17">
        <v>231191</v>
      </c>
      <c r="AI68" s="17">
        <v>29603</v>
      </c>
      <c r="AJ68" s="17">
        <v>2808</v>
      </c>
      <c r="AK68" s="17">
        <v>734.19354838709683</v>
      </c>
      <c r="AL68" s="17">
        <v>1200</v>
      </c>
      <c r="AM68" s="17">
        <v>124153</v>
      </c>
      <c r="AN68" s="17">
        <v>21217</v>
      </c>
      <c r="AO68" s="17">
        <v>2012</v>
      </c>
      <c r="AP68" s="17">
        <v>818.06451612903231</v>
      </c>
      <c r="AQ68" s="17">
        <v>1200</v>
      </c>
      <c r="AR68" s="17">
        <v>157539</v>
      </c>
      <c r="AS68" s="17">
        <v>25151</v>
      </c>
      <c r="AT68" s="17">
        <v>1291</v>
      </c>
      <c r="AU68" s="17">
        <v>998.66666666666663</v>
      </c>
      <c r="AV68" s="17">
        <v>1200</v>
      </c>
      <c r="AW68" s="17">
        <v>100064</v>
      </c>
      <c r="AX68" s="17">
        <v>38848</v>
      </c>
      <c r="AY68" s="17">
        <v>1573</v>
      </c>
      <c r="AZ68" s="17">
        <v>1088.3870967741937</v>
      </c>
      <c r="BA68" s="17">
        <v>1200</v>
      </c>
      <c r="BB68" s="17">
        <v>66947</v>
      </c>
      <c r="BC68" s="17">
        <v>30698</v>
      </c>
      <c r="BD68" s="17">
        <v>10276</v>
      </c>
      <c r="BE68" s="17">
        <v>1090.6666666666667</v>
      </c>
      <c r="BF68" s="17">
        <v>1177.6666666666667</v>
      </c>
      <c r="BG68" s="17">
        <v>63219</v>
      </c>
      <c r="BH68" s="17">
        <v>27068</v>
      </c>
      <c r="BI68" s="17">
        <v>5564</v>
      </c>
      <c r="BJ68" s="17">
        <v>1044.516129032258</v>
      </c>
      <c r="BK68" s="17">
        <v>1150</v>
      </c>
    </row>
    <row r="69" spans="1:63" x14ac:dyDescent="0.35">
      <c r="A69" s="18">
        <v>65</v>
      </c>
      <c r="B69" s="41" t="s">
        <v>236</v>
      </c>
      <c r="C69" s="19" t="s">
        <v>321</v>
      </c>
      <c r="D69" s="17">
        <v>209906</v>
      </c>
      <c r="E69" s="17">
        <v>25553</v>
      </c>
      <c r="F69" s="17">
        <v>513</v>
      </c>
      <c r="G69" s="17">
        <v>625</v>
      </c>
      <c r="H69" s="17">
        <v>1058.3870967741937</v>
      </c>
      <c r="I69" s="17">
        <v>185762</v>
      </c>
      <c r="J69" s="17">
        <v>19035</v>
      </c>
      <c r="K69" s="17">
        <v>2774</v>
      </c>
      <c r="L69" s="17">
        <v>646.42857142857144</v>
      </c>
      <c r="M69" s="17">
        <v>1393.9285714285713</v>
      </c>
      <c r="N69" s="17">
        <v>192113</v>
      </c>
      <c r="O69" s="17">
        <v>17060</v>
      </c>
      <c r="P69" s="17">
        <v>859</v>
      </c>
      <c r="Q69" s="17">
        <v>663.87096774193549</v>
      </c>
      <c r="R69" s="17">
        <v>1562.9032258064517</v>
      </c>
      <c r="S69" s="17">
        <v>223371</v>
      </c>
      <c r="T69" s="17">
        <v>18593</v>
      </c>
      <c r="U69" s="17">
        <v>1308</v>
      </c>
      <c r="V69" s="17">
        <v>665.66666666666663</v>
      </c>
      <c r="W69" s="17">
        <v>1385</v>
      </c>
      <c r="X69" s="17">
        <v>50689</v>
      </c>
      <c r="Y69" s="17">
        <v>16244</v>
      </c>
      <c r="Z69" s="17">
        <v>2511</v>
      </c>
      <c r="AA69" s="17">
        <v>748.70967741935488</v>
      </c>
      <c r="AB69" s="17">
        <v>1229.6774193548388</v>
      </c>
      <c r="AC69" s="17">
        <v>160199</v>
      </c>
      <c r="AD69" s="17">
        <v>12728</v>
      </c>
      <c r="AE69" s="17">
        <v>1318</v>
      </c>
      <c r="AF69" s="17">
        <v>670.66666666666663</v>
      </c>
      <c r="AG69" s="17">
        <v>1219.3333333333333</v>
      </c>
      <c r="AH69" s="17">
        <v>170932</v>
      </c>
      <c r="AI69" s="17">
        <v>13806</v>
      </c>
      <c r="AJ69" s="17">
        <v>596</v>
      </c>
      <c r="AK69" s="17">
        <v>734.19354838709683</v>
      </c>
      <c r="AL69" s="17">
        <v>1200</v>
      </c>
      <c r="AM69" s="17">
        <v>91599</v>
      </c>
      <c r="AN69" s="17">
        <v>13065</v>
      </c>
      <c r="AO69" s="17">
        <v>2842</v>
      </c>
      <c r="AP69" s="17">
        <v>815.48387096774195</v>
      </c>
      <c r="AQ69" s="17">
        <v>1200</v>
      </c>
      <c r="AR69" s="17">
        <v>124898</v>
      </c>
      <c r="AS69" s="17">
        <v>11494</v>
      </c>
      <c r="AT69" s="17">
        <v>980</v>
      </c>
      <c r="AU69" s="17">
        <v>998.66666666666663</v>
      </c>
      <c r="AV69" s="17">
        <v>1200</v>
      </c>
      <c r="AW69" s="17">
        <v>163950</v>
      </c>
      <c r="AX69" s="17">
        <v>13384</v>
      </c>
      <c r="AY69" s="17">
        <v>105</v>
      </c>
      <c r="AZ69" s="17">
        <v>1088.3870967741937</v>
      </c>
      <c r="BA69" s="17">
        <v>1200</v>
      </c>
      <c r="BB69" s="17">
        <v>144238</v>
      </c>
      <c r="BC69" s="17">
        <v>14447</v>
      </c>
      <c r="BD69" s="17">
        <v>130</v>
      </c>
      <c r="BE69" s="17">
        <v>1090.6666666666667</v>
      </c>
      <c r="BF69" s="17">
        <v>1178.3333333333333</v>
      </c>
      <c r="BG69" s="17">
        <v>138675</v>
      </c>
      <c r="BH69" s="17">
        <v>7716</v>
      </c>
      <c r="BI69" s="17">
        <v>377</v>
      </c>
      <c r="BJ69" s="17">
        <v>1044.516129032258</v>
      </c>
      <c r="BK69" s="17">
        <v>1150</v>
      </c>
    </row>
    <row r="70" spans="1:63" x14ac:dyDescent="0.35">
      <c r="A70" s="18">
        <v>66</v>
      </c>
      <c r="B70" s="41" t="s">
        <v>236</v>
      </c>
      <c r="C70" s="19" t="s">
        <v>322</v>
      </c>
      <c r="D70" s="17">
        <v>165855</v>
      </c>
      <c r="E70" s="17">
        <v>58449</v>
      </c>
      <c r="F70" s="17">
        <v>983</v>
      </c>
      <c r="G70" s="17">
        <v>625</v>
      </c>
      <c r="H70" s="17">
        <v>1058.5483870967741</v>
      </c>
      <c r="I70" s="17">
        <v>165759</v>
      </c>
      <c r="J70" s="17">
        <v>50510</v>
      </c>
      <c r="K70" s="17">
        <v>1678</v>
      </c>
      <c r="L70" s="17">
        <v>646.78571428571433</v>
      </c>
      <c r="M70" s="17">
        <v>1393.9285714285713</v>
      </c>
      <c r="N70" s="17">
        <v>162313</v>
      </c>
      <c r="O70" s="17">
        <v>32777</v>
      </c>
      <c r="P70" s="17">
        <v>735</v>
      </c>
      <c r="Q70" s="17">
        <v>663.87096774193549</v>
      </c>
      <c r="R70" s="17">
        <v>1562.9032258064517</v>
      </c>
      <c r="S70" s="17">
        <v>235559</v>
      </c>
      <c r="T70" s="17">
        <v>32915</v>
      </c>
      <c r="U70" s="17">
        <v>840</v>
      </c>
      <c r="V70" s="17">
        <v>665.66666666666663</v>
      </c>
      <c r="W70" s="17">
        <v>1385</v>
      </c>
      <c r="X70" s="17">
        <v>57707</v>
      </c>
      <c r="Y70" s="17">
        <v>19728</v>
      </c>
      <c r="Z70" s="17">
        <v>330</v>
      </c>
      <c r="AA70" s="17">
        <v>748.06451612903231</v>
      </c>
      <c r="AB70" s="17">
        <v>1229.6774193548388</v>
      </c>
      <c r="AC70" s="17">
        <v>98385</v>
      </c>
      <c r="AD70" s="17">
        <v>13411</v>
      </c>
      <c r="AE70" s="17">
        <v>1096</v>
      </c>
      <c r="AF70" s="17">
        <v>670.66666666666663</v>
      </c>
      <c r="AG70" s="17">
        <v>1219.3333333333333</v>
      </c>
      <c r="AH70" s="17">
        <v>146693</v>
      </c>
      <c r="AI70" s="17">
        <v>18037</v>
      </c>
      <c r="AJ70" s="17">
        <v>294</v>
      </c>
      <c r="AK70" s="17">
        <v>734.19354838709683</v>
      </c>
      <c r="AL70" s="17">
        <v>1200</v>
      </c>
      <c r="AM70" s="17">
        <v>89836</v>
      </c>
      <c r="AN70" s="17">
        <v>14032</v>
      </c>
      <c r="AO70" s="17">
        <v>516</v>
      </c>
      <c r="AP70" s="17">
        <v>818.06451612903231</v>
      </c>
      <c r="AQ70" s="17">
        <v>1200</v>
      </c>
      <c r="AR70" s="17">
        <v>132911</v>
      </c>
      <c r="AS70" s="17">
        <v>17768</v>
      </c>
      <c r="AT70" s="17">
        <v>236</v>
      </c>
      <c r="AU70" s="17">
        <v>998.66666666666663</v>
      </c>
      <c r="AV70" s="17">
        <v>1200</v>
      </c>
      <c r="AW70" s="17">
        <v>103159</v>
      </c>
      <c r="AX70" s="17">
        <v>18356</v>
      </c>
      <c r="AY70" s="17">
        <v>305</v>
      </c>
      <c r="AZ70" s="17">
        <v>1088.3870967741937</v>
      </c>
      <c r="BA70" s="17">
        <v>1200</v>
      </c>
      <c r="BB70" s="17">
        <v>83951</v>
      </c>
      <c r="BC70" s="17">
        <v>15470</v>
      </c>
      <c r="BD70" s="17">
        <v>966</v>
      </c>
      <c r="BE70" s="17">
        <v>1090.6666666666667</v>
      </c>
      <c r="BF70" s="17">
        <v>1177.6666666666667</v>
      </c>
      <c r="BG70" s="17">
        <v>78628</v>
      </c>
      <c r="BH70" s="17">
        <v>15427</v>
      </c>
      <c r="BI70" s="17">
        <v>458</v>
      </c>
      <c r="BJ70" s="17">
        <v>1044.516129032258</v>
      </c>
      <c r="BK70" s="17">
        <v>1150</v>
      </c>
    </row>
    <row r="71" spans="1:63" x14ac:dyDescent="0.35">
      <c r="A71" s="18">
        <v>67</v>
      </c>
      <c r="B71" s="41" t="s">
        <v>233</v>
      </c>
      <c r="C71" s="19" t="s">
        <v>323</v>
      </c>
      <c r="D71" s="17">
        <v>537750</v>
      </c>
      <c r="E71" s="17">
        <v>38166</v>
      </c>
      <c r="F71" s="17">
        <v>3111</v>
      </c>
      <c r="G71" s="17">
        <v>620</v>
      </c>
      <c r="H71" s="17">
        <v>1061.6129032258063</v>
      </c>
      <c r="I71" s="17">
        <v>539086</v>
      </c>
      <c r="J71" s="17">
        <v>38101</v>
      </c>
      <c r="K71" s="17">
        <v>2765</v>
      </c>
      <c r="L71" s="17">
        <v>632.14285714285711</v>
      </c>
      <c r="M71" s="17">
        <v>1384.2857142857142</v>
      </c>
      <c r="N71" s="17">
        <v>473648</v>
      </c>
      <c r="O71" s="17">
        <v>40665</v>
      </c>
      <c r="P71" s="17">
        <v>2720</v>
      </c>
      <c r="Q71" s="17">
        <v>635.48387096774195</v>
      </c>
      <c r="R71" s="17">
        <v>1533.8709677419354</v>
      </c>
      <c r="S71" s="17">
        <v>526444</v>
      </c>
      <c r="T71" s="17">
        <v>38011</v>
      </c>
      <c r="U71" s="17">
        <v>3237</v>
      </c>
      <c r="V71" s="17">
        <v>641.33333333333337</v>
      </c>
      <c r="W71" s="17">
        <v>1381.6666666666667</v>
      </c>
      <c r="X71" s="17">
        <v>436183</v>
      </c>
      <c r="Y71" s="17">
        <v>21112</v>
      </c>
      <c r="Z71" s="17">
        <v>3034</v>
      </c>
      <c r="AA71" s="17">
        <v>687.58064516129036</v>
      </c>
      <c r="AB71" s="17">
        <v>1224.1935483870968</v>
      </c>
      <c r="AC71" s="17">
        <v>398858</v>
      </c>
      <c r="AD71" s="17">
        <v>24313</v>
      </c>
      <c r="AE71" s="17">
        <v>2869</v>
      </c>
      <c r="AF71" s="17">
        <v>628</v>
      </c>
      <c r="AG71" s="17">
        <v>1201.3333333333333</v>
      </c>
      <c r="AH71" s="17">
        <v>528600</v>
      </c>
      <c r="AI71" s="17">
        <v>19216</v>
      </c>
      <c r="AJ71" s="17">
        <v>2905</v>
      </c>
      <c r="AK71" s="17">
        <v>714.51612903225805</v>
      </c>
      <c r="AL71" s="17">
        <v>1220</v>
      </c>
      <c r="AM71" s="17">
        <v>332311</v>
      </c>
      <c r="AN71" s="17">
        <v>10398</v>
      </c>
      <c r="AO71" s="17">
        <v>2116</v>
      </c>
      <c r="AP71" s="17">
        <v>791.29032258064512</v>
      </c>
      <c r="AQ71" s="17">
        <v>1220</v>
      </c>
      <c r="AR71" s="17">
        <v>477575</v>
      </c>
      <c r="AS71" s="17">
        <v>18072</v>
      </c>
      <c r="AT71" s="17">
        <v>2358</v>
      </c>
      <c r="AU71" s="17">
        <v>955.33333333333337</v>
      </c>
      <c r="AV71" s="17">
        <v>1220</v>
      </c>
      <c r="AW71" s="17">
        <v>451428</v>
      </c>
      <c r="AX71" s="17">
        <v>18719</v>
      </c>
      <c r="AY71" s="17">
        <v>2304</v>
      </c>
      <c r="AZ71" s="17">
        <v>1075.483870967742</v>
      </c>
      <c r="BA71" s="17">
        <v>1214.1935483870968</v>
      </c>
      <c r="BB71" s="17">
        <v>372482</v>
      </c>
      <c r="BC71" s="17">
        <v>19318</v>
      </c>
      <c r="BD71" s="17">
        <v>2243</v>
      </c>
      <c r="BE71" s="17">
        <v>1091.3333333333333</v>
      </c>
      <c r="BF71" s="17">
        <v>1185</v>
      </c>
      <c r="BG71" s="17">
        <v>337052</v>
      </c>
      <c r="BH71" s="17">
        <v>14983</v>
      </c>
      <c r="BI71" s="17">
        <v>2279</v>
      </c>
      <c r="BJ71" s="17">
        <v>1077.0967741935483</v>
      </c>
      <c r="BK71" s="17">
        <v>1170</v>
      </c>
    </row>
    <row r="72" spans="1:63" x14ac:dyDescent="0.35">
      <c r="A72" s="18">
        <v>68</v>
      </c>
      <c r="B72" s="41" t="s">
        <v>231</v>
      </c>
      <c r="C72" s="19" t="s">
        <v>324</v>
      </c>
      <c r="D72" s="17">
        <v>98494</v>
      </c>
      <c r="E72" s="17">
        <v>359</v>
      </c>
      <c r="F72" s="17">
        <v>0</v>
      </c>
      <c r="G72" s="17">
        <v>660</v>
      </c>
      <c r="H72" s="17">
        <v>1076.4516129032259</v>
      </c>
      <c r="I72" s="17">
        <v>111912</v>
      </c>
      <c r="J72" s="17">
        <v>0</v>
      </c>
      <c r="K72" s="17">
        <v>0</v>
      </c>
      <c r="L72" s="17">
        <v>674.64285714285711</v>
      </c>
      <c r="M72" s="17">
        <v>1376.0714285714287</v>
      </c>
      <c r="N72" s="17">
        <v>135748</v>
      </c>
      <c r="O72" s="17">
        <v>169</v>
      </c>
      <c r="P72" s="17">
        <v>0</v>
      </c>
      <c r="Q72" s="17">
        <v>695</v>
      </c>
      <c r="R72" s="17">
        <v>1607.258064516129</v>
      </c>
      <c r="S72" s="17">
        <v>114251</v>
      </c>
      <c r="T72" s="17">
        <v>0</v>
      </c>
      <c r="U72" s="17">
        <v>0</v>
      </c>
      <c r="V72" s="17">
        <v>696.33333333333337</v>
      </c>
      <c r="W72" s="17">
        <v>1360.5</v>
      </c>
      <c r="X72" s="17">
        <v>111383</v>
      </c>
      <c r="Y72" s="17">
        <v>98</v>
      </c>
      <c r="Z72" s="17">
        <v>0</v>
      </c>
      <c r="AA72" s="17">
        <v>791.93548387096769</v>
      </c>
      <c r="AB72" s="17">
        <v>1227.0967741935483</v>
      </c>
      <c r="AC72" s="17">
        <v>99167</v>
      </c>
      <c r="AD72" s="17">
        <v>171</v>
      </c>
      <c r="AE72" s="17">
        <v>0</v>
      </c>
      <c r="AF72" s="17">
        <v>767.33333333333337</v>
      </c>
      <c r="AG72" s="17">
        <v>1236.3333333333333</v>
      </c>
      <c r="AH72" s="17">
        <v>104646</v>
      </c>
      <c r="AI72" s="17">
        <v>1368</v>
      </c>
      <c r="AJ72" s="17">
        <v>0</v>
      </c>
      <c r="AK72" s="17">
        <v>770.64516129032256</v>
      </c>
      <c r="AL72" s="17">
        <v>1255</v>
      </c>
      <c r="AM72" s="17">
        <v>50740</v>
      </c>
      <c r="AN72" s="17">
        <v>768</v>
      </c>
      <c r="AO72" s="17">
        <v>0</v>
      </c>
      <c r="AP72" s="17">
        <v>875.80645161290317</v>
      </c>
      <c r="AQ72" s="17">
        <v>1255</v>
      </c>
      <c r="AR72" s="17">
        <v>91937</v>
      </c>
      <c r="AS72" s="17">
        <v>1533</v>
      </c>
      <c r="AT72" s="17">
        <v>0</v>
      </c>
      <c r="AU72" s="17">
        <v>1064.6666666666667</v>
      </c>
      <c r="AV72" s="17">
        <v>1255</v>
      </c>
      <c r="AW72" s="17">
        <v>99942</v>
      </c>
      <c r="AX72" s="17">
        <v>1549</v>
      </c>
      <c r="AY72" s="17">
        <v>0</v>
      </c>
      <c r="AZ72" s="17">
        <v>1206.4516129032259</v>
      </c>
      <c r="BA72" s="17">
        <v>1244.8387096774193</v>
      </c>
      <c r="BB72" s="17">
        <v>83322</v>
      </c>
      <c r="BC72" s="17">
        <v>3138</v>
      </c>
      <c r="BD72" s="17">
        <v>0</v>
      </c>
      <c r="BE72" s="17">
        <v>1143.8333333333333</v>
      </c>
      <c r="BF72" s="17">
        <v>1215.3333333333333</v>
      </c>
      <c r="BG72" s="17">
        <v>97583</v>
      </c>
      <c r="BH72" s="17">
        <v>4205</v>
      </c>
      <c r="BI72" s="17">
        <v>0</v>
      </c>
      <c r="BJ72" s="17">
        <v>1078.7096774193549</v>
      </c>
      <c r="BK72" s="17">
        <v>1200</v>
      </c>
    </row>
    <row r="73" spans="1:63" x14ac:dyDescent="0.35">
      <c r="A73" s="18">
        <v>69</v>
      </c>
      <c r="B73" s="41" t="s">
        <v>243</v>
      </c>
      <c r="C73" s="19" t="s">
        <v>325</v>
      </c>
      <c r="D73" s="17">
        <v>230607</v>
      </c>
      <c r="E73" s="17">
        <v>47853</v>
      </c>
      <c r="F73" s="17">
        <v>3304</v>
      </c>
      <c r="G73" s="17">
        <v>656.29032258064512</v>
      </c>
      <c r="H73" s="17">
        <v>1065.8064516129032</v>
      </c>
      <c r="I73" s="17">
        <v>207155</v>
      </c>
      <c r="J73" s="17">
        <v>32531</v>
      </c>
      <c r="K73" s="17">
        <v>3550</v>
      </c>
      <c r="L73" s="17">
        <v>669.46428571428567</v>
      </c>
      <c r="M73" s="17">
        <v>1406.4285714285713</v>
      </c>
      <c r="N73" s="17">
        <v>202780</v>
      </c>
      <c r="O73" s="17">
        <v>32129</v>
      </c>
      <c r="P73" s="17">
        <v>4141</v>
      </c>
      <c r="Q73" s="17">
        <v>695</v>
      </c>
      <c r="R73" s="17">
        <v>1590.3225806451612</v>
      </c>
      <c r="S73" s="17">
        <v>217167</v>
      </c>
      <c r="T73" s="17">
        <v>39620</v>
      </c>
      <c r="U73" s="17">
        <v>697</v>
      </c>
      <c r="V73" s="17">
        <v>695</v>
      </c>
      <c r="W73" s="17">
        <v>1353.6666666666667</v>
      </c>
      <c r="X73" s="17">
        <v>247716</v>
      </c>
      <c r="Y73" s="17">
        <v>38994</v>
      </c>
      <c r="Z73" s="17">
        <v>2546</v>
      </c>
      <c r="AA73" s="17">
        <v>740.64516129032256</v>
      </c>
      <c r="AB73" s="17">
        <v>1194.8387096774193</v>
      </c>
      <c r="AC73" s="17">
        <v>241316</v>
      </c>
      <c r="AD73" s="17">
        <v>38363</v>
      </c>
      <c r="AE73" s="17">
        <v>3497</v>
      </c>
      <c r="AF73" s="17">
        <v>731.66666666666663</v>
      </c>
      <c r="AG73" s="17">
        <v>1182.3333333333333</v>
      </c>
      <c r="AH73" s="17">
        <v>261330</v>
      </c>
      <c r="AI73" s="17">
        <v>39048</v>
      </c>
      <c r="AJ73" s="17">
        <v>5512</v>
      </c>
      <c r="AK73" s="17">
        <v>747.58064516129036</v>
      </c>
      <c r="AL73" s="17">
        <v>1199.0322580645161</v>
      </c>
      <c r="AM73" s="17">
        <v>139810</v>
      </c>
      <c r="AN73" s="17">
        <v>50412</v>
      </c>
      <c r="AO73" s="17">
        <v>3529</v>
      </c>
      <c r="AP73" s="17">
        <v>836.45161290322585</v>
      </c>
      <c r="AQ73" s="17">
        <v>1200</v>
      </c>
      <c r="AR73" s="17">
        <v>170977</v>
      </c>
      <c r="AS73" s="17">
        <v>40705</v>
      </c>
      <c r="AT73" s="17">
        <v>0</v>
      </c>
      <c r="AU73" s="17">
        <v>1103.5</v>
      </c>
      <c r="AV73" s="17">
        <v>1200</v>
      </c>
      <c r="AW73" s="17">
        <v>226368</v>
      </c>
      <c r="AX73" s="17">
        <v>57631</v>
      </c>
      <c r="AY73" s="17">
        <v>0</v>
      </c>
      <c r="AZ73" s="17">
        <v>1161.6129032258063</v>
      </c>
      <c r="BA73" s="17">
        <v>1195.8064516129032</v>
      </c>
      <c r="BB73" s="17">
        <v>241803</v>
      </c>
      <c r="BC73" s="17">
        <v>59680</v>
      </c>
      <c r="BD73" s="17">
        <v>0</v>
      </c>
      <c r="BE73" s="17">
        <v>1132.6666666666667</v>
      </c>
      <c r="BF73" s="17">
        <v>1179.3333333333333</v>
      </c>
      <c r="BG73" s="17">
        <v>304847</v>
      </c>
      <c r="BH73" s="17">
        <v>38063</v>
      </c>
      <c r="BI73" s="17">
        <v>0</v>
      </c>
      <c r="BJ73" s="17">
        <v>1089.3548387096773</v>
      </c>
      <c r="BK73" s="17">
        <v>1153.2258064516129</v>
      </c>
    </row>
    <row r="74" spans="1:63" x14ac:dyDescent="0.35">
      <c r="A74" s="18">
        <v>70</v>
      </c>
      <c r="B74" s="41" t="s">
        <v>238</v>
      </c>
      <c r="C74" s="19" t="s">
        <v>326</v>
      </c>
      <c r="D74" s="17">
        <v>104621</v>
      </c>
      <c r="E74" s="17">
        <v>1225</v>
      </c>
      <c r="F74" s="17">
        <v>1181</v>
      </c>
      <c r="G74" s="17">
        <v>656.29032258064512</v>
      </c>
      <c r="H74" s="17">
        <v>1065.8064516129032</v>
      </c>
      <c r="I74" s="17">
        <v>115776</v>
      </c>
      <c r="J74" s="17">
        <v>2714</v>
      </c>
      <c r="K74" s="17">
        <v>678</v>
      </c>
      <c r="L74" s="17">
        <v>669.46428571428567</v>
      </c>
      <c r="M74" s="17">
        <v>1407.1428571428571</v>
      </c>
      <c r="N74" s="17">
        <v>115679</v>
      </c>
      <c r="O74" s="17">
        <v>4494</v>
      </c>
      <c r="P74" s="17">
        <v>1255</v>
      </c>
      <c r="Q74" s="17">
        <v>695</v>
      </c>
      <c r="R74" s="17">
        <v>1593.5483870967741</v>
      </c>
      <c r="S74" s="17">
        <v>118523</v>
      </c>
      <c r="T74" s="17">
        <v>4060</v>
      </c>
      <c r="U74" s="17">
        <v>1890</v>
      </c>
      <c r="V74" s="17">
        <v>695</v>
      </c>
      <c r="W74" s="17">
        <v>1353.6666666666667</v>
      </c>
      <c r="X74" s="17">
        <v>130463</v>
      </c>
      <c r="Y74" s="17">
        <v>5361</v>
      </c>
      <c r="Z74" s="17">
        <v>2022</v>
      </c>
      <c r="AA74" s="17">
        <v>741.61290322580646</v>
      </c>
      <c r="AB74" s="17">
        <v>1197.4193548387098</v>
      </c>
      <c r="AC74" s="17">
        <v>110497</v>
      </c>
      <c r="AD74" s="17">
        <v>3397</v>
      </c>
      <c r="AE74" s="17">
        <v>1868</v>
      </c>
      <c r="AF74" s="17">
        <v>731.66666666666663</v>
      </c>
      <c r="AG74" s="17">
        <v>1182.3333333333333</v>
      </c>
      <c r="AH74" s="17">
        <v>107983</v>
      </c>
      <c r="AI74" s="17">
        <v>3371</v>
      </c>
      <c r="AJ74" s="17">
        <v>73</v>
      </c>
      <c r="AK74" s="17">
        <v>747.58064516129036</v>
      </c>
      <c r="AL74" s="17">
        <v>1199.0322580645161</v>
      </c>
      <c r="AM74" s="17">
        <v>107364</v>
      </c>
      <c r="AN74" s="17">
        <v>4845</v>
      </c>
      <c r="AO74" s="17">
        <v>0</v>
      </c>
      <c r="AP74" s="17">
        <v>836.45161290322585</v>
      </c>
      <c r="AQ74" s="17">
        <v>1200</v>
      </c>
      <c r="AR74" s="17">
        <v>128763</v>
      </c>
      <c r="AS74" s="17">
        <v>8907</v>
      </c>
      <c r="AT74" s="17">
        <v>0</v>
      </c>
      <c r="AU74" s="17">
        <v>1106.8333333333333</v>
      </c>
      <c r="AV74" s="17">
        <v>1200</v>
      </c>
      <c r="AW74" s="17">
        <v>131794</v>
      </c>
      <c r="AX74" s="17">
        <v>13751</v>
      </c>
      <c r="AY74" s="17">
        <v>15</v>
      </c>
      <c r="AZ74" s="17">
        <v>1161.6129032258063</v>
      </c>
      <c r="BA74" s="17">
        <v>1196.7741935483871</v>
      </c>
      <c r="BB74" s="17">
        <v>115593</v>
      </c>
      <c r="BC74" s="17">
        <v>20882</v>
      </c>
      <c r="BD74" s="17">
        <v>1229</v>
      </c>
      <c r="BE74" s="17">
        <v>1132.6666666666667</v>
      </c>
      <c r="BF74" s="17">
        <v>1179.3333333333333</v>
      </c>
      <c r="BG74" s="17">
        <v>107073</v>
      </c>
      <c r="BH74" s="17">
        <v>6716</v>
      </c>
      <c r="BI74" s="17">
        <v>733</v>
      </c>
      <c r="BJ74" s="17">
        <v>1090.6451612903227</v>
      </c>
      <c r="BK74" s="17">
        <v>1153.2258064516129</v>
      </c>
    </row>
    <row r="75" spans="1:63" x14ac:dyDescent="0.35">
      <c r="A75" s="18">
        <v>71</v>
      </c>
      <c r="B75" s="41" t="s">
        <v>237</v>
      </c>
      <c r="C75" s="19" t="s">
        <v>327</v>
      </c>
      <c r="D75" s="17">
        <v>153751</v>
      </c>
      <c r="E75" s="17">
        <v>8646</v>
      </c>
      <c r="F75" s="17">
        <v>0</v>
      </c>
      <c r="G75" s="17">
        <v>647.58064516129036</v>
      </c>
      <c r="H75" s="17">
        <v>1058.3870967741937</v>
      </c>
      <c r="I75" s="17">
        <v>142502</v>
      </c>
      <c r="J75" s="17">
        <v>9516</v>
      </c>
      <c r="K75" s="17">
        <v>0</v>
      </c>
      <c r="L75" s="17">
        <v>668.92857142857144</v>
      </c>
      <c r="M75" s="17">
        <v>1406.0714285714287</v>
      </c>
      <c r="N75" s="17">
        <v>131465</v>
      </c>
      <c r="O75" s="17">
        <v>9422</v>
      </c>
      <c r="P75" s="17">
        <v>0</v>
      </c>
      <c r="Q75" s="17">
        <v>694.0322580645161</v>
      </c>
      <c r="R75" s="17">
        <v>1587.0967741935483</v>
      </c>
      <c r="S75" s="17">
        <v>141345</v>
      </c>
      <c r="T75" s="17">
        <v>10587</v>
      </c>
      <c r="U75" s="17">
        <v>0</v>
      </c>
      <c r="V75" s="17">
        <v>681.33333333333337</v>
      </c>
      <c r="W75" s="17">
        <v>1353.6666666666667</v>
      </c>
      <c r="X75" s="17">
        <v>184700</v>
      </c>
      <c r="Y75" s="17">
        <v>9069</v>
      </c>
      <c r="Z75" s="17">
        <v>0</v>
      </c>
      <c r="AA75" s="17">
        <v>742.58064516129036</v>
      </c>
      <c r="AB75" s="17">
        <v>1197.4193548387098</v>
      </c>
      <c r="AC75" s="17">
        <v>178900</v>
      </c>
      <c r="AD75" s="17">
        <v>9001</v>
      </c>
      <c r="AE75" s="17">
        <v>0</v>
      </c>
      <c r="AF75" s="17">
        <v>735.33333333333337</v>
      </c>
      <c r="AG75" s="17">
        <v>1201.3333333333333</v>
      </c>
      <c r="AH75" s="17">
        <v>196743</v>
      </c>
      <c r="AI75" s="17">
        <v>7367</v>
      </c>
      <c r="AJ75" s="17">
        <v>0</v>
      </c>
      <c r="AK75" s="17">
        <v>750.80645161290317</v>
      </c>
      <c r="AL75" s="17">
        <v>1220</v>
      </c>
      <c r="AM75" s="17">
        <v>100306</v>
      </c>
      <c r="AN75" s="17">
        <v>10224</v>
      </c>
      <c r="AO75" s="17">
        <v>0</v>
      </c>
      <c r="AP75" s="17">
        <v>867.41935483870964</v>
      </c>
      <c r="AQ75" s="17">
        <v>1220</v>
      </c>
      <c r="AR75" s="17">
        <v>201888</v>
      </c>
      <c r="AS75" s="17">
        <v>25943</v>
      </c>
      <c r="AT75" s="17">
        <v>0</v>
      </c>
      <c r="AU75" s="17">
        <v>1108.1666666666667</v>
      </c>
      <c r="AV75" s="17">
        <v>1220</v>
      </c>
      <c r="AW75" s="17">
        <v>268942</v>
      </c>
      <c r="AX75" s="17">
        <v>28089</v>
      </c>
      <c r="AY75" s="17">
        <v>0</v>
      </c>
      <c r="AZ75" s="17">
        <v>1150.6451612903227</v>
      </c>
      <c r="BA75" s="17">
        <v>1211.2903225806451</v>
      </c>
      <c r="BB75" s="17">
        <v>264834</v>
      </c>
      <c r="BC75" s="17">
        <v>25964</v>
      </c>
      <c r="BD75" s="17">
        <v>0</v>
      </c>
      <c r="BE75" s="17">
        <v>1138.3333333333333</v>
      </c>
      <c r="BF75" s="17">
        <v>1179.3333333333333</v>
      </c>
      <c r="BG75" s="17">
        <v>257654</v>
      </c>
      <c r="BH75" s="17">
        <v>19113</v>
      </c>
      <c r="BI75" s="17">
        <v>0</v>
      </c>
      <c r="BJ75" s="17">
        <v>1081.6129032258063</v>
      </c>
      <c r="BK75" s="17">
        <v>1153.2258064516129</v>
      </c>
    </row>
    <row r="76" spans="1:63" x14ac:dyDescent="0.35">
      <c r="A76" s="18">
        <v>72</v>
      </c>
      <c r="B76" s="41" t="s">
        <v>246</v>
      </c>
      <c r="C76" s="19" t="s">
        <v>328</v>
      </c>
      <c r="D76" s="17">
        <v>175569</v>
      </c>
      <c r="E76" s="17">
        <v>14967</v>
      </c>
      <c r="F76" s="17">
        <v>0</v>
      </c>
      <c r="G76" s="17">
        <v>657.58064516129036</v>
      </c>
      <c r="H76" s="17">
        <v>1066.1290322580646</v>
      </c>
      <c r="I76" s="17">
        <v>185008</v>
      </c>
      <c r="J76" s="17">
        <v>8263</v>
      </c>
      <c r="K76" s="17">
        <v>0</v>
      </c>
      <c r="L76" s="17">
        <v>669.46428571428567</v>
      </c>
      <c r="M76" s="17">
        <v>1407.1428571428571</v>
      </c>
      <c r="N76" s="17">
        <v>212182</v>
      </c>
      <c r="O76" s="17">
        <v>8745</v>
      </c>
      <c r="P76" s="17">
        <v>0</v>
      </c>
      <c r="Q76" s="17">
        <v>695</v>
      </c>
      <c r="R76" s="17">
        <v>1590.3225806451612</v>
      </c>
      <c r="S76" s="17">
        <v>243068</v>
      </c>
      <c r="T76" s="17">
        <v>18031</v>
      </c>
      <c r="U76" s="17">
        <v>0</v>
      </c>
      <c r="V76" s="17">
        <v>695</v>
      </c>
      <c r="W76" s="17">
        <v>1353.6666666666667</v>
      </c>
      <c r="X76" s="17">
        <v>234337</v>
      </c>
      <c r="Y76" s="17">
        <v>20362</v>
      </c>
      <c r="Z76" s="17">
        <v>0</v>
      </c>
      <c r="AA76" s="17">
        <v>747.41935483870964</v>
      </c>
      <c r="AB76" s="17">
        <v>1197.4193548387098</v>
      </c>
      <c r="AC76" s="17">
        <v>186793</v>
      </c>
      <c r="AD76" s="17">
        <v>16695</v>
      </c>
      <c r="AE76" s="17">
        <v>0</v>
      </c>
      <c r="AF76" s="17">
        <v>739.66666666666663</v>
      </c>
      <c r="AG76" s="17">
        <v>1201.3333333333333</v>
      </c>
      <c r="AH76" s="17">
        <v>235163</v>
      </c>
      <c r="AI76" s="17">
        <v>19396</v>
      </c>
      <c r="AJ76" s="17">
        <v>0</v>
      </c>
      <c r="AK76" s="17">
        <v>749.35483870967744</v>
      </c>
      <c r="AL76" s="17">
        <v>1192.9032258064517</v>
      </c>
      <c r="AM76" s="17">
        <v>159747</v>
      </c>
      <c r="AN76" s="17">
        <v>16897</v>
      </c>
      <c r="AO76" s="17">
        <v>0</v>
      </c>
      <c r="AP76" s="17">
        <v>854.51612903225805</v>
      </c>
      <c r="AQ76" s="17">
        <v>1191.9354838709678</v>
      </c>
      <c r="AR76" s="17">
        <v>160041</v>
      </c>
      <c r="AS76" s="17">
        <v>18576</v>
      </c>
      <c r="AT76" s="17">
        <v>0</v>
      </c>
      <c r="AU76" s="17">
        <v>1107.1666666666667</v>
      </c>
      <c r="AV76" s="17">
        <v>1190</v>
      </c>
      <c r="AW76" s="17">
        <v>222464</v>
      </c>
      <c r="AX76" s="17">
        <v>23564</v>
      </c>
      <c r="AY76" s="17">
        <v>0</v>
      </c>
      <c r="AZ76" s="17">
        <v>1176.1290322580646</v>
      </c>
      <c r="BA76" s="17">
        <v>1190</v>
      </c>
      <c r="BB76" s="17">
        <v>225636</v>
      </c>
      <c r="BC76" s="17">
        <v>31214</v>
      </c>
      <c r="BD76" s="17">
        <v>0</v>
      </c>
      <c r="BE76" s="17">
        <v>1131.3333333333333</v>
      </c>
      <c r="BF76" s="17">
        <v>1179.3333333333333</v>
      </c>
      <c r="BG76" s="17">
        <v>223181</v>
      </c>
      <c r="BH76" s="17">
        <v>26939</v>
      </c>
      <c r="BI76" s="17">
        <v>0</v>
      </c>
      <c r="BJ76" s="17">
        <v>1075.483870967742</v>
      </c>
      <c r="BK76" s="17">
        <v>1154.516129032258</v>
      </c>
    </row>
    <row r="77" spans="1:63" x14ac:dyDescent="0.35">
      <c r="A77" s="18">
        <v>73</v>
      </c>
      <c r="B77" s="41" t="s">
        <v>235</v>
      </c>
      <c r="C77" s="19" t="s">
        <v>329</v>
      </c>
      <c r="D77" s="17">
        <v>300054</v>
      </c>
      <c r="E77" s="17">
        <v>28315</v>
      </c>
      <c r="F77" s="17">
        <v>0</v>
      </c>
      <c r="G77" s="17">
        <v>660</v>
      </c>
      <c r="H77" s="17">
        <v>1068.7096774193549</v>
      </c>
      <c r="I77" s="17">
        <v>355024</v>
      </c>
      <c r="J77" s="17">
        <v>28196</v>
      </c>
      <c r="K77" s="17">
        <v>0</v>
      </c>
      <c r="L77" s="17">
        <v>672.85714285714289</v>
      </c>
      <c r="M77" s="17">
        <v>1399.8214285714287</v>
      </c>
      <c r="N77" s="17">
        <v>405357</v>
      </c>
      <c r="O77" s="17">
        <v>31163</v>
      </c>
      <c r="P77" s="17">
        <v>0</v>
      </c>
      <c r="Q77" s="17">
        <v>680</v>
      </c>
      <c r="R77" s="17">
        <v>1592.741935483871</v>
      </c>
      <c r="S77" s="17">
        <v>553994</v>
      </c>
      <c r="T77" s="17">
        <v>30404</v>
      </c>
      <c r="U77" s="17">
        <v>0</v>
      </c>
      <c r="V77" s="17">
        <v>683.33333333333337</v>
      </c>
      <c r="W77" s="17">
        <v>1389</v>
      </c>
      <c r="X77" s="17">
        <v>464993</v>
      </c>
      <c r="Y77" s="17">
        <v>25983</v>
      </c>
      <c r="Z77" s="17">
        <v>0</v>
      </c>
      <c r="AA77" s="17">
        <v>692.09677419354841</v>
      </c>
      <c r="AB77" s="17">
        <v>1221.6129032258063</v>
      </c>
      <c r="AC77" s="17">
        <v>397197</v>
      </c>
      <c r="AD77" s="17">
        <v>27850</v>
      </c>
      <c r="AE77" s="17">
        <v>0</v>
      </c>
      <c r="AF77" s="17">
        <v>683.66666666666663</v>
      </c>
      <c r="AG77" s="17">
        <v>1201.3333333333333</v>
      </c>
      <c r="AH77" s="17">
        <v>429838</v>
      </c>
      <c r="AI77" s="17">
        <v>20522</v>
      </c>
      <c r="AJ77" s="17">
        <v>0</v>
      </c>
      <c r="AK77" s="17">
        <v>695.09677419354841</v>
      </c>
      <c r="AL77" s="17">
        <v>1220</v>
      </c>
      <c r="AM77" s="17">
        <v>463726</v>
      </c>
      <c r="AN77" s="17">
        <v>16009</v>
      </c>
      <c r="AO77" s="17">
        <v>0</v>
      </c>
      <c r="AP77" s="17">
        <v>703.74193548387098</v>
      </c>
      <c r="AQ77" s="17">
        <v>1220</v>
      </c>
      <c r="AR77" s="17">
        <v>442939</v>
      </c>
      <c r="AS77" s="17">
        <v>17519</v>
      </c>
      <c r="AT77" s="17">
        <v>0</v>
      </c>
      <c r="AU77" s="17">
        <v>981</v>
      </c>
      <c r="AV77" s="17">
        <v>1220</v>
      </c>
      <c r="AW77" s="17">
        <v>201411</v>
      </c>
      <c r="AX77" s="17">
        <v>16825</v>
      </c>
      <c r="AY77" s="17">
        <v>0</v>
      </c>
      <c r="AZ77" s="17">
        <v>1090.6451612903227</v>
      </c>
      <c r="BA77" s="17">
        <v>1220</v>
      </c>
      <c r="BB77" s="17">
        <v>223058</v>
      </c>
      <c r="BC77" s="17">
        <v>19996</v>
      </c>
      <c r="BD77" s="17">
        <v>0</v>
      </c>
      <c r="BE77" s="17">
        <v>1131.8333333333333</v>
      </c>
      <c r="BF77" s="17">
        <v>1195</v>
      </c>
      <c r="BG77" s="17">
        <v>204029</v>
      </c>
      <c r="BH77" s="17">
        <v>13975</v>
      </c>
      <c r="BI77" s="17">
        <v>0</v>
      </c>
      <c r="BJ77" s="17">
        <v>1086.7741935483871</v>
      </c>
      <c r="BK77" s="17">
        <v>1190</v>
      </c>
    </row>
    <row r="78" spans="1:63" x14ac:dyDescent="0.35">
      <c r="A78" s="18">
        <v>74</v>
      </c>
      <c r="B78" s="41" t="s">
        <v>241</v>
      </c>
      <c r="C78" s="19" t="s">
        <v>94</v>
      </c>
      <c r="D78" s="17">
        <v>109875</v>
      </c>
      <c r="E78" s="17">
        <v>6206</v>
      </c>
      <c r="F78" s="17">
        <v>0</v>
      </c>
      <c r="G78" s="17">
        <v>670</v>
      </c>
      <c r="H78" s="17">
        <v>1078.0645161290322</v>
      </c>
      <c r="I78" s="17">
        <v>121340</v>
      </c>
      <c r="J78" s="17">
        <v>7681</v>
      </c>
      <c r="K78" s="17">
        <v>0</v>
      </c>
      <c r="L78" s="17">
        <v>679.10714285714289</v>
      </c>
      <c r="M78" s="17">
        <v>1405.7142857142858</v>
      </c>
      <c r="N78" s="17">
        <v>137020</v>
      </c>
      <c r="O78" s="17">
        <v>2492</v>
      </c>
      <c r="P78" s="17">
        <v>0</v>
      </c>
      <c r="Q78" s="17">
        <v>690</v>
      </c>
      <c r="R78" s="17">
        <v>1611.2903225806451</v>
      </c>
      <c r="S78" s="17">
        <v>147010</v>
      </c>
      <c r="T78" s="17">
        <v>4826</v>
      </c>
      <c r="U78" s="17">
        <v>0</v>
      </c>
      <c r="V78" s="17">
        <v>696</v>
      </c>
      <c r="W78" s="17">
        <v>1405.6666666666667</v>
      </c>
      <c r="X78" s="17">
        <v>127615</v>
      </c>
      <c r="Y78" s="17">
        <v>9495</v>
      </c>
      <c r="Z78" s="17">
        <v>0</v>
      </c>
      <c r="AA78" s="17">
        <v>804.35483870967744</v>
      </c>
      <c r="AB78" s="17">
        <v>1245.1612903225807</v>
      </c>
      <c r="AC78" s="17">
        <v>119725</v>
      </c>
      <c r="AD78" s="17">
        <v>5339</v>
      </c>
      <c r="AE78" s="17">
        <v>0</v>
      </c>
      <c r="AF78" s="17">
        <v>715.66666666666663</v>
      </c>
      <c r="AG78" s="17">
        <v>1227.3333333333333</v>
      </c>
      <c r="AH78" s="17">
        <v>145718</v>
      </c>
      <c r="AI78" s="17">
        <v>4075</v>
      </c>
      <c r="AJ78" s="17">
        <v>0</v>
      </c>
      <c r="AK78" s="17">
        <v>757.90322580645159</v>
      </c>
      <c r="AL78" s="17">
        <v>1240</v>
      </c>
      <c r="AM78" s="17">
        <v>116452</v>
      </c>
      <c r="AN78" s="17">
        <v>2715</v>
      </c>
      <c r="AO78" s="17">
        <v>0</v>
      </c>
      <c r="AP78" s="17">
        <v>860.9677419354839</v>
      </c>
      <c r="AQ78" s="17">
        <v>1240</v>
      </c>
      <c r="AR78" s="17">
        <v>103556</v>
      </c>
      <c r="AS78" s="17">
        <v>3513</v>
      </c>
      <c r="AT78" s="17">
        <v>0</v>
      </c>
      <c r="AU78" s="17">
        <v>1086.6666666666667</v>
      </c>
      <c r="AV78" s="17">
        <v>1240</v>
      </c>
      <c r="AW78" s="17">
        <v>83054</v>
      </c>
      <c r="AX78" s="17">
        <v>3962</v>
      </c>
      <c r="AY78" s="17">
        <v>0</v>
      </c>
      <c r="AZ78" s="17">
        <v>1180.9677419354839</v>
      </c>
      <c r="BA78" s="17">
        <v>1237.0967741935483</v>
      </c>
      <c r="BB78" s="17">
        <v>68096</v>
      </c>
      <c r="BC78" s="17">
        <v>7548</v>
      </c>
      <c r="BD78" s="17">
        <v>0</v>
      </c>
      <c r="BE78" s="17">
        <v>1143</v>
      </c>
      <c r="BF78" s="17">
        <v>1208.6666666666667</v>
      </c>
      <c r="BG78" s="17">
        <v>45356</v>
      </c>
      <c r="BH78" s="17">
        <v>10398</v>
      </c>
      <c r="BI78" s="17">
        <v>0</v>
      </c>
      <c r="BJ78" s="17">
        <v>1087.4193548387098</v>
      </c>
      <c r="BK78" s="17">
        <v>1190</v>
      </c>
    </row>
    <row r="79" spans="1:63" x14ac:dyDescent="0.35">
      <c r="A79" s="18">
        <v>75</v>
      </c>
      <c r="B79" s="41" t="s">
        <v>241</v>
      </c>
      <c r="C79" s="19" t="s">
        <v>330</v>
      </c>
      <c r="D79" s="17">
        <v>103121</v>
      </c>
      <c r="E79" s="17">
        <v>12553</v>
      </c>
      <c r="F79" s="17">
        <v>0</v>
      </c>
      <c r="G79" s="17">
        <v>670</v>
      </c>
      <c r="H79" s="17">
        <v>1078.0645161290322</v>
      </c>
      <c r="I79" s="17">
        <v>120272</v>
      </c>
      <c r="J79" s="17">
        <v>10329</v>
      </c>
      <c r="K79" s="17">
        <v>0</v>
      </c>
      <c r="L79" s="17">
        <v>678.57142857142856</v>
      </c>
      <c r="M79" s="17">
        <v>1405.7142857142858</v>
      </c>
      <c r="N79" s="17">
        <v>131960</v>
      </c>
      <c r="O79" s="17">
        <v>11824</v>
      </c>
      <c r="P79" s="17">
        <v>0</v>
      </c>
      <c r="Q79" s="17">
        <v>690</v>
      </c>
      <c r="R79" s="17">
        <v>1611.2903225806451</v>
      </c>
      <c r="S79" s="17">
        <v>193603</v>
      </c>
      <c r="T79" s="17">
        <v>12602</v>
      </c>
      <c r="U79" s="17">
        <v>0</v>
      </c>
      <c r="V79" s="17">
        <v>696</v>
      </c>
      <c r="W79" s="17">
        <v>1405.6666666666667</v>
      </c>
      <c r="X79" s="17">
        <v>112411</v>
      </c>
      <c r="Y79" s="17">
        <v>10686</v>
      </c>
      <c r="Z79" s="17">
        <v>0</v>
      </c>
      <c r="AA79" s="17">
        <v>803.87096774193549</v>
      </c>
      <c r="AB79" s="17">
        <v>1245.1612903225807</v>
      </c>
      <c r="AC79" s="17">
        <v>112957</v>
      </c>
      <c r="AD79" s="17">
        <v>10037</v>
      </c>
      <c r="AE79" s="17">
        <v>0</v>
      </c>
      <c r="AF79" s="17">
        <v>715.66666666666663</v>
      </c>
      <c r="AG79" s="17">
        <v>1227.3333333333333</v>
      </c>
      <c r="AH79" s="17">
        <v>215472</v>
      </c>
      <c r="AI79" s="17">
        <v>7668</v>
      </c>
      <c r="AJ79" s="17">
        <v>0</v>
      </c>
      <c r="AK79" s="17">
        <v>757.90322580645159</v>
      </c>
      <c r="AL79" s="17">
        <v>1240</v>
      </c>
      <c r="AM79" s="17">
        <v>70266</v>
      </c>
      <c r="AN79" s="17">
        <v>5673</v>
      </c>
      <c r="AO79" s="17">
        <v>0</v>
      </c>
      <c r="AP79" s="17">
        <v>860.9677419354839</v>
      </c>
      <c r="AQ79" s="17">
        <v>1240</v>
      </c>
      <c r="AR79" s="17">
        <v>78664</v>
      </c>
      <c r="AS79" s="17">
        <v>7068</v>
      </c>
      <c r="AT79" s="17">
        <v>0</v>
      </c>
      <c r="AU79" s="17">
        <v>1086.6666666666667</v>
      </c>
      <c r="AV79" s="17">
        <v>1240</v>
      </c>
      <c r="AW79" s="17">
        <v>80288</v>
      </c>
      <c r="AX79" s="17">
        <v>14480</v>
      </c>
      <c r="AY79" s="17">
        <v>0</v>
      </c>
      <c r="AZ79" s="17">
        <v>1180.9677419354839</v>
      </c>
      <c r="BA79" s="17">
        <v>1237.0967741935483</v>
      </c>
      <c r="BB79" s="17">
        <v>85369</v>
      </c>
      <c r="BC79" s="17">
        <v>15540</v>
      </c>
      <c r="BD79" s="17">
        <v>0</v>
      </c>
      <c r="BE79" s="17">
        <v>1143</v>
      </c>
      <c r="BF79" s="17">
        <v>1208.6666666666667</v>
      </c>
      <c r="BG79" s="17">
        <v>112725</v>
      </c>
      <c r="BH79" s="17">
        <v>10546</v>
      </c>
      <c r="BI79" s="17">
        <v>0</v>
      </c>
      <c r="BJ79" s="17">
        <v>1087.4193548387098</v>
      </c>
      <c r="BK79" s="17">
        <v>1190</v>
      </c>
    </row>
    <row r="80" spans="1:63" x14ac:dyDescent="0.35">
      <c r="A80" s="18">
        <v>76</v>
      </c>
      <c r="B80" s="41" t="s">
        <v>241</v>
      </c>
      <c r="C80" s="19" t="s">
        <v>331</v>
      </c>
      <c r="D80" s="17">
        <v>108712</v>
      </c>
      <c r="E80" s="17">
        <v>2060</v>
      </c>
      <c r="F80" s="17">
        <v>0</v>
      </c>
      <c r="G80" s="17">
        <v>670</v>
      </c>
      <c r="H80" s="17">
        <v>1074.1935483870968</v>
      </c>
      <c r="I80" s="17">
        <v>124548</v>
      </c>
      <c r="J80" s="17">
        <v>4516</v>
      </c>
      <c r="K80" s="17">
        <v>0</v>
      </c>
      <c r="L80" s="17">
        <v>679.10714285714289</v>
      </c>
      <c r="M80" s="17">
        <v>1405.7142857142858</v>
      </c>
      <c r="N80" s="17">
        <v>100421</v>
      </c>
      <c r="O80" s="17">
        <v>4836</v>
      </c>
      <c r="P80" s="17">
        <v>0</v>
      </c>
      <c r="Q80" s="17">
        <v>690</v>
      </c>
      <c r="R80" s="17">
        <v>1611.2903225806451</v>
      </c>
      <c r="S80" s="17">
        <v>120230</v>
      </c>
      <c r="T80" s="17">
        <v>4477</v>
      </c>
      <c r="U80" s="17">
        <v>0</v>
      </c>
      <c r="V80" s="17">
        <v>696.66666666666663</v>
      </c>
      <c r="W80" s="17">
        <v>1404.6666666666667</v>
      </c>
      <c r="X80" s="17">
        <v>95000</v>
      </c>
      <c r="Y80" s="17">
        <v>9165</v>
      </c>
      <c r="Z80" s="17">
        <v>0</v>
      </c>
      <c r="AA80" s="17">
        <v>806.45161290322585</v>
      </c>
      <c r="AB80" s="17">
        <v>1245.1612903225807</v>
      </c>
      <c r="AC80" s="17">
        <v>77266</v>
      </c>
      <c r="AD80" s="17">
        <v>4896</v>
      </c>
      <c r="AE80" s="17">
        <v>0</v>
      </c>
      <c r="AF80" s="17">
        <v>720.66666666666663</v>
      </c>
      <c r="AG80" s="17">
        <v>1227.6666666666667</v>
      </c>
      <c r="AH80" s="17">
        <v>135578</v>
      </c>
      <c r="AI80" s="17">
        <v>3400</v>
      </c>
      <c r="AJ80" s="17">
        <v>0</v>
      </c>
      <c r="AK80" s="17">
        <v>762.90322580645159</v>
      </c>
      <c r="AL80" s="17">
        <v>1240</v>
      </c>
      <c r="AM80" s="17">
        <v>83229</v>
      </c>
      <c r="AN80" s="17">
        <v>172</v>
      </c>
      <c r="AO80" s="17">
        <v>0</v>
      </c>
      <c r="AP80" s="17">
        <v>870.32258064516134</v>
      </c>
      <c r="AQ80" s="17">
        <v>1240</v>
      </c>
      <c r="AR80" s="17">
        <v>62365</v>
      </c>
      <c r="AS80" s="17">
        <v>239</v>
      </c>
      <c r="AT80" s="17">
        <v>0</v>
      </c>
      <c r="AU80" s="17">
        <v>1087</v>
      </c>
      <c r="AV80" s="17">
        <v>1240</v>
      </c>
      <c r="AW80" s="17">
        <v>51687</v>
      </c>
      <c r="AX80" s="17">
        <v>1923</v>
      </c>
      <c r="AY80" s="17">
        <v>0</v>
      </c>
      <c r="AZ80" s="17">
        <v>1181.258064516129</v>
      </c>
      <c r="BA80" s="17">
        <v>1237.0967741935483</v>
      </c>
      <c r="BB80" s="17">
        <v>31752</v>
      </c>
      <c r="BC80" s="17">
        <v>6145</v>
      </c>
      <c r="BD80" s="17">
        <v>0</v>
      </c>
      <c r="BE80" s="17">
        <v>1147.6666666666667</v>
      </c>
      <c r="BF80" s="17">
        <v>1208.6666666666667</v>
      </c>
      <c r="BG80" s="17">
        <v>35061</v>
      </c>
      <c r="BH80" s="17">
        <v>8494</v>
      </c>
      <c r="BI80" s="17">
        <v>0</v>
      </c>
      <c r="BJ80" s="17">
        <v>1087.4193548387098</v>
      </c>
      <c r="BK80" s="17">
        <v>1190</v>
      </c>
    </row>
    <row r="81" spans="1:63" x14ac:dyDescent="0.35">
      <c r="A81" s="18">
        <v>77</v>
      </c>
      <c r="B81" s="41" t="s">
        <v>241</v>
      </c>
      <c r="C81" s="19" t="s">
        <v>332</v>
      </c>
      <c r="D81" s="17">
        <v>112050</v>
      </c>
      <c r="E81" s="17">
        <v>7317</v>
      </c>
      <c r="F81" s="17">
        <v>0</v>
      </c>
      <c r="G81" s="17">
        <v>670</v>
      </c>
      <c r="H81" s="17">
        <v>1078.0645161290322</v>
      </c>
      <c r="I81" s="17">
        <v>162415</v>
      </c>
      <c r="J81" s="17">
        <v>8848</v>
      </c>
      <c r="K81" s="17">
        <v>0</v>
      </c>
      <c r="L81" s="17">
        <v>679.10714285714289</v>
      </c>
      <c r="M81" s="17">
        <v>1405.7142857142858</v>
      </c>
      <c r="N81" s="17">
        <v>119292</v>
      </c>
      <c r="O81" s="17">
        <v>11929</v>
      </c>
      <c r="P81" s="17">
        <v>0</v>
      </c>
      <c r="Q81" s="17">
        <v>690</v>
      </c>
      <c r="R81" s="17">
        <v>1611.2903225806451</v>
      </c>
      <c r="S81" s="17">
        <v>159382</v>
      </c>
      <c r="T81" s="17">
        <v>9694</v>
      </c>
      <c r="U81" s="17">
        <v>0</v>
      </c>
      <c r="V81" s="17">
        <v>696.66666666666663</v>
      </c>
      <c r="W81" s="17">
        <v>1405.6666666666667</v>
      </c>
      <c r="X81" s="17">
        <v>91109</v>
      </c>
      <c r="Y81" s="17">
        <v>9798</v>
      </c>
      <c r="Z81" s="17">
        <v>0</v>
      </c>
      <c r="AA81" s="17">
        <v>806.45161290322585</v>
      </c>
      <c r="AB81" s="17">
        <v>1245.1612903225807</v>
      </c>
      <c r="AC81" s="17">
        <v>107360</v>
      </c>
      <c r="AD81" s="17">
        <v>6739</v>
      </c>
      <c r="AE81" s="17">
        <v>0</v>
      </c>
      <c r="AF81" s="17">
        <v>720.66666666666663</v>
      </c>
      <c r="AG81" s="17">
        <v>1227.3333333333333</v>
      </c>
      <c r="AH81" s="17">
        <v>171176</v>
      </c>
      <c r="AI81" s="17">
        <v>6079</v>
      </c>
      <c r="AJ81" s="17">
        <v>0</v>
      </c>
      <c r="AK81" s="17">
        <v>762.90322580645159</v>
      </c>
      <c r="AL81" s="17">
        <v>1240</v>
      </c>
      <c r="AM81" s="17">
        <v>81470</v>
      </c>
      <c r="AN81" s="17">
        <v>3311</v>
      </c>
      <c r="AO81" s="17">
        <v>0</v>
      </c>
      <c r="AP81" s="17">
        <v>870.32258064516134</v>
      </c>
      <c r="AQ81" s="17">
        <v>1240</v>
      </c>
      <c r="AR81" s="17">
        <v>80887</v>
      </c>
      <c r="AS81" s="17">
        <v>1063</v>
      </c>
      <c r="AT81" s="17">
        <v>0</v>
      </c>
      <c r="AU81" s="17">
        <v>1087</v>
      </c>
      <c r="AV81" s="17">
        <v>1240</v>
      </c>
      <c r="AW81" s="17">
        <v>79397</v>
      </c>
      <c r="AX81" s="17">
        <v>10241</v>
      </c>
      <c r="AY81" s="17">
        <v>0</v>
      </c>
      <c r="AZ81" s="17">
        <v>1180.9677419354839</v>
      </c>
      <c r="BA81" s="17">
        <v>1237.0967741935483</v>
      </c>
      <c r="BB81" s="17">
        <v>55193</v>
      </c>
      <c r="BC81" s="17">
        <v>7953</v>
      </c>
      <c r="BD81" s="17">
        <v>0</v>
      </c>
      <c r="BE81" s="17">
        <v>1147.6666666666667</v>
      </c>
      <c r="BF81" s="17">
        <v>1208.6666666666667</v>
      </c>
      <c r="BG81" s="17">
        <v>63828</v>
      </c>
      <c r="BH81" s="17">
        <v>5778</v>
      </c>
      <c r="BI81" s="17">
        <v>0</v>
      </c>
      <c r="BJ81" s="17">
        <v>1087.4193548387098</v>
      </c>
      <c r="BK81" s="17">
        <v>1190</v>
      </c>
    </row>
    <row r="82" spans="1:63" x14ac:dyDescent="0.35">
      <c r="A82" s="18">
        <v>78</v>
      </c>
      <c r="B82" s="41" t="s">
        <v>235</v>
      </c>
      <c r="C82" s="19" t="s">
        <v>333</v>
      </c>
      <c r="D82" s="17">
        <v>226986</v>
      </c>
      <c r="E82" s="17">
        <v>7151</v>
      </c>
      <c r="F82" s="17">
        <v>0</v>
      </c>
      <c r="G82" s="17">
        <v>660</v>
      </c>
      <c r="H82" s="17">
        <v>1075.483870967742</v>
      </c>
      <c r="I82" s="17">
        <v>298634</v>
      </c>
      <c r="J82" s="17">
        <v>7514</v>
      </c>
      <c r="K82" s="17">
        <v>0</v>
      </c>
      <c r="L82" s="17">
        <v>672.85714285714289</v>
      </c>
      <c r="M82" s="17">
        <v>1399.8214285714287</v>
      </c>
      <c r="N82" s="17">
        <v>250807</v>
      </c>
      <c r="O82" s="17">
        <v>8939</v>
      </c>
      <c r="P82" s="17">
        <v>0</v>
      </c>
      <c r="Q82" s="17">
        <v>680</v>
      </c>
      <c r="R82" s="17">
        <v>1594.3548387096773</v>
      </c>
      <c r="S82" s="17">
        <v>329997</v>
      </c>
      <c r="T82" s="17">
        <v>5094</v>
      </c>
      <c r="U82" s="17">
        <v>0</v>
      </c>
      <c r="V82" s="17">
        <v>682.5</v>
      </c>
      <c r="W82" s="17">
        <v>1389</v>
      </c>
      <c r="X82" s="17">
        <v>293955</v>
      </c>
      <c r="Y82" s="17">
        <v>5713</v>
      </c>
      <c r="Z82" s="17">
        <v>0</v>
      </c>
      <c r="AA82" s="17">
        <v>724.0322580645161</v>
      </c>
      <c r="AB82" s="17">
        <v>1231.2903225806451</v>
      </c>
      <c r="AC82" s="17">
        <v>342244</v>
      </c>
      <c r="AD82" s="17">
        <v>4972</v>
      </c>
      <c r="AE82" s="17">
        <v>0</v>
      </c>
      <c r="AF82" s="17">
        <v>685.66666666666663</v>
      </c>
      <c r="AG82" s="17">
        <v>1210.3333333333333</v>
      </c>
      <c r="AH82" s="17">
        <v>357614</v>
      </c>
      <c r="AI82" s="17">
        <v>4263</v>
      </c>
      <c r="AJ82" s="17">
        <v>0</v>
      </c>
      <c r="AK82" s="17">
        <v>708.22580645161293</v>
      </c>
      <c r="AL82" s="17">
        <v>1220</v>
      </c>
      <c r="AM82" s="17">
        <v>232780</v>
      </c>
      <c r="AN82" s="17">
        <v>3931</v>
      </c>
      <c r="AO82" s="17">
        <v>0</v>
      </c>
      <c r="AP82" s="17">
        <v>732.90322580645159</v>
      </c>
      <c r="AQ82" s="17">
        <v>1220</v>
      </c>
      <c r="AR82" s="17">
        <v>181567</v>
      </c>
      <c r="AS82" s="17">
        <v>3568</v>
      </c>
      <c r="AT82" s="17">
        <v>0</v>
      </c>
      <c r="AU82" s="17">
        <v>1013.6666666666666</v>
      </c>
      <c r="AV82" s="17">
        <v>1220</v>
      </c>
      <c r="AW82" s="17">
        <v>294950</v>
      </c>
      <c r="AX82" s="17">
        <v>3147</v>
      </c>
      <c r="AY82" s="17">
        <v>0</v>
      </c>
      <c r="AZ82" s="17">
        <v>1111.2903225806451</v>
      </c>
      <c r="BA82" s="17">
        <v>1220</v>
      </c>
      <c r="BB82" s="17">
        <v>222771</v>
      </c>
      <c r="BC82" s="17">
        <v>2901</v>
      </c>
      <c r="BD82" s="17">
        <v>0</v>
      </c>
      <c r="BE82" s="17">
        <v>1132.8333333333333</v>
      </c>
      <c r="BF82" s="17">
        <v>1195</v>
      </c>
      <c r="BG82" s="17">
        <v>158496</v>
      </c>
      <c r="BH82" s="17">
        <v>2429</v>
      </c>
      <c r="BI82" s="17">
        <v>0</v>
      </c>
      <c r="BJ82" s="17">
        <v>1086.7741935483871</v>
      </c>
      <c r="BK82" s="17">
        <v>1190</v>
      </c>
    </row>
    <row r="83" spans="1:63" x14ac:dyDescent="0.35">
      <c r="A83" s="18">
        <v>79</v>
      </c>
      <c r="B83" s="41" t="s">
        <v>241</v>
      </c>
      <c r="C83" s="19" t="s">
        <v>334</v>
      </c>
      <c r="D83" s="17">
        <v>115002</v>
      </c>
      <c r="E83" s="17">
        <v>12644</v>
      </c>
      <c r="F83" s="17">
        <v>0</v>
      </c>
      <c r="G83" s="17">
        <v>670</v>
      </c>
      <c r="H83" s="17">
        <v>1078.0645161290322</v>
      </c>
      <c r="I83" s="17">
        <v>110078</v>
      </c>
      <c r="J83" s="17">
        <v>7906</v>
      </c>
      <c r="K83" s="17">
        <v>0</v>
      </c>
      <c r="L83" s="17">
        <v>679.10714285714289</v>
      </c>
      <c r="M83" s="17">
        <v>1405.7142857142858</v>
      </c>
      <c r="N83" s="17">
        <v>103310</v>
      </c>
      <c r="O83" s="17">
        <v>4305</v>
      </c>
      <c r="P83" s="17">
        <v>0</v>
      </c>
      <c r="Q83" s="17">
        <v>690</v>
      </c>
      <c r="R83" s="17">
        <v>1611.2903225806451</v>
      </c>
      <c r="S83" s="17">
        <v>147872</v>
      </c>
      <c r="T83" s="17">
        <v>6967</v>
      </c>
      <c r="U83" s="17">
        <v>0</v>
      </c>
      <c r="V83" s="17">
        <v>696</v>
      </c>
      <c r="W83" s="17">
        <v>1405.6666666666667</v>
      </c>
      <c r="X83" s="17">
        <v>106262</v>
      </c>
      <c r="Y83" s="17">
        <v>7381</v>
      </c>
      <c r="Z83" s="17">
        <v>0</v>
      </c>
      <c r="AA83" s="17">
        <v>803.87096774193549</v>
      </c>
      <c r="AB83" s="17">
        <v>1245.1612903225807</v>
      </c>
      <c r="AC83" s="17">
        <v>132096</v>
      </c>
      <c r="AD83" s="17">
        <v>9835</v>
      </c>
      <c r="AE83" s="17">
        <v>26</v>
      </c>
      <c r="AF83" s="17">
        <v>715.66666666666663</v>
      </c>
      <c r="AG83" s="17">
        <v>1227.3333333333333</v>
      </c>
      <c r="AH83" s="17">
        <v>159067</v>
      </c>
      <c r="AI83" s="17">
        <v>5981</v>
      </c>
      <c r="AJ83" s="17">
        <v>0</v>
      </c>
      <c r="AK83" s="17">
        <v>757.90322580645159</v>
      </c>
      <c r="AL83" s="17">
        <v>1240</v>
      </c>
      <c r="AM83" s="17">
        <v>75837</v>
      </c>
      <c r="AN83" s="17">
        <v>1989</v>
      </c>
      <c r="AO83" s="17">
        <v>0</v>
      </c>
      <c r="AP83" s="17">
        <v>860.9677419354839</v>
      </c>
      <c r="AQ83" s="17">
        <v>1240</v>
      </c>
      <c r="AR83" s="17">
        <v>104622</v>
      </c>
      <c r="AS83" s="17">
        <v>5803</v>
      </c>
      <c r="AT83" s="17">
        <v>80</v>
      </c>
      <c r="AU83" s="17">
        <v>1086.6666666666667</v>
      </c>
      <c r="AV83" s="17">
        <v>1240</v>
      </c>
      <c r="AW83" s="17">
        <v>126746</v>
      </c>
      <c r="AX83" s="17">
        <v>12819</v>
      </c>
      <c r="AY83" s="17">
        <v>0</v>
      </c>
      <c r="AZ83" s="17">
        <v>1180.9677419354839</v>
      </c>
      <c r="BA83" s="17">
        <v>1235.8064516129032</v>
      </c>
      <c r="BB83" s="17">
        <v>139935</v>
      </c>
      <c r="BC83" s="17">
        <v>19853</v>
      </c>
      <c r="BD83" s="17">
        <v>0</v>
      </c>
      <c r="BE83" s="17">
        <v>1143</v>
      </c>
      <c r="BF83" s="17">
        <v>1208.6666666666667</v>
      </c>
      <c r="BG83" s="17">
        <v>152646</v>
      </c>
      <c r="BH83" s="17">
        <v>12398</v>
      </c>
      <c r="BI83" s="17">
        <v>29</v>
      </c>
      <c r="BJ83" s="17">
        <v>1087.4193548387098</v>
      </c>
      <c r="BK83" s="17">
        <v>1190</v>
      </c>
    </row>
    <row r="84" spans="1:63" x14ac:dyDescent="0.35">
      <c r="A84" s="18">
        <v>80</v>
      </c>
      <c r="B84" s="41" t="s">
        <v>243</v>
      </c>
      <c r="C84" s="19" t="s">
        <v>335</v>
      </c>
      <c r="D84" s="17">
        <v>291527</v>
      </c>
      <c r="E84" s="17">
        <v>11818</v>
      </c>
      <c r="F84" s="17">
        <v>0</v>
      </c>
      <c r="G84" s="17">
        <v>652.74193548387098</v>
      </c>
      <c r="H84" s="17">
        <v>1066.7741935483871</v>
      </c>
      <c r="I84" s="17">
        <v>272776</v>
      </c>
      <c r="J84" s="17">
        <v>11326</v>
      </c>
      <c r="K84" s="17">
        <v>0</v>
      </c>
      <c r="L84" s="17">
        <v>668.75</v>
      </c>
      <c r="M84" s="17">
        <v>1372.5</v>
      </c>
      <c r="N84" s="17">
        <v>318588</v>
      </c>
      <c r="O84" s="17">
        <v>10713</v>
      </c>
      <c r="P84" s="17">
        <v>0</v>
      </c>
      <c r="Q84" s="17">
        <v>695</v>
      </c>
      <c r="R84" s="17">
        <v>1596.7741935483871</v>
      </c>
      <c r="S84" s="17">
        <v>342188</v>
      </c>
      <c r="T84" s="17">
        <v>12685</v>
      </c>
      <c r="U84" s="17">
        <v>0</v>
      </c>
      <c r="V84" s="17">
        <v>695</v>
      </c>
      <c r="W84" s="17">
        <v>1353.6666666666667</v>
      </c>
      <c r="X84" s="17">
        <v>284542</v>
      </c>
      <c r="Y84" s="17">
        <v>20625</v>
      </c>
      <c r="Z84" s="17">
        <v>0</v>
      </c>
      <c r="AA84" s="17">
        <v>755.16129032258061</v>
      </c>
      <c r="AB84" s="17">
        <v>1197.4193548387098</v>
      </c>
      <c r="AC84" s="17">
        <v>250985</v>
      </c>
      <c r="AD84" s="17">
        <v>23488</v>
      </c>
      <c r="AE84" s="17">
        <v>0</v>
      </c>
      <c r="AF84" s="17">
        <v>736</v>
      </c>
      <c r="AG84" s="17">
        <v>1201.3333333333333</v>
      </c>
      <c r="AH84" s="17">
        <v>207442</v>
      </c>
      <c r="AI84" s="17">
        <v>10970</v>
      </c>
      <c r="AJ84" s="17">
        <v>0</v>
      </c>
      <c r="AK84" s="17">
        <v>766.93548387096769</v>
      </c>
      <c r="AL84" s="17">
        <v>1220</v>
      </c>
      <c r="AM84" s="17">
        <v>179645</v>
      </c>
      <c r="AN84" s="17">
        <v>6820</v>
      </c>
      <c r="AO84" s="17">
        <v>0</v>
      </c>
      <c r="AP84" s="17">
        <v>867.09677419354841</v>
      </c>
      <c r="AQ84" s="17">
        <v>1220</v>
      </c>
      <c r="AR84" s="17">
        <v>207779</v>
      </c>
      <c r="AS84" s="17">
        <v>8719</v>
      </c>
      <c r="AT84" s="17">
        <v>0</v>
      </c>
      <c r="AU84" s="17">
        <v>1106.5</v>
      </c>
      <c r="AV84" s="17">
        <v>1220</v>
      </c>
      <c r="AW84" s="17">
        <v>211691</v>
      </c>
      <c r="AX84" s="17">
        <v>11396</v>
      </c>
      <c r="AY84" s="17">
        <v>0</v>
      </c>
      <c r="AZ84" s="17">
        <v>1162.258064516129</v>
      </c>
      <c r="BA84" s="17">
        <v>1198.7096774193549</v>
      </c>
      <c r="BB84" s="17">
        <v>191578</v>
      </c>
      <c r="BC84" s="17">
        <v>18502</v>
      </c>
      <c r="BD84" s="17">
        <v>0</v>
      </c>
      <c r="BE84" s="17">
        <v>1132.6666666666667</v>
      </c>
      <c r="BF84" s="17">
        <v>1179.3333333333333</v>
      </c>
      <c r="BG84" s="17">
        <v>196858</v>
      </c>
      <c r="BH84" s="17">
        <v>15934</v>
      </c>
      <c r="BI84" s="17">
        <v>0</v>
      </c>
      <c r="BJ84" s="17">
        <v>1087.4193548387098</v>
      </c>
      <c r="BK84" s="17">
        <v>1153.2258064516129</v>
      </c>
    </row>
    <row r="85" spans="1:63" x14ac:dyDescent="0.35">
      <c r="A85" s="18">
        <v>81</v>
      </c>
      <c r="B85" s="41" t="s">
        <v>243</v>
      </c>
      <c r="C85" s="19" t="s">
        <v>336</v>
      </c>
      <c r="D85" s="17">
        <v>269033</v>
      </c>
      <c r="E85" s="17">
        <v>34088</v>
      </c>
      <c r="F85" s="17">
        <v>0</v>
      </c>
      <c r="G85" s="17">
        <v>652.58064516129036</v>
      </c>
      <c r="H85" s="17">
        <v>1066.7741935483871</v>
      </c>
      <c r="I85" s="17">
        <v>251951</v>
      </c>
      <c r="J85" s="17">
        <v>15783</v>
      </c>
      <c r="K85" s="17">
        <v>0</v>
      </c>
      <c r="L85" s="17">
        <v>668.75</v>
      </c>
      <c r="M85" s="17">
        <v>1377.8571428571429</v>
      </c>
      <c r="N85" s="17">
        <v>239528</v>
      </c>
      <c r="O85" s="17">
        <v>25621</v>
      </c>
      <c r="P85" s="17">
        <v>0</v>
      </c>
      <c r="Q85" s="17">
        <v>695</v>
      </c>
      <c r="R85" s="17">
        <v>1590.3225806451612</v>
      </c>
      <c r="S85" s="17">
        <v>303312</v>
      </c>
      <c r="T85" s="17">
        <v>13974</v>
      </c>
      <c r="U85" s="17">
        <v>0</v>
      </c>
      <c r="V85" s="17">
        <v>695</v>
      </c>
      <c r="W85" s="17">
        <v>1353.6666666666667</v>
      </c>
      <c r="X85" s="17">
        <v>230099</v>
      </c>
      <c r="Y85" s="17">
        <v>26668</v>
      </c>
      <c r="Z85" s="17">
        <v>0</v>
      </c>
      <c r="AA85" s="17">
        <v>755.16129032258061</v>
      </c>
      <c r="AB85" s="17">
        <v>1194.8387096774193</v>
      </c>
      <c r="AC85" s="17">
        <v>237784</v>
      </c>
      <c r="AD85" s="17">
        <v>31389</v>
      </c>
      <c r="AE85" s="17">
        <v>0</v>
      </c>
      <c r="AF85" s="17">
        <v>736</v>
      </c>
      <c r="AG85" s="17">
        <v>1201.3333333333333</v>
      </c>
      <c r="AH85" s="17">
        <v>220181</v>
      </c>
      <c r="AI85" s="17">
        <v>23603</v>
      </c>
      <c r="AJ85" s="17">
        <v>0</v>
      </c>
      <c r="AK85" s="17">
        <v>766.93548387096769</v>
      </c>
      <c r="AL85" s="17">
        <v>1220</v>
      </c>
      <c r="AM85" s="17">
        <v>119260</v>
      </c>
      <c r="AN85" s="17">
        <v>29630</v>
      </c>
      <c r="AO85" s="17">
        <v>0</v>
      </c>
      <c r="AP85" s="17">
        <v>867.09677419354841</v>
      </c>
      <c r="AQ85" s="17">
        <v>1220</v>
      </c>
      <c r="AR85" s="17">
        <v>212731</v>
      </c>
      <c r="AS85" s="17">
        <v>36270</v>
      </c>
      <c r="AT85" s="17">
        <v>0</v>
      </c>
      <c r="AU85" s="17">
        <v>1108.8333333333333</v>
      </c>
      <c r="AV85" s="17">
        <v>1220</v>
      </c>
      <c r="AW85" s="17">
        <v>175785</v>
      </c>
      <c r="AX85" s="17">
        <v>26059</v>
      </c>
      <c r="AY85" s="17">
        <v>0</v>
      </c>
      <c r="AZ85" s="17">
        <v>1162.258064516129</v>
      </c>
      <c r="BA85" s="17">
        <v>1198.7096774193549</v>
      </c>
      <c r="BB85" s="17">
        <v>165474</v>
      </c>
      <c r="BC85" s="17">
        <v>38176</v>
      </c>
      <c r="BD85" s="17">
        <v>0</v>
      </c>
      <c r="BE85" s="17">
        <v>1132.6666666666667</v>
      </c>
      <c r="BF85" s="17">
        <v>1179.3333333333333</v>
      </c>
      <c r="BG85" s="17">
        <v>194407</v>
      </c>
      <c r="BH85" s="17">
        <v>33813</v>
      </c>
      <c r="BI85" s="17">
        <v>0</v>
      </c>
      <c r="BJ85" s="17">
        <v>1087.4193548387098</v>
      </c>
      <c r="BK85" s="17">
        <v>1153.2258064516129</v>
      </c>
    </row>
    <row r="86" spans="1:63" x14ac:dyDescent="0.35">
      <c r="A86" s="18">
        <v>82</v>
      </c>
      <c r="B86" s="41" t="s">
        <v>244</v>
      </c>
      <c r="C86" s="19" t="s">
        <v>337</v>
      </c>
      <c r="D86" s="17">
        <v>284585</v>
      </c>
      <c r="E86" s="17">
        <v>30372</v>
      </c>
      <c r="F86" s="17">
        <v>0</v>
      </c>
      <c r="G86" s="17">
        <v>660</v>
      </c>
      <c r="H86" s="17">
        <v>1077.4193548387098</v>
      </c>
      <c r="I86" s="17">
        <v>239638</v>
      </c>
      <c r="J86" s="17">
        <v>62144</v>
      </c>
      <c r="K86" s="17">
        <v>0</v>
      </c>
      <c r="L86" s="17">
        <v>674.46428571428567</v>
      </c>
      <c r="M86" s="17">
        <v>1401.6071428571429</v>
      </c>
      <c r="N86" s="17">
        <v>308925</v>
      </c>
      <c r="O86" s="17">
        <v>65882</v>
      </c>
      <c r="P86" s="17">
        <v>0</v>
      </c>
      <c r="Q86" s="17">
        <v>685</v>
      </c>
      <c r="R86" s="17">
        <v>1611.2903225806451</v>
      </c>
      <c r="S86" s="17">
        <v>262353</v>
      </c>
      <c r="T86" s="17">
        <v>20087</v>
      </c>
      <c r="U86" s="17">
        <v>0</v>
      </c>
      <c r="V86" s="17">
        <v>699.16666666666663</v>
      </c>
      <c r="W86" s="17">
        <v>1407.3333333333333</v>
      </c>
      <c r="X86" s="17">
        <v>209899</v>
      </c>
      <c r="Y86" s="17">
        <v>14913</v>
      </c>
      <c r="Z86" s="17">
        <v>0</v>
      </c>
      <c r="AA86" s="17">
        <v>818.54838709677415</v>
      </c>
      <c r="AB86" s="17">
        <v>1234.8387096774193</v>
      </c>
      <c r="AC86" s="17">
        <v>203510</v>
      </c>
      <c r="AD86" s="17">
        <v>16958</v>
      </c>
      <c r="AE86" s="17">
        <v>0</v>
      </c>
      <c r="AF86" s="17">
        <v>740</v>
      </c>
      <c r="AG86" s="17">
        <v>1233.3333333333333</v>
      </c>
      <c r="AH86" s="17">
        <v>269540</v>
      </c>
      <c r="AI86" s="17">
        <v>11031</v>
      </c>
      <c r="AJ86" s="17">
        <v>0</v>
      </c>
      <c r="AK86" s="17">
        <v>760.32258064516134</v>
      </c>
      <c r="AL86" s="17">
        <v>1233.2258064516129</v>
      </c>
      <c r="AM86" s="17">
        <v>5428</v>
      </c>
      <c r="AN86" s="17">
        <v>10283</v>
      </c>
      <c r="AO86" s="17">
        <v>0</v>
      </c>
      <c r="AP86" s="17">
        <v>819.35483870967744</v>
      </c>
      <c r="AQ86" s="17">
        <v>1213.5483870967741</v>
      </c>
      <c r="AR86" s="17">
        <v>0</v>
      </c>
      <c r="AS86" s="17">
        <v>0</v>
      </c>
      <c r="AT86" s="17">
        <v>0</v>
      </c>
      <c r="AU86" s="17">
        <v>1069.3333333333333</v>
      </c>
      <c r="AV86" s="17">
        <v>1220</v>
      </c>
      <c r="AW86" s="17">
        <v>0</v>
      </c>
      <c r="AX86" s="17">
        <v>0</v>
      </c>
      <c r="AY86" s="17">
        <v>0</v>
      </c>
      <c r="AZ86" s="17">
        <v>1151.9354838709678</v>
      </c>
      <c r="BA86" s="17">
        <v>1220</v>
      </c>
      <c r="BB86" s="17">
        <v>0</v>
      </c>
      <c r="BC86" s="17">
        <v>0</v>
      </c>
      <c r="BD86" s="17">
        <v>0</v>
      </c>
      <c r="BE86" s="17">
        <v>1137.3333333333333</v>
      </c>
      <c r="BF86" s="17">
        <v>1209</v>
      </c>
      <c r="BG86" s="17">
        <v>0</v>
      </c>
      <c r="BH86" s="17">
        <v>0</v>
      </c>
      <c r="BI86" s="17">
        <v>0</v>
      </c>
      <c r="BJ86" s="17">
        <v>1105.9677419354839</v>
      </c>
      <c r="BK86" s="17">
        <v>1193.5483870967741</v>
      </c>
    </row>
    <row r="87" spans="1:63" x14ac:dyDescent="0.35">
      <c r="A87" s="18">
        <v>83</v>
      </c>
      <c r="B87" s="41" t="s">
        <v>233</v>
      </c>
      <c r="C87" s="19" t="s">
        <v>338</v>
      </c>
      <c r="D87" s="17">
        <v>271210</v>
      </c>
      <c r="E87" s="17">
        <v>15089</v>
      </c>
      <c r="F87" s="17">
        <v>0</v>
      </c>
      <c r="G87" s="17">
        <v>607.41935483870964</v>
      </c>
      <c r="H87" s="17">
        <v>1048.5483870967741</v>
      </c>
      <c r="I87" s="17">
        <v>434292</v>
      </c>
      <c r="J87" s="17">
        <v>17889</v>
      </c>
      <c r="K87" s="17">
        <v>0</v>
      </c>
      <c r="L87" s="17">
        <v>632.14285714285711</v>
      </c>
      <c r="M87" s="17">
        <v>1370</v>
      </c>
      <c r="N87" s="17">
        <v>396752</v>
      </c>
      <c r="O87" s="17">
        <v>15072</v>
      </c>
      <c r="P87" s="17">
        <v>0</v>
      </c>
      <c r="Q87" s="17">
        <v>634.67741935483866</v>
      </c>
      <c r="R87" s="17">
        <v>1540.3225806451612</v>
      </c>
      <c r="S87" s="17">
        <v>445336</v>
      </c>
      <c r="T87" s="17">
        <v>14250</v>
      </c>
      <c r="U87" s="17">
        <v>0</v>
      </c>
      <c r="V87" s="17">
        <v>642.33333333333337</v>
      </c>
      <c r="W87" s="17">
        <v>1389.6666666666667</v>
      </c>
      <c r="X87" s="17">
        <v>302660</v>
      </c>
      <c r="Y87" s="17">
        <v>5981</v>
      </c>
      <c r="Z87" s="17">
        <v>0</v>
      </c>
      <c r="AA87" s="17">
        <v>681.77419354838707</v>
      </c>
      <c r="AB87" s="17">
        <v>1224.1935483870968</v>
      </c>
      <c r="AC87" s="17">
        <v>272117</v>
      </c>
      <c r="AD87" s="17">
        <v>14374</v>
      </c>
      <c r="AE87" s="17">
        <v>0</v>
      </c>
      <c r="AF87" s="17">
        <v>625.83333333333337</v>
      </c>
      <c r="AG87" s="17">
        <v>1158</v>
      </c>
      <c r="AH87" s="17">
        <v>432989</v>
      </c>
      <c r="AI87" s="17">
        <v>9507</v>
      </c>
      <c r="AJ87" s="17">
        <v>0</v>
      </c>
      <c r="AK87" s="17">
        <v>712.90322580645159</v>
      </c>
      <c r="AL87" s="17">
        <v>1220</v>
      </c>
      <c r="AM87" s="17">
        <v>197356</v>
      </c>
      <c r="AN87" s="17">
        <v>5821</v>
      </c>
      <c r="AO87" s="17">
        <v>0</v>
      </c>
      <c r="AP87" s="17">
        <v>791.29032258064512</v>
      </c>
      <c r="AQ87" s="17">
        <v>1220</v>
      </c>
      <c r="AR87" s="17">
        <v>251030</v>
      </c>
      <c r="AS87" s="17">
        <v>4732</v>
      </c>
      <c r="AT87" s="17">
        <v>0</v>
      </c>
      <c r="AU87" s="17">
        <v>955.33333333333337</v>
      </c>
      <c r="AV87" s="17">
        <v>1220</v>
      </c>
      <c r="AW87" s="17">
        <v>223751</v>
      </c>
      <c r="AX87" s="17">
        <v>4576</v>
      </c>
      <c r="AY87" s="17">
        <v>0</v>
      </c>
      <c r="AZ87" s="17">
        <v>1075.483870967742</v>
      </c>
      <c r="BA87" s="17">
        <v>1214.8387096774193</v>
      </c>
      <c r="BB87" s="17">
        <v>174680</v>
      </c>
      <c r="BC87" s="17">
        <v>6471</v>
      </c>
      <c r="BD87" s="17">
        <v>0</v>
      </c>
      <c r="BE87" s="17">
        <v>1091.3333333333333</v>
      </c>
      <c r="BF87" s="17">
        <v>1185</v>
      </c>
      <c r="BG87" s="17">
        <v>165564</v>
      </c>
      <c r="BH87" s="17">
        <v>5903</v>
      </c>
      <c r="BI87" s="17">
        <v>30</v>
      </c>
      <c r="BJ87" s="17">
        <v>1071.2903225806451</v>
      </c>
      <c r="BK87" s="17">
        <v>1161.6129032258063</v>
      </c>
    </row>
    <row r="88" spans="1:63" x14ac:dyDescent="0.35">
      <c r="A88" s="18">
        <v>84</v>
      </c>
      <c r="B88" s="41" t="s">
        <v>235</v>
      </c>
      <c r="C88" s="19" t="s">
        <v>339</v>
      </c>
      <c r="D88" s="17">
        <v>238736</v>
      </c>
      <c r="E88" s="17">
        <v>14119</v>
      </c>
      <c r="F88" s="17">
        <v>0</v>
      </c>
      <c r="G88" s="17">
        <v>660</v>
      </c>
      <c r="H88" s="17">
        <v>1064.3548387096773</v>
      </c>
      <c r="I88" s="17">
        <v>311096</v>
      </c>
      <c r="J88" s="17">
        <v>16043</v>
      </c>
      <c r="K88" s="17">
        <v>0</v>
      </c>
      <c r="L88" s="17">
        <v>671.25</v>
      </c>
      <c r="M88" s="17">
        <v>1399.8214285714287</v>
      </c>
      <c r="N88" s="17">
        <v>280209</v>
      </c>
      <c r="O88" s="17">
        <v>21652</v>
      </c>
      <c r="P88" s="17">
        <v>0</v>
      </c>
      <c r="Q88" s="17">
        <v>677.25806451612902</v>
      </c>
      <c r="R88" s="17">
        <v>1594.3548387096773</v>
      </c>
      <c r="S88" s="17">
        <v>286134</v>
      </c>
      <c r="T88" s="17">
        <v>14756</v>
      </c>
      <c r="U88" s="17">
        <v>0</v>
      </c>
      <c r="V88" s="17">
        <v>687.5</v>
      </c>
      <c r="W88" s="17">
        <v>1389</v>
      </c>
      <c r="X88" s="17">
        <v>359022</v>
      </c>
      <c r="Y88" s="17">
        <v>14041</v>
      </c>
      <c r="Z88" s="17">
        <v>0</v>
      </c>
      <c r="AA88" s="17">
        <v>737.25806451612902</v>
      </c>
      <c r="AB88" s="17">
        <v>1217.5806451612902</v>
      </c>
      <c r="AC88" s="17">
        <v>216262</v>
      </c>
      <c r="AD88" s="17">
        <v>13174</v>
      </c>
      <c r="AE88" s="17">
        <v>0</v>
      </c>
      <c r="AF88" s="17">
        <v>685.66666666666663</v>
      </c>
      <c r="AG88" s="17">
        <v>1201.3333333333333</v>
      </c>
      <c r="AH88" s="17">
        <v>331807</v>
      </c>
      <c r="AI88" s="17">
        <v>10874</v>
      </c>
      <c r="AJ88" s="17">
        <v>0</v>
      </c>
      <c r="AK88" s="17">
        <v>725.9677419354839</v>
      </c>
      <c r="AL88" s="17">
        <v>1220</v>
      </c>
      <c r="AM88" s="17">
        <v>195948</v>
      </c>
      <c r="AN88" s="17">
        <v>8579</v>
      </c>
      <c r="AO88" s="17">
        <v>0</v>
      </c>
      <c r="AP88" s="17">
        <v>770.64516129032256</v>
      </c>
      <c r="AQ88" s="17">
        <v>1220</v>
      </c>
      <c r="AR88" s="17">
        <v>207983</v>
      </c>
      <c r="AS88" s="17">
        <v>8247</v>
      </c>
      <c r="AT88" s="17">
        <v>0</v>
      </c>
      <c r="AU88" s="17">
        <v>1021.3333333333334</v>
      </c>
      <c r="AV88" s="17">
        <v>1220</v>
      </c>
      <c r="AW88" s="17">
        <v>220446</v>
      </c>
      <c r="AX88" s="17">
        <v>14091</v>
      </c>
      <c r="AY88" s="17">
        <v>0</v>
      </c>
      <c r="AZ88" s="17">
        <v>1138.7096774193549</v>
      </c>
      <c r="BA88" s="17">
        <v>1220</v>
      </c>
      <c r="BB88" s="17">
        <v>188970</v>
      </c>
      <c r="BC88" s="17">
        <v>14609</v>
      </c>
      <c r="BD88" s="17">
        <v>0</v>
      </c>
      <c r="BE88" s="17">
        <v>1128.5</v>
      </c>
      <c r="BF88" s="17">
        <v>1195</v>
      </c>
      <c r="BG88" s="17">
        <v>160499</v>
      </c>
      <c r="BH88" s="17">
        <v>10043</v>
      </c>
      <c r="BI88" s="17">
        <v>0</v>
      </c>
      <c r="BJ88" s="17">
        <v>1086.4516129032259</v>
      </c>
      <c r="BK88" s="17">
        <v>1190</v>
      </c>
    </row>
    <row r="89" spans="1:63" x14ac:dyDescent="0.35">
      <c r="A89" s="18">
        <v>85</v>
      </c>
      <c r="B89" s="41" t="s">
        <v>242</v>
      </c>
      <c r="C89" s="19" t="s">
        <v>340</v>
      </c>
      <c r="D89" s="17">
        <v>194081</v>
      </c>
      <c r="E89" s="17">
        <v>16565</v>
      </c>
      <c r="F89" s="17">
        <v>0</v>
      </c>
      <c r="G89" s="17">
        <v>652.25806451612902</v>
      </c>
      <c r="H89" s="17">
        <v>1056.7741935483871</v>
      </c>
      <c r="I89" s="17">
        <v>198328</v>
      </c>
      <c r="J89" s="17">
        <v>16115</v>
      </c>
      <c r="K89" s="17">
        <v>172</v>
      </c>
      <c r="L89" s="17">
        <v>669.28571428571433</v>
      </c>
      <c r="M89" s="17">
        <v>1406.4285714285713</v>
      </c>
      <c r="N89" s="17">
        <v>183823</v>
      </c>
      <c r="O89" s="17">
        <v>18748</v>
      </c>
      <c r="P89" s="17">
        <v>9724</v>
      </c>
      <c r="Q89" s="17">
        <v>695</v>
      </c>
      <c r="R89" s="17">
        <v>1587.0967741935483</v>
      </c>
      <c r="S89" s="17">
        <v>179679</v>
      </c>
      <c r="T89" s="17">
        <v>16208</v>
      </c>
      <c r="U89" s="17">
        <v>4793</v>
      </c>
      <c r="V89" s="17">
        <v>695</v>
      </c>
      <c r="W89" s="17">
        <v>1357</v>
      </c>
      <c r="X89" s="17">
        <v>196717</v>
      </c>
      <c r="Y89" s="17">
        <v>20678</v>
      </c>
      <c r="Z89" s="17">
        <v>829</v>
      </c>
      <c r="AA89" s="17">
        <v>740.64516129032256</v>
      </c>
      <c r="AB89" s="17">
        <v>1197.4193548387098</v>
      </c>
      <c r="AC89" s="17">
        <v>197920</v>
      </c>
      <c r="AD89" s="17">
        <v>13023</v>
      </c>
      <c r="AE89" s="17">
        <v>1046</v>
      </c>
      <c r="AF89" s="17">
        <v>726.66666666666663</v>
      </c>
      <c r="AG89" s="17">
        <v>1181.3333333333333</v>
      </c>
      <c r="AH89" s="17">
        <v>250074</v>
      </c>
      <c r="AI89" s="17">
        <v>8824</v>
      </c>
      <c r="AJ89" s="17">
        <v>1105</v>
      </c>
      <c r="AK89" s="17">
        <v>746.61290322580646</v>
      </c>
      <c r="AL89" s="17">
        <v>1207.4193548387098</v>
      </c>
      <c r="AM89" s="17">
        <v>130280</v>
      </c>
      <c r="AN89" s="17">
        <v>0</v>
      </c>
      <c r="AO89" s="17">
        <v>801</v>
      </c>
      <c r="AP89" s="17">
        <v>842.25806451612902</v>
      </c>
      <c r="AQ89" s="17">
        <v>1236.4516129032259</v>
      </c>
      <c r="AR89" s="17">
        <v>133636</v>
      </c>
      <c r="AS89" s="17">
        <v>364</v>
      </c>
      <c r="AT89" s="17">
        <v>857</v>
      </c>
      <c r="AU89" s="17">
        <v>1107.5</v>
      </c>
      <c r="AV89" s="17">
        <v>1230</v>
      </c>
      <c r="AW89" s="17">
        <v>144657</v>
      </c>
      <c r="AX89" s="17">
        <v>9089</v>
      </c>
      <c r="AY89" s="17">
        <v>1175</v>
      </c>
      <c r="AZ89" s="17">
        <v>1186.4516129032259</v>
      </c>
      <c r="BA89" s="17">
        <v>1218.7096774193549</v>
      </c>
      <c r="BB89" s="17">
        <v>144433</v>
      </c>
      <c r="BC89" s="17">
        <v>11887</v>
      </c>
      <c r="BD89" s="17">
        <v>1206</v>
      </c>
      <c r="BE89" s="17">
        <v>1130.6666666666667</v>
      </c>
      <c r="BF89" s="17">
        <v>1171.3333333333333</v>
      </c>
      <c r="BG89" s="17">
        <v>141628</v>
      </c>
      <c r="BH89" s="17">
        <v>14128</v>
      </c>
      <c r="BI89" s="17">
        <v>1082</v>
      </c>
      <c r="BJ89" s="17">
        <v>1079.0322580645161</v>
      </c>
      <c r="BK89" s="17">
        <v>1150</v>
      </c>
    </row>
    <row r="90" spans="1:63" x14ac:dyDescent="0.35">
      <c r="A90" s="18">
        <v>86</v>
      </c>
      <c r="B90" s="41" t="s">
        <v>235</v>
      </c>
      <c r="C90" s="19" t="s">
        <v>341</v>
      </c>
      <c r="D90" s="17">
        <v>179557</v>
      </c>
      <c r="E90" s="17">
        <v>11981</v>
      </c>
      <c r="F90" s="17">
        <v>0</v>
      </c>
      <c r="G90" s="17">
        <v>660</v>
      </c>
      <c r="H90" s="17">
        <v>1070.3225806451612</v>
      </c>
      <c r="I90" s="17">
        <v>219828</v>
      </c>
      <c r="J90" s="17">
        <v>9723</v>
      </c>
      <c r="K90" s="17">
        <v>0</v>
      </c>
      <c r="L90" s="17">
        <v>672.85714285714289</v>
      </c>
      <c r="M90" s="17">
        <v>1401.6071428571429</v>
      </c>
      <c r="N90" s="17">
        <v>321983</v>
      </c>
      <c r="O90" s="17">
        <v>9847</v>
      </c>
      <c r="P90" s="17">
        <v>0</v>
      </c>
      <c r="Q90" s="17">
        <v>680</v>
      </c>
      <c r="R90" s="17">
        <v>1594.3548387096773</v>
      </c>
      <c r="S90" s="17">
        <v>287871</v>
      </c>
      <c r="T90" s="17">
        <v>15543</v>
      </c>
      <c r="U90" s="17">
        <v>0</v>
      </c>
      <c r="V90" s="17">
        <v>683</v>
      </c>
      <c r="W90" s="17">
        <v>1389</v>
      </c>
      <c r="X90" s="17">
        <v>369369</v>
      </c>
      <c r="Y90" s="17">
        <v>13214</v>
      </c>
      <c r="Z90" s="17">
        <v>0</v>
      </c>
      <c r="AA90" s="17">
        <v>692.09677419354841</v>
      </c>
      <c r="AB90" s="17">
        <v>1231.2903225806451</v>
      </c>
      <c r="AC90" s="17">
        <v>224705</v>
      </c>
      <c r="AD90" s="17">
        <v>13464</v>
      </c>
      <c r="AE90" s="17">
        <v>0</v>
      </c>
      <c r="AF90" s="17">
        <v>683.33333333333337</v>
      </c>
      <c r="AG90" s="17">
        <v>1210.3333333333333</v>
      </c>
      <c r="AH90" s="17">
        <v>218899</v>
      </c>
      <c r="AI90" s="17">
        <v>10729</v>
      </c>
      <c r="AJ90" s="17">
        <v>0</v>
      </c>
      <c r="AK90" s="17">
        <v>694.93548387096769</v>
      </c>
      <c r="AL90" s="17">
        <v>1220</v>
      </c>
      <c r="AM90" s="17">
        <v>269533</v>
      </c>
      <c r="AN90" s="17">
        <v>6062</v>
      </c>
      <c r="AO90" s="17">
        <v>0</v>
      </c>
      <c r="AP90" s="17">
        <v>703.74193548387098</v>
      </c>
      <c r="AQ90" s="17">
        <v>1220</v>
      </c>
      <c r="AR90" s="17">
        <v>373725</v>
      </c>
      <c r="AS90" s="17">
        <v>6933</v>
      </c>
      <c r="AT90" s="17">
        <v>0</v>
      </c>
      <c r="AU90" s="17">
        <v>981</v>
      </c>
      <c r="AV90" s="17">
        <v>1220</v>
      </c>
      <c r="AW90" s="17">
        <v>285335</v>
      </c>
      <c r="AX90" s="17">
        <v>11890</v>
      </c>
      <c r="AY90" s="17">
        <v>0</v>
      </c>
      <c r="AZ90" s="17">
        <v>1090.6451612903227</v>
      </c>
      <c r="BA90" s="17">
        <v>1220</v>
      </c>
      <c r="BB90" s="17">
        <v>219392</v>
      </c>
      <c r="BC90" s="17">
        <v>11181</v>
      </c>
      <c r="BD90" s="17">
        <v>0</v>
      </c>
      <c r="BE90" s="17">
        <v>1132.3333333333333</v>
      </c>
      <c r="BF90" s="17">
        <v>1195</v>
      </c>
      <c r="BG90" s="17">
        <v>171671</v>
      </c>
      <c r="BH90" s="17">
        <v>6568</v>
      </c>
      <c r="BI90" s="17">
        <v>0</v>
      </c>
      <c r="BJ90" s="17">
        <v>1086.7741935483871</v>
      </c>
      <c r="BK90" s="17">
        <v>1190</v>
      </c>
    </row>
    <row r="91" spans="1:63" x14ac:dyDescent="0.35">
      <c r="A91" s="18">
        <v>87</v>
      </c>
      <c r="B91" s="41" t="s">
        <v>244</v>
      </c>
      <c r="C91" s="20" t="s">
        <v>342</v>
      </c>
      <c r="D91" s="17">
        <v>217549</v>
      </c>
      <c r="E91" s="17">
        <v>12942</v>
      </c>
      <c r="F91" s="17">
        <v>0</v>
      </c>
      <c r="G91" s="17">
        <v>660</v>
      </c>
      <c r="H91" s="17">
        <v>1077.4193548387098</v>
      </c>
      <c r="I91" s="17">
        <v>251571</v>
      </c>
      <c r="J91" s="17">
        <v>15351</v>
      </c>
      <c r="K91" s="17">
        <v>0</v>
      </c>
      <c r="L91" s="17">
        <v>674.46428571428567</v>
      </c>
      <c r="M91" s="17">
        <v>1401.6071428571429</v>
      </c>
      <c r="N91" s="17">
        <v>244951</v>
      </c>
      <c r="O91" s="17">
        <v>18446</v>
      </c>
      <c r="P91" s="17">
        <v>0</v>
      </c>
      <c r="Q91" s="17">
        <v>687.09677419354841</v>
      </c>
      <c r="R91" s="17">
        <v>1611.2903225806451</v>
      </c>
      <c r="S91" s="17">
        <v>295549</v>
      </c>
      <c r="T91" s="17">
        <v>20740</v>
      </c>
      <c r="U91" s="17">
        <v>0</v>
      </c>
      <c r="V91" s="17">
        <v>695</v>
      </c>
      <c r="W91" s="17">
        <v>1410.6666666666667</v>
      </c>
      <c r="X91" s="17">
        <v>213468</v>
      </c>
      <c r="Y91" s="17">
        <v>16200</v>
      </c>
      <c r="Z91" s="17">
        <v>0</v>
      </c>
      <c r="AA91" s="17">
        <v>761.29032258064512</v>
      </c>
      <c r="AB91" s="17">
        <v>1243.2258064516129</v>
      </c>
      <c r="AC91" s="17">
        <v>247883</v>
      </c>
      <c r="AD91" s="17">
        <v>17740</v>
      </c>
      <c r="AE91" s="17">
        <v>0</v>
      </c>
      <c r="AF91" s="17">
        <v>744.66666666666663</v>
      </c>
      <c r="AG91" s="17">
        <v>1251.3333333333333</v>
      </c>
      <c r="AH91" s="17">
        <v>289626</v>
      </c>
      <c r="AI91" s="17">
        <v>8481</v>
      </c>
      <c r="AJ91" s="17">
        <v>0</v>
      </c>
      <c r="AK91" s="17">
        <v>756.45161290322585</v>
      </c>
      <c r="AL91" s="17">
        <v>1255.8064516129032</v>
      </c>
      <c r="AM91" s="17">
        <v>189095</v>
      </c>
      <c r="AN91" s="17">
        <v>6171</v>
      </c>
      <c r="AO91" s="17">
        <v>0</v>
      </c>
      <c r="AP91" s="17">
        <v>821.61290322580646</v>
      </c>
      <c r="AQ91" s="17">
        <v>1239.3548387096773</v>
      </c>
      <c r="AR91" s="17">
        <v>203579</v>
      </c>
      <c r="AS91" s="17">
        <v>6961</v>
      </c>
      <c r="AT91" s="17">
        <v>0</v>
      </c>
      <c r="AU91" s="17">
        <v>1066</v>
      </c>
      <c r="AV91" s="17">
        <v>1220</v>
      </c>
      <c r="AW91" s="17">
        <v>254156</v>
      </c>
      <c r="AX91" s="17">
        <v>11084</v>
      </c>
      <c r="AY91" s="17">
        <v>0</v>
      </c>
      <c r="AZ91" s="17">
        <v>1197.4193548387098</v>
      </c>
      <c r="BA91" s="17">
        <v>1220</v>
      </c>
      <c r="BB91" s="17">
        <v>239970</v>
      </c>
      <c r="BC91" s="17">
        <v>12376</v>
      </c>
      <c r="BD91" s="17">
        <v>0</v>
      </c>
      <c r="BE91" s="17">
        <v>1141.6666666666667</v>
      </c>
      <c r="BF91" s="17">
        <v>1209.3333333333333</v>
      </c>
      <c r="BG91" s="17">
        <v>196229</v>
      </c>
      <c r="BH91" s="17">
        <v>6959</v>
      </c>
      <c r="BI91" s="17">
        <v>0</v>
      </c>
      <c r="BJ91" s="17">
        <v>1082.5806451612902</v>
      </c>
      <c r="BK91" s="17">
        <v>1193.5483870967741</v>
      </c>
    </row>
    <row r="92" spans="1:63" x14ac:dyDescent="0.35">
      <c r="A92" s="18">
        <v>88</v>
      </c>
      <c r="B92" s="41" t="s">
        <v>235</v>
      </c>
      <c r="C92" s="19" t="s">
        <v>343</v>
      </c>
      <c r="D92" s="17">
        <v>94558</v>
      </c>
      <c r="E92" s="17">
        <v>6012</v>
      </c>
      <c r="F92" s="17">
        <v>0</v>
      </c>
      <c r="G92" s="17">
        <v>645.16129032258061</v>
      </c>
      <c r="H92" s="17">
        <v>1075.483870967742</v>
      </c>
      <c r="I92" s="17">
        <v>105169</v>
      </c>
      <c r="J92" s="17">
        <v>8789</v>
      </c>
      <c r="K92" s="17">
        <v>376</v>
      </c>
      <c r="L92" s="17">
        <v>672.14285714285711</v>
      </c>
      <c r="M92" s="17">
        <v>1399.8214285714287</v>
      </c>
      <c r="N92" s="17">
        <v>130550</v>
      </c>
      <c r="O92" s="17">
        <v>9530</v>
      </c>
      <c r="P92" s="17">
        <v>7</v>
      </c>
      <c r="Q92" s="17">
        <v>680</v>
      </c>
      <c r="R92" s="17">
        <v>1594.3548387096773</v>
      </c>
      <c r="S92" s="17">
        <v>149224</v>
      </c>
      <c r="T92" s="17">
        <v>17888</v>
      </c>
      <c r="U92" s="17">
        <v>12</v>
      </c>
      <c r="V92" s="17">
        <v>690.66666666666663</v>
      </c>
      <c r="W92" s="17">
        <v>1389</v>
      </c>
      <c r="X92" s="17">
        <v>241124</v>
      </c>
      <c r="Y92" s="17">
        <v>13194</v>
      </c>
      <c r="Z92" s="17">
        <v>39</v>
      </c>
      <c r="AA92" s="17">
        <v>744.35483870967744</v>
      </c>
      <c r="AB92" s="17">
        <v>1231.2903225806451</v>
      </c>
      <c r="AC92" s="17">
        <v>200922</v>
      </c>
      <c r="AD92" s="17">
        <v>8364</v>
      </c>
      <c r="AE92" s="17">
        <v>10</v>
      </c>
      <c r="AF92" s="17">
        <v>685.66666666666663</v>
      </c>
      <c r="AG92" s="17">
        <v>1210.3333333333333</v>
      </c>
      <c r="AH92" s="17">
        <v>204203</v>
      </c>
      <c r="AI92" s="17">
        <v>5697</v>
      </c>
      <c r="AJ92" s="17">
        <v>8</v>
      </c>
      <c r="AK92" s="17">
        <v>719.19354838709683</v>
      </c>
      <c r="AL92" s="17">
        <v>1220</v>
      </c>
      <c r="AM92" s="17">
        <v>183234</v>
      </c>
      <c r="AN92" s="17">
        <v>3573</v>
      </c>
      <c r="AO92" s="17">
        <v>10</v>
      </c>
      <c r="AP92" s="17">
        <v>770.64516129032256</v>
      </c>
      <c r="AQ92" s="17">
        <v>1220</v>
      </c>
      <c r="AR92" s="17">
        <v>184280</v>
      </c>
      <c r="AS92" s="17">
        <v>4031</v>
      </c>
      <c r="AT92" s="17">
        <v>9</v>
      </c>
      <c r="AU92" s="17">
        <v>1019.6666666666666</v>
      </c>
      <c r="AV92" s="17">
        <v>1220</v>
      </c>
      <c r="AW92" s="17">
        <v>168847</v>
      </c>
      <c r="AX92" s="17">
        <v>6201</v>
      </c>
      <c r="AY92" s="17">
        <v>0</v>
      </c>
      <c r="AZ92" s="17">
        <v>1111.2903225806451</v>
      </c>
      <c r="BA92" s="17">
        <v>1220</v>
      </c>
      <c r="BB92" s="17">
        <v>108170</v>
      </c>
      <c r="BC92" s="17">
        <v>3624</v>
      </c>
      <c r="BD92" s="17">
        <v>10</v>
      </c>
      <c r="BE92" s="17">
        <v>1134.5</v>
      </c>
      <c r="BF92" s="17">
        <v>1195</v>
      </c>
      <c r="BG92" s="17">
        <v>99410</v>
      </c>
      <c r="BH92" s="17">
        <v>3078</v>
      </c>
      <c r="BI92" s="17">
        <v>10</v>
      </c>
      <c r="BJ92" s="17">
        <v>1087.4193548387098</v>
      </c>
      <c r="BK92" s="17">
        <v>1190</v>
      </c>
    </row>
    <row r="93" spans="1:63" x14ac:dyDescent="0.35">
      <c r="A93" s="18">
        <v>89</v>
      </c>
      <c r="B93" s="41" t="s">
        <v>235</v>
      </c>
      <c r="C93" s="19" t="s">
        <v>344</v>
      </c>
      <c r="D93" s="17">
        <v>74936</v>
      </c>
      <c r="E93" s="17">
        <v>4999</v>
      </c>
      <c r="F93" s="17">
        <v>0</v>
      </c>
      <c r="G93" s="17">
        <v>660</v>
      </c>
      <c r="H93" s="17">
        <v>1073.5483870967741</v>
      </c>
      <c r="I93" s="17">
        <v>86324</v>
      </c>
      <c r="J93" s="17">
        <v>13980</v>
      </c>
      <c r="K93" s="17">
        <v>0</v>
      </c>
      <c r="L93" s="17">
        <v>672.5</v>
      </c>
      <c r="M93" s="17">
        <v>1378.3928571428571</v>
      </c>
      <c r="N93" s="17">
        <v>110249</v>
      </c>
      <c r="O93" s="17">
        <v>9515</v>
      </c>
      <c r="P93" s="17">
        <v>0</v>
      </c>
      <c r="Q93" s="17">
        <v>680</v>
      </c>
      <c r="R93" s="17">
        <v>1597.5806451612902</v>
      </c>
      <c r="S93" s="17">
        <v>180174</v>
      </c>
      <c r="T93" s="17">
        <v>4284</v>
      </c>
      <c r="U93" s="17">
        <v>0</v>
      </c>
      <c r="V93" s="17">
        <v>683.33333333333337</v>
      </c>
      <c r="W93" s="17">
        <v>1389</v>
      </c>
      <c r="X93" s="17">
        <v>261486</v>
      </c>
      <c r="Y93" s="17">
        <v>5803</v>
      </c>
      <c r="Z93" s="17">
        <v>0</v>
      </c>
      <c r="AA93" s="17">
        <v>694.0322580645161</v>
      </c>
      <c r="AB93" s="17">
        <v>1231.2903225806451</v>
      </c>
      <c r="AC93" s="17">
        <v>103239</v>
      </c>
      <c r="AD93" s="17">
        <v>5370</v>
      </c>
      <c r="AE93" s="17">
        <v>0</v>
      </c>
      <c r="AF93" s="17">
        <v>683.66666666666663</v>
      </c>
      <c r="AG93" s="17">
        <v>1210.3333333333333</v>
      </c>
      <c r="AH93" s="17">
        <v>325072</v>
      </c>
      <c r="AI93" s="17">
        <v>4528</v>
      </c>
      <c r="AJ93" s="17">
        <v>0</v>
      </c>
      <c r="AK93" s="17">
        <v>710.16129032258061</v>
      </c>
      <c r="AL93" s="17">
        <v>1220</v>
      </c>
      <c r="AM93" s="17">
        <v>354458</v>
      </c>
      <c r="AN93" s="17">
        <v>2364</v>
      </c>
      <c r="AO93" s="17">
        <v>0</v>
      </c>
      <c r="AP93" s="17">
        <v>731.93548387096769</v>
      </c>
      <c r="AQ93" s="17">
        <v>1220</v>
      </c>
      <c r="AR93" s="17">
        <v>165701</v>
      </c>
      <c r="AS93" s="17">
        <v>2331</v>
      </c>
      <c r="AT93" s="17">
        <v>0</v>
      </c>
      <c r="AU93" s="17">
        <v>1017</v>
      </c>
      <c r="AV93" s="17">
        <v>1220</v>
      </c>
      <c r="AW93" s="17">
        <v>169573</v>
      </c>
      <c r="AX93" s="17">
        <v>8367</v>
      </c>
      <c r="AY93" s="17">
        <v>0</v>
      </c>
      <c r="AZ93" s="17">
        <v>1103.5483870967741</v>
      </c>
      <c r="BA93" s="17">
        <v>1220</v>
      </c>
      <c r="BB93" s="17">
        <v>56622</v>
      </c>
      <c r="BC93" s="17">
        <v>1528</v>
      </c>
      <c r="BD93" s="17">
        <v>0</v>
      </c>
      <c r="BE93" s="17">
        <v>1133.1666666666667</v>
      </c>
      <c r="BF93" s="17">
        <v>1195</v>
      </c>
      <c r="BG93" s="17">
        <v>43206</v>
      </c>
      <c r="BH93" s="17">
        <v>2612</v>
      </c>
      <c r="BI93" s="17">
        <v>0</v>
      </c>
      <c r="BJ93" s="17">
        <v>1083.8709677419354</v>
      </c>
      <c r="BK93" s="17">
        <v>1190</v>
      </c>
    </row>
    <row r="94" spans="1:63" x14ac:dyDescent="0.35">
      <c r="A94" s="18">
        <v>90</v>
      </c>
      <c r="B94" s="41" t="s">
        <v>238</v>
      </c>
      <c r="C94" s="20" t="s">
        <v>345</v>
      </c>
      <c r="D94" s="17">
        <v>451245</v>
      </c>
      <c r="E94" s="17">
        <v>22055</v>
      </c>
      <c r="F94" s="17">
        <v>0</v>
      </c>
      <c r="G94" s="17">
        <v>656.29032258064512</v>
      </c>
      <c r="H94" s="17">
        <v>1065.483870967742</v>
      </c>
      <c r="I94" s="17">
        <v>497106</v>
      </c>
      <c r="J94" s="17">
        <v>24353</v>
      </c>
      <c r="K94" s="17">
        <v>396</v>
      </c>
      <c r="L94" s="17">
        <v>669.46428571428567</v>
      </c>
      <c r="M94" s="17">
        <v>1403.2142857142858</v>
      </c>
      <c r="N94" s="17">
        <v>507115</v>
      </c>
      <c r="O94" s="17">
        <v>29659</v>
      </c>
      <c r="P94" s="17">
        <v>0</v>
      </c>
      <c r="Q94" s="17">
        <v>695</v>
      </c>
      <c r="R94" s="17">
        <v>1590.3225806451612</v>
      </c>
      <c r="S94" s="17">
        <v>479133</v>
      </c>
      <c r="T94" s="17">
        <v>31587</v>
      </c>
      <c r="U94" s="17">
        <v>0</v>
      </c>
      <c r="V94" s="17">
        <v>695</v>
      </c>
      <c r="W94" s="17">
        <v>1353.6666666666667</v>
      </c>
      <c r="X94" s="17">
        <v>570927</v>
      </c>
      <c r="Y94" s="17">
        <v>31659</v>
      </c>
      <c r="Z94" s="17">
        <v>29</v>
      </c>
      <c r="AA94" s="17">
        <v>741.61290322580646</v>
      </c>
      <c r="AB94" s="17">
        <v>1197.4193548387098</v>
      </c>
      <c r="AC94" s="17">
        <v>497866</v>
      </c>
      <c r="AD94" s="17">
        <v>35708</v>
      </c>
      <c r="AE94" s="17">
        <v>399</v>
      </c>
      <c r="AF94" s="17">
        <v>731.66666666666663</v>
      </c>
      <c r="AG94" s="17">
        <v>1182.3333333333333</v>
      </c>
      <c r="AH94" s="17">
        <v>502422</v>
      </c>
      <c r="AI94" s="17">
        <v>28304</v>
      </c>
      <c r="AJ94" s="17">
        <v>2120</v>
      </c>
      <c r="AK94" s="17">
        <v>747.58064516129036</v>
      </c>
      <c r="AL94" s="17">
        <v>1199.0322580645161</v>
      </c>
      <c r="AM94" s="17">
        <v>263811</v>
      </c>
      <c r="AN94" s="17">
        <v>22178</v>
      </c>
      <c r="AO94" s="17">
        <v>1837</v>
      </c>
      <c r="AP94" s="17">
        <v>836.45161290322585</v>
      </c>
      <c r="AQ94" s="17">
        <v>1200.6451612903227</v>
      </c>
      <c r="AR94" s="17">
        <v>448050</v>
      </c>
      <c r="AS94" s="17">
        <v>36427</v>
      </c>
      <c r="AT94" s="17">
        <v>3323</v>
      </c>
      <c r="AU94" s="17">
        <v>1106.8333333333333</v>
      </c>
      <c r="AV94" s="17">
        <v>1200</v>
      </c>
      <c r="AW94" s="17">
        <v>433359</v>
      </c>
      <c r="AX94" s="17">
        <v>40867</v>
      </c>
      <c r="AY94" s="17">
        <v>6540</v>
      </c>
      <c r="AZ94" s="17">
        <v>1161.6129032258063</v>
      </c>
      <c r="BA94" s="17">
        <v>1196.7741935483871</v>
      </c>
      <c r="BB94" s="17">
        <v>403530</v>
      </c>
      <c r="BC94" s="17">
        <v>42251</v>
      </c>
      <c r="BD94" s="17">
        <v>6799</v>
      </c>
      <c r="BE94" s="17">
        <v>1132.6666666666667</v>
      </c>
      <c r="BF94" s="17">
        <v>1179.3333333333333</v>
      </c>
      <c r="BG94" s="17">
        <v>399742</v>
      </c>
      <c r="BH94" s="17">
        <v>33712</v>
      </c>
      <c r="BI94" s="17">
        <v>6082</v>
      </c>
      <c r="BJ94" s="17">
        <v>1090.6451612903227</v>
      </c>
      <c r="BK94" s="17">
        <v>1153.2258064516129</v>
      </c>
    </row>
    <row r="95" spans="1:63" x14ac:dyDescent="0.35">
      <c r="A95" s="18">
        <v>91</v>
      </c>
      <c r="B95" s="41" t="s">
        <v>238</v>
      </c>
      <c r="C95" s="20" t="s">
        <v>346</v>
      </c>
      <c r="D95" s="17">
        <v>226484</v>
      </c>
      <c r="E95" s="17">
        <v>26978</v>
      </c>
      <c r="F95" s="17">
        <v>4486</v>
      </c>
      <c r="G95" s="17">
        <v>656.29032258064512</v>
      </c>
      <c r="H95" s="17">
        <v>1065.8064516129032</v>
      </c>
      <c r="I95" s="17">
        <v>221611</v>
      </c>
      <c r="J95" s="17">
        <v>30009</v>
      </c>
      <c r="K95" s="17">
        <v>2831</v>
      </c>
      <c r="L95" s="17">
        <v>669.46428571428567</v>
      </c>
      <c r="M95" s="17">
        <v>1406.4285714285713</v>
      </c>
      <c r="N95" s="17">
        <v>243227</v>
      </c>
      <c r="O95" s="17">
        <v>37704</v>
      </c>
      <c r="P95" s="17">
        <v>0</v>
      </c>
      <c r="Q95" s="17">
        <v>695</v>
      </c>
      <c r="R95" s="17">
        <v>1590.3225806451612</v>
      </c>
      <c r="S95" s="17">
        <v>264813</v>
      </c>
      <c r="T95" s="17">
        <v>31239</v>
      </c>
      <c r="U95" s="17">
        <v>381</v>
      </c>
      <c r="V95" s="17">
        <v>695</v>
      </c>
      <c r="W95" s="17">
        <v>1353.6666666666667</v>
      </c>
      <c r="X95" s="17">
        <v>257291</v>
      </c>
      <c r="Y95" s="17">
        <v>31973</v>
      </c>
      <c r="Z95" s="17">
        <v>1492</v>
      </c>
      <c r="AA95" s="17">
        <v>741.61290322580646</v>
      </c>
      <c r="AB95" s="17">
        <v>1194.8387096774193</v>
      </c>
      <c r="AC95" s="17">
        <v>215133</v>
      </c>
      <c r="AD95" s="17">
        <v>30731</v>
      </c>
      <c r="AE95" s="17">
        <v>1213</v>
      </c>
      <c r="AF95" s="17">
        <v>731.66666666666663</v>
      </c>
      <c r="AG95" s="17">
        <v>1182.3333333333333</v>
      </c>
      <c r="AH95" s="17">
        <v>212724</v>
      </c>
      <c r="AI95" s="17">
        <v>30200</v>
      </c>
      <c r="AJ95" s="17">
        <v>0</v>
      </c>
      <c r="AK95" s="17">
        <v>747.58064516129036</v>
      </c>
      <c r="AL95" s="17">
        <v>1199.0322580645161</v>
      </c>
      <c r="AM95" s="17">
        <v>161944</v>
      </c>
      <c r="AN95" s="17">
        <v>7974</v>
      </c>
      <c r="AO95" s="17">
        <v>0</v>
      </c>
      <c r="AP95" s="17">
        <v>836.45161290322585</v>
      </c>
      <c r="AQ95" s="17">
        <v>1199.6774193548388</v>
      </c>
      <c r="AR95" s="17">
        <v>202043</v>
      </c>
      <c r="AS95" s="17">
        <v>19253</v>
      </c>
      <c r="AT95" s="17">
        <v>0</v>
      </c>
      <c r="AU95" s="17">
        <v>1106.8333333333333</v>
      </c>
      <c r="AV95" s="17">
        <v>1199</v>
      </c>
      <c r="AW95" s="17">
        <v>230023</v>
      </c>
      <c r="AX95" s="17">
        <v>19524</v>
      </c>
      <c r="AY95" s="17">
        <v>0</v>
      </c>
      <c r="AZ95" s="17">
        <v>1161.6129032258063</v>
      </c>
      <c r="BA95" s="17">
        <v>1196.7741935483871</v>
      </c>
      <c r="BB95" s="17">
        <v>211613</v>
      </c>
      <c r="BC95" s="17">
        <v>25503</v>
      </c>
      <c r="BD95" s="17">
        <v>0</v>
      </c>
      <c r="BE95" s="17">
        <v>1132.6666666666667</v>
      </c>
      <c r="BF95" s="17">
        <v>1179.3333333333333</v>
      </c>
      <c r="BG95" s="17">
        <v>206031</v>
      </c>
      <c r="BH95" s="17">
        <v>13165</v>
      </c>
      <c r="BI95" s="17">
        <v>0</v>
      </c>
      <c r="BJ95" s="17">
        <v>1090.3225806451612</v>
      </c>
      <c r="BK95" s="17">
        <v>1151.6129032258063</v>
      </c>
    </row>
    <row r="96" spans="1:63" x14ac:dyDescent="0.35">
      <c r="A96" s="18">
        <v>92</v>
      </c>
      <c r="B96" s="41" t="s">
        <v>240</v>
      </c>
      <c r="C96" s="19" t="s">
        <v>347</v>
      </c>
      <c r="D96" s="17">
        <v>275290</v>
      </c>
      <c r="E96" s="17">
        <v>26073</v>
      </c>
      <c r="F96" s="17">
        <v>1139</v>
      </c>
      <c r="G96" s="17">
        <v>673.38709677419354</v>
      </c>
      <c r="H96" s="17">
        <v>1080.8064516129032</v>
      </c>
      <c r="I96" s="17">
        <v>236877</v>
      </c>
      <c r="J96" s="17">
        <v>22911</v>
      </c>
      <c r="K96" s="17">
        <v>1154</v>
      </c>
      <c r="L96" s="17">
        <v>691.25</v>
      </c>
      <c r="M96" s="17">
        <v>1387.1428571428571</v>
      </c>
      <c r="N96" s="17">
        <v>324795</v>
      </c>
      <c r="O96" s="17">
        <v>34023</v>
      </c>
      <c r="P96" s="17">
        <v>878</v>
      </c>
      <c r="Q96" s="17">
        <v>695</v>
      </c>
      <c r="R96" s="17">
        <v>1604.8387096774193</v>
      </c>
      <c r="S96" s="17">
        <v>265021</v>
      </c>
      <c r="T96" s="17">
        <v>45210</v>
      </c>
      <c r="U96" s="17">
        <v>1006</v>
      </c>
      <c r="V96" s="17">
        <v>700.5</v>
      </c>
      <c r="W96" s="17">
        <v>1440</v>
      </c>
      <c r="X96" s="17">
        <v>199932</v>
      </c>
      <c r="Y96" s="17">
        <v>35589</v>
      </c>
      <c r="Z96" s="17">
        <v>643</v>
      </c>
      <c r="AA96" s="17">
        <v>803.54838709677415</v>
      </c>
      <c r="AB96" s="17">
        <v>1254.516129032258</v>
      </c>
      <c r="AC96" s="17">
        <v>198015</v>
      </c>
      <c r="AD96" s="17">
        <v>33787</v>
      </c>
      <c r="AE96" s="17">
        <v>872</v>
      </c>
      <c r="AF96" s="17">
        <v>764.33333333333337</v>
      </c>
      <c r="AG96" s="17">
        <v>1218</v>
      </c>
      <c r="AH96" s="17">
        <v>209066</v>
      </c>
      <c r="AI96" s="17">
        <v>21913</v>
      </c>
      <c r="AJ96" s="17">
        <v>858</v>
      </c>
      <c r="AK96" s="17">
        <v>774.51612903225805</v>
      </c>
      <c r="AL96" s="17">
        <v>1221.6129032258063</v>
      </c>
      <c r="AM96" s="17">
        <v>136791</v>
      </c>
      <c r="AN96" s="17">
        <v>24534</v>
      </c>
      <c r="AO96" s="17">
        <v>580</v>
      </c>
      <c r="AP96" s="17">
        <v>884.19354838709683</v>
      </c>
      <c r="AQ96" s="17">
        <v>1220</v>
      </c>
      <c r="AR96" s="17">
        <v>141211</v>
      </c>
      <c r="AS96" s="17">
        <v>28886</v>
      </c>
      <c r="AT96" s="17">
        <v>755</v>
      </c>
      <c r="AU96" s="17">
        <v>1146.3333333333333</v>
      </c>
      <c r="AV96" s="17">
        <v>1220</v>
      </c>
      <c r="AW96" s="17">
        <v>206224</v>
      </c>
      <c r="AX96" s="17">
        <v>43468</v>
      </c>
      <c r="AY96" s="17">
        <v>897</v>
      </c>
      <c r="AZ96" s="17">
        <v>1219.3548387096773</v>
      </c>
      <c r="BA96" s="17">
        <v>1220</v>
      </c>
      <c r="BB96" s="17">
        <v>194569</v>
      </c>
      <c r="BC96" s="17">
        <v>39012</v>
      </c>
      <c r="BD96" s="17">
        <v>687</v>
      </c>
      <c r="BE96" s="17">
        <v>1157.3333333333333</v>
      </c>
      <c r="BF96" s="17">
        <v>1212.6666666666667</v>
      </c>
      <c r="BG96" s="17">
        <v>216036</v>
      </c>
      <c r="BH96" s="17">
        <v>51147</v>
      </c>
      <c r="BI96" s="17">
        <v>368</v>
      </c>
      <c r="BJ96" s="17">
        <v>1100.3225806451612</v>
      </c>
      <c r="BK96" s="17">
        <v>1200</v>
      </c>
    </row>
    <row r="97" spans="1:63" x14ac:dyDescent="0.35">
      <c r="A97" s="18">
        <v>93</v>
      </c>
      <c r="B97" s="41" t="s">
        <v>247</v>
      </c>
      <c r="C97" s="19" t="s">
        <v>348</v>
      </c>
      <c r="D97" s="17">
        <v>335503</v>
      </c>
      <c r="E97" s="17">
        <v>28027</v>
      </c>
      <c r="F97" s="17">
        <v>0</v>
      </c>
      <c r="G97" s="17">
        <v>659.67741935483866</v>
      </c>
      <c r="H97" s="17">
        <v>1057.741935483871</v>
      </c>
      <c r="I97" s="17">
        <v>350467</v>
      </c>
      <c r="J97" s="17">
        <v>12324</v>
      </c>
      <c r="K97" s="17">
        <v>0</v>
      </c>
      <c r="L97" s="17">
        <v>669.46428571428567</v>
      </c>
      <c r="M97" s="17">
        <v>1406.4285714285713</v>
      </c>
      <c r="N97" s="17">
        <v>279105</v>
      </c>
      <c r="O97" s="17">
        <v>22293</v>
      </c>
      <c r="P97" s="17">
        <v>0</v>
      </c>
      <c r="Q97" s="17">
        <v>695</v>
      </c>
      <c r="R97" s="17">
        <v>1590.3225806451612</v>
      </c>
      <c r="S97" s="17">
        <v>353780</v>
      </c>
      <c r="T97" s="17">
        <v>18379</v>
      </c>
      <c r="U97" s="17">
        <v>0</v>
      </c>
      <c r="V97" s="17">
        <v>695</v>
      </c>
      <c r="W97" s="17">
        <v>1340.3333333333333</v>
      </c>
      <c r="X97" s="17">
        <v>356896</v>
      </c>
      <c r="Y97" s="17">
        <v>22751</v>
      </c>
      <c r="Z97" s="17">
        <v>0</v>
      </c>
      <c r="AA97" s="17">
        <v>750.16129032258061</v>
      </c>
      <c r="AB97" s="17">
        <v>1197.4193548387098</v>
      </c>
      <c r="AC97" s="17">
        <v>341761</v>
      </c>
      <c r="AD97" s="17">
        <v>20765</v>
      </c>
      <c r="AE97" s="17">
        <v>0</v>
      </c>
      <c r="AF97" s="17">
        <v>733.33333333333337</v>
      </c>
      <c r="AG97" s="17">
        <v>1183.3333333333333</v>
      </c>
      <c r="AH97" s="17">
        <v>338742</v>
      </c>
      <c r="AI97" s="17">
        <v>16568</v>
      </c>
      <c r="AJ97" s="17">
        <v>0</v>
      </c>
      <c r="AK97" s="17">
        <v>759.51612903225805</v>
      </c>
      <c r="AL97" s="17">
        <v>1190.9677419354839</v>
      </c>
      <c r="AM97" s="17">
        <v>188995</v>
      </c>
      <c r="AN97" s="17">
        <v>20990</v>
      </c>
      <c r="AO97" s="17">
        <v>0</v>
      </c>
      <c r="AP97" s="17">
        <v>867.09677419354841</v>
      </c>
      <c r="AQ97" s="17">
        <v>1190</v>
      </c>
      <c r="AR97" s="17">
        <v>266566</v>
      </c>
      <c r="AS97" s="17">
        <v>24589</v>
      </c>
      <c r="AT97" s="17">
        <v>0</v>
      </c>
      <c r="AU97" s="17">
        <v>1117.5</v>
      </c>
      <c r="AV97" s="17">
        <v>1190</v>
      </c>
      <c r="AW97" s="17">
        <v>267551</v>
      </c>
      <c r="AX97" s="17">
        <v>31570</v>
      </c>
      <c r="AY97" s="17">
        <v>0</v>
      </c>
      <c r="AZ97" s="17">
        <v>1162.258064516129</v>
      </c>
      <c r="BA97" s="17">
        <v>1194.8387096774193</v>
      </c>
      <c r="BB97" s="17">
        <v>268924</v>
      </c>
      <c r="BC97" s="17">
        <v>33535</v>
      </c>
      <c r="BD97" s="17">
        <v>0</v>
      </c>
      <c r="BE97" s="17">
        <v>1132.6666666666667</v>
      </c>
      <c r="BF97" s="17">
        <v>1179.3333333333333</v>
      </c>
      <c r="BG97" s="17">
        <v>237316</v>
      </c>
      <c r="BH97" s="17">
        <v>33053</v>
      </c>
      <c r="BI97" s="17">
        <v>0</v>
      </c>
      <c r="BJ97" s="17">
        <v>1088.0645161290322</v>
      </c>
      <c r="BK97" s="17">
        <v>1153.2258064516129</v>
      </c>
    </row>
    <row r="98" spans="1:63" x14ac:dyDescent="0.35">
      <c r="A98" s="18">
        <v>94</v>
      </c>
      <c r="B98" s="41" t="s">
        <v>232</v>
      </c>
      <c r="C98" s="19" t="s">
        <v>349</v>
      </c>
      <c r="D98" s="17">
        <v>370323</v>
      </c>
      <c r="E98" s="17">
        <v>38596</v>
      </c>
      <c r="F98" s="17">
        <v>1435</v>
      </c>
      <c r="G98" s="17">
        <v>683.38709677419354</v>
      </c>
      <c r="H98" s="17">
        <v>1080.8064516129032</v>
      </c>
      <c r="I98" s="17">
        <v>252844</v>
      </c>
      <c r="J98" s="17">
        <v>28794</v>
      </c>
      <c r="K98" s="17">
        <v>832</v>
      </c>
      <c r="L98" s="17">
        <v>695.89285714285711</v>
      </c>
      <c r="M98" s="17">
        <v>1408.5714285714287</v>
      </c>
      <c r="N98" s="17">
        <v>268660</v>
      </c>
      <c r="O98" s="17">
        <v>27995</v>
      </c>
      <c r="P98" s="17">
        <v>3916</v>
      </c>
      <c r="Q98" s="17">
        <v>700</v>
      </c>
      <c r="R98" s="17">
        <v>1604.8387096774193</v>
      </c>
      <c r="S98" s="17">
        <v>295694</v>
      </c>
      <c r="T98" s="17">
        <v>57857</v>
      </c>
      <c r="U98" s="17">
        <v>4522</v>
      </c>
      <c r="V98" s="17">
        <v>707</v>
      </c>
      <c r="W98" s="17">
        <v>1440</v>
      </c>
      <c r="X98" s="17">
        <v>220544</v>
      </c>
      <c r="Y98" s="17">
        <v>44931</v>
      </c>
      <c r="Z98" s="17">
        <v>5784</v>
      </c>
      <c r="AA98" s="17">
        <v>808.06451612903231</v>
      </c>
      <c r="AB98" s="17">
        <v>1267.4193548387098</v>
      </c>
      <c r="AC98" s="17">
        <v>224116</v>
      </c>
      <c r="AD98" s="17">
        <v>30535</v>
      </c>
      <c r="AE98" s="17">
        <v>75</v>
      </c>
      <c r="AF98" s="17">
        <v>779.66666666666663</v>
      </c>
      <c r="AG98" s="17">
        <v>1248</v>
      </c>
      <c r="AH98" s="17">
        <v>305692</v>
      </c>
      <c r="AI98" s="17">
        <v>31433</v>
      </c>
      <c r="AJ98" s="17">
        <v>2107</v>
      </c>
      <c r="AK98" s="17">
        <v>783.87096774193549</v>
      </c>
      <c r="AL98" s="17">
        <v>1220</v>
      </c>
      <c r="AM98" s="17">
        <v>140266</v>
      </c>
      <c r="AN98" s="17">
        <v>32761</v>
      </c>
      <c r="AO98" s="17">
        <v>2645</v>
      </c>
      <c r="AP98" s="17">
        <v>883.22580645161293</v>
      </c>
      <c r="AQ98" s="17">
        <v>1220</v>
      </c>
      <c r="AR98" s="17">
        <v>203968</v>
      </c>
      <c r="AS98" s="17">
        <v>26054</v>
      </c>
      <c r="AT98" s="17">
        <v>1069</v>
      </c>
      <c r="AU98" s="17">
        <v>1170.6666666666667</v>
      </c>
      <c r="AV98" s="17">
        <v>1220</v>
      </c>
      <c r="AW98" s="17">
        <v>209824</v>
      </c>
      <c r="AX98" s="17">
        <v>35826</v>
      </c>
      <c r="AY98" s="17">
        <v>1601</v>
      </c>
      <c r="AZ98" s="17">
        <v>1223.2258064516129</v>
      </c>
      <c r="BA98" s="17">
        <v>1220</v>
      </c>
      <c r="BB98" s="17">
        <v>244104</v>
      </c>
      <c r="BC98" s="17">
        <v>40692</v>
      </c>
      <c r="BD98" s="17">
        <v>768</v>
      </c>
      <c r="BE98" s="17">
        <v>1160.6666666666667</v>
      </c>
      <c r="BF98" s="17">
        <v>1220</v>
      </c>
      <c r="BG98" s="17">
        <v>245849</v>
      </c>
      <c r="BH98" s="17">
        <v>28186</v>
      </c>
      <c r="BI98" s="17">
        <v>586</v>
      </c>
      <c r="BJ98" s="17">
        <v>1103.2258064516129</v>
      </c>
      <c r="BK98" s="17">
        <v>1198.7096774193549</v>
      </c>
    </row>
    <row r="99" spans="1:63" x14ac:dyDescent="0.35">
      <c r="A99" s="18">
        <v>95</v>
      </c>
      <c r="B99" s="41" t="s">
        <v>247</v>
      </c>
      <c r="C99" s="20" t="s">
        <v>350</v>
      </c>
      <c r="D99" s="17">
        <v>227499</v>
      </c>
      <c r="E99" s="17">
        <v>30824</v>
      </c>
      <c r="F99" s="17">
        <v>0</v>
      </c>
      <c r="G99" s="17">
        <v>660</v>
      </c>
      <c r="H99" s="17">
        <v>1057.9032258064517</v>
      </c>
      <c r="I99" s="17">
        <v>231488</v>
      </c>
      <c r="J99" s="17">
        <v>30344</v>
      </c>
      <c r="K99" s="17">
        <v>0</v>
      </c>
      <c r="L99" s="17">
        <v>669.10714285714289</v>
      </c>
      <c r="M99" s="17">
        <v>1406.4285714285713</v>
      </c>
      <c r="N99" s="17">
        <v>194070</v>
      </c>
      <c r="O99" s="17">
        <v>33602</v>
      </c>
      <c r="P99" s="17">
        <v>0</v>
      </c>
      <c r="Q99" s="17">
        <v>695</v>
      </c>
      <c r="R99" s="17">
        <v>1590.3225806451612</v>
      </c>
      <c r="S99" s="17">
        <v>269142</v>
      </c>
      <c r="T99" s="17">
        <v>41658</v>
      </c>
      <c r="U99" s="17">
        <v>0</v>
      </c>
      <c r="V99" s="17">
        <v>695</v>
      </c>
      <c r="W99" s="17">
        <v>1340.3333333333333</v>
      </c>
      <c r="X99" s="17">
        <v>273282</v>
      </c>
      <c r="Y99" s="17">
        <v>38712</v>
      </c>
      <c r="Z99" s="17">
        <v>0</v>
      </c>
      <c r="AA99" s="17">
        <v>750.32258064516134</v>
      </c>
      <c r="AB99" s="17">
        <v>1197.4193548387098</v>
      </c>
      <c r="AC99" s="17">
        <v>228442</v>
      </c>
      <c r="AD99" s="17">
        <v>35869</v>
      </c>
      <c r="AE99" s="17">
        <v>0</v>
      </c>
      <c r="AF99" s="17">
        <v>732.33333333333337</v>
      </c>
      <c r="AG99" s="17">
        <v>1182.3333333333333</v>
      </c>
      <c r="AH99" s="17">
        <v>244753</v>
      </c>
      <c r="AI99" s="17">
        <v>34307</v>
      </c>
      <c r="AJ99" s="17">
        <v>0</v>
      </c>
      <c r="AK99" s="17">
        <v>761.12903225806451</v>
      </c>
      <c r="AL99" s="17">
        <v>1190</v>
      </c>
      <c r="AM99" s="17">
        <v>120584</v>
      </c>
      <c r="AN99" s="17">
        <v>41149</v>
      </c>
      <c r="AO99" s="17">
        <v>0</v>
      </c>
      <c r="AP99" s="17">
        <v>866.45161290322585</v>
      </c>
      <c r="AQ99" s="17">
        <v>1190</v>
      </c>
      <c r="AR99" s="17">
        <v>226868</v>
      </c>
      <c r="AS99" s="17">
        <v>33791</v>
      </c>
      <c r="AT99" s="17">
        <v>0</v>
      </c>
      <c r="AU99" s="17">
        <v>1116.6666666666667</v>
      </c>
      <c r="AV99" s="17">
        <v>1190</v>
      </c>
      <c r="AW99" s="17">
        <v>150186</v>
      </c>
      <c r="AX99" s="17">
        <v>26995</v>
      </c>
      <c r="AY99" s="17">
        <v>0</v>
      </c>
      <c r="AZ99" s="17">
        <v>1162.258064516129</v>
      </c>
      <c r="BA99" s="17">
        <v>1194.8387096774193</v>
      </c>
      <c r="BB99" s="17">
        <v>153721</v>
      </c>
      <c r="BC99" s="17">
        <v>45006</v>
      </c>
      <c r="BD99" s="17">
        <v>0</v>
      </c>
      <c r="BE99" s="17">
        <v>1132.6666666666667</v>
      </c>
      <c r="BF99" s="17">
        <v>1179.3333333333333</v>
      </c>
      <c r="BG99" s="17">
        <v>180562</v>
      </c>
      <c r="BH99" s="17">
        <v>44443</v>
      </c>
      <c r="BI99" s="17">
        <v>0</v>
      </c>
      <c r="BJ99" s="17">
        <v>1087.4193548387098</v>
      </c>
      <c r="BK99" s="17">
        <v>1153.2258064516129</v>
      </c>
    </row>
    <row r="100" spans="1:63" x14ac:dyDescent="0.35">
      <c r="A100" s="18">
        <v>96</v>
      </c>
      <c r="B100" s="41" t="s">
        <v>231</v>
      </c>
      <c r="C100" s="20" t="s">
        <v>261</v>
      </c>
      <c r="D100" s="17">
        <v>204727</v>
      </c>
      <c r="E100" s="17">
        <v>79220</v>
      </c>
      <c r="F100" s="17">
        <v>0</v>
      </c>
      <c r="G100" s="17">
        <v>635.64516129032256</v>
      </c>
      <c r="H100" s="17">
        <v>1037.9032258064517</v>
      </c>
      <c r="I100" s="17">
        <v>175274</v>
      </c>
      <c r="J100" s="17">
        <v>77055</v>
      </c>
      <c r="K100" s="17">
        <v>0</v>
      </c>
      <c r="L100" s="17">
        <v>652.5</v>
      </c>
      <c r="M100" s="17">
        <v>1362.5</v>
      </c>
      <c r="N100" s="17">
        <v>189879</v>
      </c>
      <c r="O100" s="17">
        <v>93052</v>
      </c>
      <c r="P100" s="17">
        <v>0</v>
      </c>
      <c r="Q100" s="17">
        <v>675</v>
      </c>
      <c r="R100" s="17">
        <v>1599.0322580645161</v>
      </c>
      <c r="S100" s="17">
        <v>148004</v>
      </c>
      <c r="T100" s="17">
        <v>71547</v>
      </c>
      <c r="U100" s="17">
        <v>0</v>
      </c>
      <c r="V100" s="17">
        <v>677.33333333333337</v>
      </c>
      <c r="W100" s="17">
        <v>1417.8333333333333</v>
      </c>
      <c r="X100" s="17">
        <v>212873</v>
      </c>
      <c r="Y100" s="17">
        <v>121589</v>
      </c>
      <c r="Z100" s="17">
        <v>0</v>
      </c>
      <c r="AA100" s="17">
        <v>739.51612903225805</v>
      </c>
      <c r="AB100" s="17">
        <v>1200</v>
      </c>
      <c r="AC100" s="17">
        <v>158810</v>
      </c>
      <c r="AD100" s="17">
        <v>70942</v>
      </c>
      <c r="AE100" s="17">
        <v>0</v>
      </c>
      <c r="AF100" s="17">
        <v>716.16666666666663</v>
      </c>
      <c r="AG100" s="17">
        <v>1200</v>
      </c>
      <c r="AH100" s="17">
        <v>200682</v>
      </c>
      <c r="AI100" s="17">
        <v>61074</v>
      </c>
      <c r="AJ100" s="17">
        <v>0</v>
      </c>
      <c r="AK100" s="17">
        <v>729.51612903225805</v>
      </c>
      <c r="AL100" s="17">
        <v>1220</v>
      </c>
      <c r="AM100" s="17">
        <v>306126</v>
      </c>
      <c r="AN100" s="17">
        <v>54659</v>
      </c>
      <c r="AO100" s="17">
        <v>0</v>
      </c>
      <c r="AP100" s="17">
        <v>817.25806451612902</v>
      </c>
      <c r="AQ100" s="17">
        <v>1195.483870967742</v>
      </c>
      <c r="AR100" s="17">
        <v>191722</v>
      </c>
      <c r="AS100" s="17">
        <v>80647</v>
      </c>
      <c r="AT100" s="17">
        <v>0</v>
      </c>
      <c r="AU100" s="17">
        <v>1104.6666666666667</v>
      </c>
      <c r="AV100" s="17">
        <v>1180</v>
      </c>
      <c r="AW100" s="17">
        <v>142285</v>
      </c>
      <c r="AX100" s="17">
        <v>106459</v>
      </c>
      <c r="AY100" s="17">
        <v>0</v>
      </c>
      <c r="AZ100" s="17">
        <v>1156.7741935483871</v>
      </c>
      <c r="BA100" s="17">
        <v>1187.741935483871</v>
      </c>
      <c r="BB100" s="17">
        <v>164960</v>
      </c>
      <c r="BC100" s="17">
        <v>136758</v>
      </c>
      <c r="BD100" s="17">
        <v>0</v>
      </c>
      <c r="BE100" s="17">
        <v>1117.3333333333333</v>
      </c>
      <c r="BF100" s="17">
        <v>1180</v>
      </c>
      <c r="BG100" s="17">
        <v>235122</v>
      </c>
      <c r="BH100" s="17">
        <v>135046</v>
      </c>
      <c r="BI100" s="17">
        <v>0</v>
      </c>
      <c r="BJ100" s="17">
        <v>1067.0967741935483</v>
      </c>
      <c r="BK100" s="17">
        <v>1180</v>
      </c>
    </row>
    <row r="101" spans="1:63" x14ac:dyDescent="0.35">
      <c r="A101" s="18">
        <v>97</v>
      </c>
      <c r="B101" s="41" t="s">
        <v>246</v>
      </c>
      <c r="C101" s="19" t="s">
        <v>351</v>
      </c>
      <c r="D101" s="17">
        <v>240338</v>
      </c>
      <c r="E101" s="17">
        <v>45036</v>
      </c>
      <c r="F101" s="17">
        <v>0</v>
      </c>
      <c r="G101" s="17">
        <v>639.67741935483866</v>
      </c>
      <c r="H101" s="17">
        <v>1053.7096774193549</v>
      </c>
      <c r="I101" s="17">
        <v>281587</v>
      </c>
      <c r="J101" s="17">
        <v>40106</v>
      </c>
      <c r="K101" s="17">
        <v>0</v>
      </c>
      <c r="L101" s="17">
        <v>659.28571428571433</v>
      </c>
      <c r="M101" s="17">
        <v>1406.4285714285713</v>
      </c>
      <c r="N101" s="17">
        <v>308001</v>
      </c>
      <c r="O101" s="17">
        <v>56496</v>
      </c>
      <c r="P101" s="17">
        <v>0</v>
      </c>
      <c r="Q101" s="17">
        <v>679.0322580645161</v>
      </c>
      <c r="R101" s="17">
        <v>1585.483870967742</v>
      </c>
      <c r="S101" s="17">
        <v>278732</v>
      </c>
      <c r="T101" s="17">
        <v>43424</v>
      </c>
      <c r="U101" s="17">
        <v>0</v>
      </c>
      <c r="V101" s="17">
        <v>690</v>
      </c>
      <c r="W101" s="17">
        <v>1339.3333333333333</v>
      </c>
      <c r="X101" s="17">
        <v>311970</v>
      </c>
      <c r="Y101" s="17">
        <v>46180</v>
      </c>
      <c r="Z101" s="17">
        <v>0</v>
      </c>
      <c r="AA101" s="17">
        <v>729.67741935483866</v>
      </c>
      <c r="AB101" s="17">
        <v>1167.741935483871</v>
      </c>
      <c r="AC101" s="17">
        <v>206272</v>
      </c>
      <c r="AD101" s="17">
        <v>53066</v>
      </c>
      <c r="AE101" s="17">
        <v>0</v>
      </c>
      <c r="AF101" s="17">
        <v>720.66666666666663</v>
      </c>
      <c r="AG101" s="17">
        <v>1141.3333333333333</v>
      </c>
      <c r="AH101" s="17">
        <v>301823</v>
      </c>
      <c r="AI101" s="17">
        <v>54825</v>
      </c>
      <c r="AJ101" s="17">
        <v>0</v>
      </c>
      <c r="AK101" s="17">
        <v>743.22580645161293</v>
      </c>
      <c r="AL101" s="17">
        <v>1187.0967741935483</v>
      </c>
      <c r="AM101" s="17">
        <v>274068</v>
      </c>
      <c r="AN101" s="17">
        <v>52891</v>
      </c>
      <c r="AO101" s="17">
        <v>0</v>
      </c>
      <c r="AP101" s="17">
        <v>841.61290322580646</v>
      </c>
      <c r="AQ101" s="17">
        <v>1190</v>
      </c>
      <c r="AR101" s="17">
        <v>247150</v>
      </c>
      <c r="AS101" s="17">
        <v>51963</v>
      </c>
      <c r="AT101" s="17">
        <v>0</v>
      </c>
      <c r="AU101" s="17">
        <v>1107.5</v>
      </c>
      <c r="AV101" s="17">
        <v>1190</v>
      </c>
      <c r="AW101" s="17">
        <v>211452</v>
      </c>
      <c r="AX101" s="17">
        <v>49225</v>
      </c>
      <c r="AY101" s="17">
        <v>650</v>
      </c>
      <c r="AZ101" s="17">
        <v>1163.2258064516129</v>
      </c>
      <c r="BA101" s="17">
        <v>1190</v>
      </c>
      <c r="BB101" s="17">
        <v>149202</v>
      </c>
      <c r="BC101" s="17">
        <v>73423</v>
      </c>
      <c r="BD101" s="17">
        <v>0</v>
      </c>
      <c r="BE101" s="17">
        <v>1131.3333333333333</v>
      </c>
      <c r="BF101" s="17">
        <v>1179.3333333333333</v>
      </c>
      <c r="BG101" s="17">
        <v>145126</v>
      </c>
      <c r="BH101" s="17">
        <v>42495</v>
      </c>
      <c r="BI101" s="17">
        <v>0</v>
      </c>
      <c r="BJ101" s="17">
        <v>1075.483870967742</v>
      </c>
      <c r="BK101" s="17">
        <v>1153.8709677419354</v>
      </c>
    </row>
    <row r="102" spans="1:63" x14ac:dyDescent="0.35">
      <c r="A102" s="18">
        <v>98</v>
      </c>
      <c r="B102" s="41" t="s">
        <v>246</v>
      </c>
      <c r="C102" s="19" t="s">
        <v>352</v>
      </c>
      <c r="D102" s="17">
        <v>344348</v>
      </c>
      <c r="E102" s="17">
        <v>22381</v>
      </c>
      <c r="F102" s="17">
        <v>0</v>
      </c>
      <c r="G102" s="17">
        <v>639.67741935483866</v>
      </c>
      <c r="H102" s="17">
        <v>1053.5483870967741</v>
      </c>
      <c r="I102" s="17">
        <v>309011</v>
      </c>
      <c r="J102" s="17">
        <v>21334</v>
      </c>
      <c r="K102" s="17">
        <v>0</v>
      </c>
      <c r="L102" s="17">
        <v>659.28571428571433</v>
      </c>
      <c r="M102" s="17">
        <v>1406.4285714285713</v>
      </c>
      <c r="N102" s="17">
        <v>316435</v>
      </c>
      <c r="O102" s="17">
        <v>25403</v>
      </c>
      <c r="P102" s="17">
        <v>0</v>
      </c>
      <c r="Q102" s="17">
        <v>679.0322580645161</v>
      </c>
      <c r="R102" s="17">
        <v>1585.483870967742</v>
      </c>
      <c r="S102" s="17">
        <v>306032</v>
      </c>
      <c r="T102" s="17">
        <v>22348</v>
      </c>
      <c r="U102" s="17">
        <v>0</v>
      </c>
      <c r="V102" s="17">
        <v>690</v>
      </c>
      <c r="W102" s="17">
        <v>1341</v>
      </c>
      <c r="X102" s="17">
        <v>314463</v>
      </c>
      <c r="Y102" s="17">
        <v>22219</v>
      </c>
      <c r="Z102" s="17">
        <v>0</v>
      </c>
      <c r="AA102" s="17">
        <v>728.54838709677415</v>
      </c>
      <c r="AB102" s="17">
        <v>1167.741935483871</v>
      </c>
      <c r="AC102" s="17">
        <v>243714</v>
      </c>
      <c r="AD102" s="17">
        <v>19024</v>
      </c>
      <c r="AE102" s="17">
        <v>0</v>
      </c>
      <c r="AF102" s="17">
        <v>720.66666666666663</v>
      </c>
      <c r="AG102" s="17">
        <v>1141.3333333333333</v>
      </c>
      <c r="AH102" s="17">
        <v>225809</v>
      </c>
      <c r="AI102" s="17">
        <v>16092</v>
      </c>
      <c r="AJ102" s="17">
        <v>0</v>
      </c>
      <c r="AK102" s="17">
        <v>742.25806451612902</v>
      </c>
      <c r="AL102" s="17">
        <v>1187.0967741935483</v>
      </c>
      <c r="AM102" s="17">
        <v>90</v>
      </c>
      <c r="AN102" s="17">
        <v>544</v>
      </c>
      <c r="AO102" s="17">
        <v>0</v>
      </c>
      <c r="AP102" s="17">
        <v>840.9677419354839</v>
      </c>
      <c r="AQ102" s="17">
        <v>1190</v>
      </c>
      <c r="AR102" s="17">
        <v>119595</v>
      </c>
      <c r="AS102" s="17">
        <v>7800</v>
      </c>
      <c r="AT102" s="17">
        <v>0</v>
      </c>
      <c r="AU102" s="17">
        <v>1106.3333333333333</v>
      </c>
      <c r="AV102" s="17">
        <v>1190</v>
      </c>
      <c r="AW102" s="17">
        <v>300153</v>
      </c>
      <c r="AX102" s="17">
        <v>13858</v>
      </c>
      <c r="AY102" s="17">
        <v>0</v>
      </c>
      <c r="AZ102" s="17">
        <v>1163.2258064516129</v>
      </c>
      <c r="BA102" s="17">
        <v>1190</v>
      </c>
      <c r="BB102" s="17">
        <v>261553</v>
      </c>
      <c r="BC102" s="17">
        <v>15424</v>
      </c>
      <c r="BD102" s="17">
        <v>0</v>
      </c>
      <c r="BE102" s="17">
        <v>1131.3333333333333</v>
      </c>
      <c r="BF102" s="17">
        <v>1179.3333333333333</v>
      </c>
      <c r="BG102" s="17">
        <v>262865</v>
      </c>
      <c r="BH102" s="17">
        <v>13195</v>
      </c>
      <c r="BI102" s="17">
        <v>0</v>
      </c>
      <c r="BJ102" s="17">
        <v>1075.483870967742</v>
      </c>
      <c r="BK102" s="17">
        <v>1154.516129032258</v>
      </c>
    </row>
    <row r="103" spans="1:63" x14ac:dyDescent="0.35">
      <c r="A103" s="18">
        <v>99</v>
      </c>
      <c r="B103" s="41" t="s">
        <v>240</v>
      </c>
      <c r="C103" s="19" t="s">
        <v>353</v>
      </c>
      <c r="D103" s="17">
        <v>169071</v>
      </c>
      <c r="E103" s="17">
        <v>12641</v>
      </c>
      <c r="F103" s="17">
        <v>0</v>
      </c>
      <c r="G103" s="17">
        <v>666.77419354838707</v>
      </c>
      <c r="H103" s="17">
        <v>1080.9677419354839</v>
      </c>
      <c r="I103" s="17">
        <v>132551</v>
      </c>
      <c r="J103" s="17">
        <v>10974</v>
      </c>
      <c r="K103" s="17">
        <v>0</v>
      </c>
      <c r="L103" s="17">
        <v>685.35714285714289</v>
      </c>
      <c r="M103" s="17">
        <v>1385.3571428571429</v>
      </c>
      <c r="N103" s="17">
        <v>163273</v>
      </c>
      <c r="O103" s="17">
        <v>13004</v>
      </c>
      <c r="P103" s="17">
        <v>0</v>
      </c>
      <c r="Q103" s="17">
        <v>695</v>
      </c>
      <c r="R103" s="17">
        <v>1608.0645161290322</v>
      </c>
      <c r="S103" s="17">
        <v>184626</v>
      </c>
      <c r="T103" s="17">
        <v>15534</v>
      </c>
      <c r="U103" s="17">
        <v>0</v>
      </c>
      <c r="V103" s="17">
        <v>700.5333333333333</v>
      </c>
      <c r="W103" s="17">
        <v>1440</v>
      </c>
      <c r="X103" s="17">
        <v>105029</v>
      </c>
      <c r="Y103" s="17">
        <v>10898</v>
      </c>
      <c r="Z103" s="17">
        <v>0</v>
      </c>
      <c r="AA103" s="17">
        <v>804.83870967741939</v>
      </c>
      <c r="AB103" s="17">
        <v>1254.516129032258</v>
      </c>
      <c r="AC103" s="17">
        <v>113903</v>
      </c>
      <c r="AD103" s="17">
        <v>13515</v>
      </c>
      <c r="AE103" s="17">
        <v>0</v>
      </c>
      <c r="AF103" s="17">
        <v>765.33333333333337</v>
      </c>
      <c r="AG103" s="17">
        <v>1219.6666666666667</v>
      </c>
      <c r="AH103" s="17">
        <v>123757</v>
      </c>
      <c r="AI103" s="17">
        <v>13648</v>
      </c>
      <c r="AJ103" s="17">
        <v>0</v>
      </c>
      <c r="AK103" s="17">
        <v>774.83870967741939</v>
      </c>
      <c r="AL103" s="17">
        <v>1221.6129032258063</v>
      </c>
      <c r="AM103" s="17">
        <v>76625</v>
      </c>
      <c r="AN103" s="17">
        <v>12289</v>
      </c>
      <c r="AO103" s="17">
        <v>0</v>
      </c>
      <c r="AP103" s="17">
        <v>879.35483870967744</v>
      </c>
      <c r="AQ103" s="17">
        <v>1227.4193548387098</v>
      </c>
      <c r="AR103" s="17">
        <v>137173</v>
      </c>
      <c r="AS103" s="17">
        <v>9853</v>
      </c>
      <c r="AT103" s="17">
        <v>200</v>
      </c>
      <c r="AU103" s="17">
        <v>1144.3333333333333</v>
      </c>
      <c r="AV103" s="17">
        <v>1220</v>
      </c>
      <c r="AW103" s="17">
        <v>111333</v>
      </c>
      <c r="AX103" s="17">
        <v>12168</v>
      </c>
      <c r="AY103" s="17">
        <v>0</v>
      </c>
      <c r="AZ103" s="17">
        <v>1219.3548387096773</v>
      </c>
      <c r="BA103" s="17">
        <v>1220</v>
      </c>
      <c r="BB103" s="17">
        <v>95350</v>
      </c>
      <c r="BC103" s="17">
        <v>17431</v>
      </c>
      <c r="BD103" s="17">
        <v>0</v>
      </c>
      <c r="BE103" s="17">
        <v>1156.6666666666667</v>
      </c>
      <c r="BF103" s="17">
        <v>1209</v>
      </c>
      <c r="BG103" s="17">
        <v>108733</v>
      </c>
      <c r="BH103" s="17">
        <v>18106</v>
      </c>
      <c r="BI103" s="17">
        <v>200</v>
      </c>
      <c r="BJ103" s="17">
        <v>1100.3225806451612</v>
      </c>
      <c r="BK103" s="17">
        <v>1190</v>
      </c>
    </row>
    <row r="104" spans="1:63" x14ac:dyDescent="0.35">
      <c r="A104" s="18">
        <v>100</v>
      </c>
      <c r="B104" s="41" t="s">
        <v>240</v>
      </c>
      <c r="C104" s="19" t="s">
        <v>354</v>
      </c>
      <c r="D104" s="17">
        <v>206323</v>
      </c>
      <c r="E104" s="17">
        <v>14424</v>
      </c>
      <c r="F104" s="17">
        <v>1371</v>
      </c>
      <c r="G104" s="17">
        <v>666.77419354838707</v>
      </c>
      <c r="H104" s="17">
        <v>1080.8064516129032</v>
      </c>
      <c r="I104" s="17">
        <v>176383</v>
      </c>
      <c r="J104" s="17">
        <v>13138</v>
      </c>
      <c r="K104" s="17">
        <v>0</v>
      </c>
      <c r="L104" s="17">
        <v>687.85714285714289</v>
      </c>
      <c r="M104" s="17">
        <v>1408.5714285714287</v>
      </c>
      <c r="N104" s="17">
        <v>241160</v>
      </c>
      <c r="O104" s="17">
        <v>17142</v>
      </c>
      <c r="P104" s="17">
        <v>198</v>
      </c>
      <c r="Q104" s="17">
        <v>695</v>
      </c>
      <c r="R104" s="17">
        <v>1604.8387096774193</v>
      </c>
      <c r="S104" s="17">
        <v>243571</v>
      </c>
      <c r="T104" s="17">
        <v>16159</v>
      </c>
      <c r="U104" s="17">
        <v>0</v>
      </c>
      <c r="V104" s="17">
        <v>700.5</v>
      </c>
      <c r="W104" s="17">
        <v>1440</v>
      </c>
      <c r="X104" s="17">
        <v>147452</v>
      </c>
      <c r="Y104" s="17">
        <v>9812</v>
      </c>
      <c r="Z104" s="17">
        <v>786</v>
      </c>
      <c r="AA104" s="17">
        <v>804.83870967741939</v>
      </c>
      <c r="AB104" s="17">
        <v>1254.516129032258</v>
      </c>
      <c r="AC104" s="17">
        <v>147549</v>
      </c>
      <c r="AD104" s="17">
        <v>12022</v>
      </c>
      <c r="AE104" s="17">
        <v>1320</v>
      </c>
      <c r="AF104" s="17">
        <v>765.66666666666663</v>
      </c>
      <c r="AG104" s="17">
        <v>1218</v>
      </c>
      <c r="AH104" s="17">
        <v>183537</v>
      </c>
      <c r="AI104" s="17">
        <v>10528</v>
      </c>
      <c r="AJ104" s="17">
        <v>802</v>
      </c>
      <c r="AK104" s="17">
        <v>774.83870967741939</v>
      </c>
      <c r="AL104" s="17">
        <v>1220</v>
      </c>
      <c r="AM104" s="17">
        <v>114957</v>
      </c>
      <c r="AN104" s="17">
        <v>8081</v>
      </c>
      <c r="AO104" s="17">
        <v>676</v>
      </c>
      <c r="AP104" s="17">
        <v>879.35483870967744</v>
      </c>
      <c r="AQ104" s="17">
        <v>1227.4193548387098</v>
      </c>
      <c r="AR104" s="17">
        <v>121930</v>
      </c>
      <c r="AS104" s="17">
        <v>8364</v>
      </c>
      <c r="AT104" s="17">
        <v>1001</v>
      </c>
      <c r="AU104" s="17">
        <v>1144.3333333333333</v>
      </c>
      <c r="AV104" s="17">
        <v>1220</v>
      </c>
      <c r="AW104" s="17">
        <v>168536</v>
      </c>
      <c r="AX104" s="17">
        <v>18353</v>
      </c>
      <c r="AY104" s="17">
        <v>1361</v>
      </c>
      <c r="AZ104" s="17">
        <v>1219.3548387096773</v>
      </c>
      <c r="BA104" s="17">
        <v>1220</v>
      </c>
      <c r="BB104" s="17">
        <v>151471</v>
      </c>
      <c r="BC104" s="17">
        <v>13307</v>
      </c>
      <c r="BD104" s="17">
        <v>944</v>
      </c>
      <c r="BE104" s="17">
        <v>1156.6666666666667</v>
      </c>
      <c r="BF104" s="17">
        <v>1209</v>
      </c>
      <c r="BG104" s="17">
        <v>164663</v>
      </c>
      <c r="BH104" s="17">
        <v>14696</v>
      </c>
      <c r="BI104" s="17">
        <v>1136</v>
      </c>
      <c r="BJ104" s="17">
        <v>1100.3225806451612</v>
      </c>
      <c r="BK104" s="17">
        <v>1190</v>
      </c>
    </row>
    <row r="105" spans="1:63" x14ac:dyDescent="0.35">
      <c r="A105" s="18">
        <v>101</v>
      </c>
      <c r="B105" s="41" t="s">
        <v>237</v>
      </c>
      <c r="C105" s="19" t="s">
        <v>355</v>
      </c>
      <c r="D105" s="17">
        <v>254093</v>
      </c>
      <c r="E105" s="17">
        <v>24024</v>
      </c>
      <c r="F105" s="17">
        <v>0</v>
      </c>
      <c r="G105" s="17">
        <v>650.48387096774195</v>
      </c>
      <c r="H105" s="17">
        <v>1052.741935483871</v>
      </c>
      <c r="I105" s="17">
        <v>241253</v>
      </c>
      <c r="J105" s="17">
        <v>21164</v>
      </c>
      <c r="K105" s="17">
        <v>0</v>
      </c>
      <c r="L105" s="17">
        <v>669.46428571428567</v>
      </c>
      <c r="M105" s="17">
        <v>1399.6071428571429</v>
      </c>
      <c r="N105" s="17">
        <v>178763</v>
      </c>
      <c r="O105" s="17">
        <v>20410</v>
      </c>
      <c r="P105" s="17">
        <v>0</v>
      </c>
      <c r="Q105" s="17">
        <v>695</v>
      </c>
      <c r="R105" s="17">
        <v>1590.3225806451612</v>
      </c>
      <c r="S105" s="17">
        <v>277232</v>
      </c>
      <c r="T105" s="17">
        <v>45069</v>
      </c>
      <c r="U105" s="17">
        <v>0</v>
      </c>
      <c r="V105" s="17">
        <v>694.66666666666663</v>
      </c>
      <c r="W105" s="17">
        <v>1348.3333333333333</v>
      </c>
      <c r="X105" s="17">
        <v>311612</v>
      </c>
      <c r="Y105" s="17">
        <v>30379</v>
      </c>
      <c r="Z105" s="17">
        <v>0</v>
      </c>
      <c r="AA105" s="17">
        <v>742.58064516129036</v>
      </c>
      <c r="AB105" s="17">
        <v>1195.483870967742</v>
      </c>
      <c r="AC105" s="17">
        <v>248158</v>
      </c>
      <c r="AD105" s="17">
        <v>22340</v>
      </c>
      <c r="AE105" s="17">
        <v>0</v>
      </c>
      <c r="AF105" s="17">
        <v>740.33333333333337</v>
      </c>
      <c r="AG105" s="17">
        <v>1201.3333333333333</v>
      </c>
      <c r="AH105" s="17">
        <v>313672</v>
      </c>
      <c r="AI105" s="17">
        <v>21091</v>
      </c>
      <c r="AJ105" s="17">
        <v>0</v>
      </c>
      <c r="AK105" s="17">
        <v>750.80645161290317</v>
      </c>
      <c r="AL105" s="17">
        <v>1220</v>
      </c>
      <c r="AM105" s="17">
        <v>118370</v>
      </c>
      <c r="AN105" s="17">
        <v>12421</v>
      </c>
      <c r="AO105" s="17">
        <v>0</v>
      </c>
      <c r="AP105" s="17">
        <v>867.41935483870964</v>
      </c>
      <c r="AQ105" s="17">
        <v>1220</v>
      </c>
      <c r="AR105" s="17">
        <v>173869</v>
      </c>
      <c r="AS105" s="17">
        <v>14071</v>
      </c>
      <c r="AT105" s="17">
        <v>0</v>
      </c>
      <c r="AU105" s="17">
        <v>1108.8333333333333</v>
      </c>
      <c r="AV105" s="17">
        <v>1220</v>
      </c>
      <c r="AW105" s="17">
        <v>382447</v>
      </c>
      <c r="AX105" s="17">
        <v>22723</v>
      </c>
      <c r="AY105" s="17">
        <v>0</v>
      </c>
      <c r="AZ105" s="17">
        <v>1153.2258064516129</v>
      </c>
      <c r="BA105" s="17">
        <v>1210.3225806451612</v>
      </c>
      <c r="BB105" s="17">
        <v>308387</v>
      </c>
      <c r="BC105" s="17">
        <v>33598</v>
      </c>
      <c r="BD105" s="17">
        <v>0</v>
      </c>
      <c r="BE105" s="17">
        <v>1137</v>
      </c>
      <c r="BF105" s="17">
        <v>1179.3333333333333</v>
      </c>
      <c r="BG105" s="17">
        <v>303100</v>
      </c>
      <c r="BH105" s="17">
        <v>29290</v>
      </c>
      <c r="BI105" s="17">
        <v>0</v>
      </c>
      <c r="BJ105" s="17">
        <v>1081.6129032258063</v>
      </c>
      <c r="BK105" s="17">
        <v>1153.2258064516129</v>
      </c>
    </row>
    <row r="106" spans="1:63" x14ac:dyDescent="0.35">
      <c r="A106" s="18">
        <v>102</v>
      </c>
      <c r="B106" s="41" t="s">
        <v>243</v>
      </c>
      <c r="C106" s="19" t="s">
        <v>356</v>
      </c>
      <c r="D106" s="17">
        <v>381070</v>
      </c>
      <c r="E106" s="17">
        <v>72314</v>
      </c>
      <c r="F106" s="17">
        <v>3308</v>
      </c>
      <c r="G106" s="17">
        <v>656.29032258064512</v>
      </c>
      <c r="H106" s="17">
        <v>1065.8064516129032</v>
      </c>
      <c r="I106" s="17">
        <v>344951</v>
      </c>
      <c r="J106" s="17">
        <v>71817</v>
      </c>
      <c r="K106" s="17">
        <v>2455</v>
      </c>
      <c r="L106" s="17">
        <v>668.75</v>
      </c>
      <c r="M106" s="17">
        <v>1385</v>
      </c>
      <c r="N106" s="17">
        <v>389457</v>
      </c>
      <c r="O106" s="17">
        <v>64183</v>
      </c>
      <c r="P106" s="17">
        <v>2899</v>
      </c>
      <c r="Q106" s="17">
        <v>695</v>
      </c>
      <c r="R106" s="17">
        <v>1590.3225806451612</v>
      </c>
      <c r="S106" s="17">
        <v>439452</v>
      </c>
      <c r="T106" s="17">
        <v>65630</v>
      </c>
      <c r="U106" s="17">
        <v>480</v>
      </c>
      <c r="V106" s="17">
        <v>695</v>
      </c>
      <c r="W106" s="17">
        <v>1353.6666666666667</v>
      </c>
      <c r="X106" s="17">
        <v>310892</v>
      </c>
      <c r="Y106" s="17">
        <v>71083</v>
      </c>
      <c r="Z106" s="17">
        <v>0</v>
      </c>
      <c r="AA106" s="17">
        <v>741.61290322580646</v>
      </c>
      <c r="AB106" s="17">
        <v>1197.4193548387098</v>
      </c>
      <c r="AC106" s="17">
        <v>368458</v>
      </c>
      <c r="AD106" s="17">
        <v>64111</v>
      </c>
      <c r="AE106" s="17">
        <v>1316</v>
      </c>
      <c r="AF106" s="17">
        <v>731.66666666666663</v>
      </c>
      <c r="AG106" s="17">
        <v>1182.3333333333333</v>
      </c>
      <c r="AH106" s="17">
        <v>399594</v>
      </c>
      <c r="AI106" s="17">
        <v>58638</v>
      </c>
      <c r="AJ106" s="17">
        <v>1053</v>
      </c>
      <c r="AK106" s="17">
        <v>747.58064516129036</v>
      </c>
      <c r="AL106" s="17">
        <v>1199.0322580645161</v>
      </c>
      <c r="AM106" s="17">
        <v>229846</v>
      </c>
      <c r="AN106" s="17">
        <v>48454</v>
      </c>
      <c r="AO106" s="17">
        <v>2461</v>
      </c>
      <c r="AP106" s="17">
        <v>836.45161290322585</v>
      </c>
      <c r="AQ106" s="17">
        <v>1200</v>
      </c>
      <c r="AR106" s="17">
        <v>342830</v>
      </c>
      <c r="AS106" s="17">
        <v>53423</v>
      </c>
      <c r="AT106" s="17">
        <v>3205</v>
      </c>
      <c r="AU106" s="17">
        <v>1106.8333333333333</v>
      </c>
      <c r="AV106" s="17">
        <v>1200</v>
      </c>
      <c r="AW106" s="17">
        <v>381981</v>
      </c>
      <c r="AX106" s="17">
        <v>52144</v>
      </c>
      <c r="AY106" s="17">
        <v>4536</v>
      </c>
      <c r="AZ106" s="17">
        <v>1161.6129032258063</v>
      </c>
      <c r="BA106" s="17">
        <v>1195.8064516129032</v>
      </c>
      <c r="BB106" s="17">
        <v>364802</v>
      </c>
      <c r="BC106" s="17">
        <v>54739</v>
      </c>
      <c r="BD106" s="17">
        <v>2995</v>
      </c>
      <c r="BE106" s="17">
        <v>1132.6666666666667</v>
      </c>
      <c r="BF106" s="17">
        <v>1179.3333333333333</v>
      </c>
      <c r="BG106" s="17">
        <v>402208</v>
      </c>
      <c r="BH106" s="17">
        <v>51224</v>
      </c>
      <c r="BI106" s="17">
        <v>3513</v>
      </c>
      <c r="BJ106" s="17">
        <v>1090.6451612903227</v>
      </c>
      <c r="BK106" s="17">
        <v>1153.2258064516129</v>
      </c>
    </row>
    <row r="107" spans="1:63" x14ac:dyDescent="0.35">
      <c r="A107" s="18">
        <v>103</v>
      </c>
      <c r="B107" s="41" t="s">
        <v>233</v>
      </c>
      <c r="C107" s="19" t="s">
        <v>357</v>
      </c>
      <c r="D107" s="17">
        <v>232379</v>
      </c>
      <c r="E107" s="17">
        <v>25121</v>
      </c>
      <c r="F107" s="17">
        <v>12594</v>
      </c>
      <c r="G107" s="17">
        <v>605.32258064516134</v>
      </c>
      <c r="H107" s="17">
        <v>1042.9032258064517</v>
      </c>
      <c r="I107" s="17">
        <v>276062</v>
      </c>
      <c r="J107" s="17">
        <v>33725</v>
      </c>
      <c r="K107" s="17">
        <v>15942</v>
      </c>
      <c r="L107" s="17">
        <v>632.14285714285711</v>
      </c>
      <c r="M107" s="17">
        <v>1384.2857142857142</v>
      </c>
      <c r="N107" s="17">
        <v>208714</v>
      </c>
      <c r="O107" s="17">
        <v>17360</v>
      </c>
      <c r="P107" s="17">
        <v>9996</v>
      </c>
      <c r="Q107" s="17">
        <v>633.06451612903231</v>
      </c>
      <c r="R107" s="17">
        <v>1533.8709677419354</v>
      </c>
      <c r="S107" s="17">
        <v>283342</v>
      </c>
      <c r="T107" s="17">
        <v>13513</v>
      </c>
      <c r="U107" s="17">
        <v>7035</v>
      </c>
      <c r="V107" s="17">
        <v>641.5</v>
      </c>
      <c r="W107" s="17">
        <v>1380</v>
      </c>
      <c r="X107" s="17">
        <v>169215</v>
      </c>
      <c r="Y107" s="17">
        <v>75401</v>
      </c>
      <c r="Z107" s="17">
        <v>42923</v>
      </c>
      <c r="AA107" s="17">
        <v>684.67741935483866</v>
      </c>
      <c r="AB107" s="17">
        <v>1197.4193548387098</v>
      </c>
      <c r="AC107" s="17">
        <v>239021</v>
      </c>
      <c r="AD107" s="17">
        <v>12642</v>
      </c>
      <c r="AE107" s="17">
        <v>11439</v>
      </c>
      <c r="AF107" s="17">
        <v>625</v>
      </c>
      <c r="AG107" s="17">
        <v>1201.3333333333333</v>
      </c>
      <c r="AH107" s="17">
        <v>320240</v>
      </c>
      <c r="AI107" s="17">
        <v>6368</v>
      </c>
      <c r="AJ107" s="17">
        <v>19718</v>
      </c>
      <c r="AK107" s="17">
        <v>707.74193548387098</v>
      </c>
      <c r="AL107" s="17">
        <v>1220</v>
      </c>
      <c r="AM107" s="17">
        <v>212355</v>
      </c>
      <c r="AN107" s="17">
        <v>5224</v>
      </c>
      <c r="AO107" s="17">
        <v>9569</v>
      </c>
      <c r="AP107" s="17">
        <v>791.29032258064512</v>
      </c>
      <c r="AQ107" s="17">
        <v>1220</v>
      </c>
      <c r="AR107" s="17">
        <v>185873</v>
      </c>
      <c r="AS107" s="17">
        <v>3695</v>
      </c>
      <c r="AT107" s="17">
        <v>16347</v>
      </c>
      <c r="AU107" s="17">
        <v>955.33333333333337</v>
      </c>
      <c r="AV107" s="17">
        <v>1220</v>
      </c>
      <c r="AW107" s="17">
        <v>228776</v>
      </c>
      <c r="AX107" s="17">
        <v>6780</v>
      </c>
      <c r="AY107" s="17">
        <v>13041</v>
      </c>
      <c r="AZ107" s="17">
        <v>1075.483870967742</v>
      </c>
      <c r="BA107" s="17">
        <v>1214.1935483870968</v>
      </c>
      <c r="BB107" s="17">
        <v>105690</v>
      </c>
      <c r="BC107" s="17">
        <v>6896</v>
      </c>
      <c r="BD107" s="17">
        <v>14142</v>
      </c>
      <c r="BE107" s="17">
        <v>1091.3333333333333</v>
      </c>
      <c r="BF107" s="17">
        <v>1185</v>
      </c>
      <c r="BG107" s="17">
        <v>129899</v>
      </c>
      <c r="BH107" s="17">
        <v>6335</v>
      </c>
      <c r="BI107" s="17">
        <v>9131</v>
      </c>
      <c r="BJ107" s="17">
        <v>1056.7741935483871</v>
      </c>
      <c r="BK107" s="17">
        <v>1161.6129032258063</v>
      </c>
    </row>
    <row r="108" spans="1:63" x14ac:dyDescent="0.35">
      <c r="A108" s="18">
        <v>104</v>
      </c>
      <c r="B108" s="41" t="s">
        <v>233</v>
      </c>
      <c r="C108" s="19" t="s">
        <v>358</v>
      </c>
      <c r="D108" s="17">
        <v>202963</v>
      </c>
      <c r="E108" s="17">
        <v>22295</v>
      </c>
      <c r="F108" s="17">
        <v>2856</v>
      </c>
      <c r="G108" s="17">
        <v>615.9677419354839</v>
      </c>
      <c r="H108" s="17">
        <v>1042.9032258064517</v>
      </c>
      <c r="I108" s="17">
        <v>251100</v>
      </c>
      <c r="J108" s="17">
        <v>22248</v>
      </c>
      <c r="K108" s="17">
        <v>2582</v>
      </c>
      <c r="L108" s="17">
        <v>632.14285714285711</v>
      </c>
      <c r="M108" s="17">
        <v>1384.2857142857142</v>
      </c>
      <c r="N108" s="17">
        <v>236935</v>
      </c>
      <c r="O108" s="17">
        <v>21526</v>
      </c>
      <c r="P108" s="17">
        <v>3469</v>
      </c>
      <c r="Q108" s="17">
        <v>633.06451612903231</v>
      </c>
      <c r="R108" s="17">
        <v>1533.8709677419354</v>
      </c>
      <c r="S108" s="17">
        <v>270756</v>
      </c>
      <c r="T108" s="17">
        <v>24115</v>
      </c>
      <c r="U108" s="17">
        <v>2421</v>
      </c>
      <c r="V108" s="17">
        <v>643</v>
      </c>
      <c r="W108" s="17">
        <v>1383.3333333333333</v>
      </c>
      <c r="X108" s="17">
        <v>132316</v>
      </c>
      <c r="Y108" s="17">
        <v>20298</v>
      </c>
      <c r="Z108" s="17">
        <v>2772</v>
      </c>
      <c r="AA108" s="17">
        <v>687.58064516129036</v>
      </c>
      <c r="AB108" s="17">
        <v>1224.516129032258</v>
      </c>
      <c r="AC108" s="17">
        <v>220326</v>
      </c>
      <c r="AD108" s="17">
        <v>17030</v>
      </c>
      <c r="AE108" s="17">
        <v>2614</v>
      </c>
      <c r="AF108" s="17">
        <v>634.33333333333337</v>
      </c>
      <c r="AG108" s="17">
        <v>1201.3333333333333</v>
      </c>
      <c r="AH108" s="17">
        <v>253457</v>
      </c>
      <c r="AI108" s="17">
        <v>18938</v>
      </c>
      <c r="AJ108" s="17">
        <v>2775</v>
      </c>
      <c r="AK108" s="17">
        <v>708.38709677419354</v>
      </c>
      <c r="AL108" s="17">
        <v>1220</v>
      </c>
      <c r="AM108" s="17">
        <v>160472</v>
      </c>
      <c r="AN108" s="17">
        <v>15947</v>
      </c>
      <c r="AO108" s="17">
        <v>2457</v>
      </c>
      <c r="AP108" s="17">
        <v>791.29032258064512</v>
      </c>
      <c r="AQ108" s="17">
        <v>1220</v>
      </c>
      <c r="AR108" s="17">
        <v>265084</v>
      </c>
      <c r="AS108" s="17">
        <v>14544</v>
      </c>
      <c r="AT108" s="17">
        <v>2728</v>
      </c>
      <c r="AU108" s="17">
        <v>955.33333333333337</v>
      </c>
      <c r="AV108" s="17">
        <v>1220</v>
      </c>
      <c r="AW108" s="17">
        <v>182413</v>
      </c>
      <c r="AX108" s="17">
        <v>14050</v>
      </c>
      <c r="AY108" s="17">
        <v>2506</v>
      </c>
      <c r="AZ108" s="17">
        <v>1075.483870967742</v>
      </c>
      <c r="BA108" s="17">
        <v>1214.1935483870968</v>
      </c>
      <c r="BB108" s="17">
        <v>161615</v>
      </c>
      <c r="BC108" s="17">
        <v>15744</v>
      </c>
      <c r="BD108" s="17">
        <v>2455</v>
      </c>
      <c r="BE108" s="17">
        <v>1091.3333333333333</v>
      </c>
      <c r="BF108" s="17">
        <v>1185</v>
      </c>
      <c r="BG108" s="17">
        <v>155968</v>
      </c>
      <c r="BH108" s="17">
        <v>16158</v>
      </c>
      <c r="BI108" s="17">
        <v>3041</v>
      </c>
      <c r="BJ108" s="17">
        <v>1074.1935483870968</v>
      </c>
      <c r="BK108" s="17">
        <v>1170</v>
      </c>
    </row>
    <row r="109" spans="1:63" x14ac:dyDescent="0.35">
      <c r="A109" s="18">
        <v>105</v>
      </c>
      <c r="B109" s="41" t="s">
        <v>240</v>
      </c>
      <c r="C109" s="19" t="s">
        <v>359</v>
      </c>
      <c r="D109" s="17">
        <v>244953</v>
      </c>
      <c r="E109" s="17">
        <v>17989</v>
      </c>
      <c r="F109" s="17">
        <v>631</v>
      </c>
      <c r="G109" s="17">
        <v>666.77419354838707</v>
      </c>
      <c r="H109" s="17">
        <v>1080.8064516129032</v>
      </c>
      <c r="I109" s="17">
        <v>213703</v>
      </c>
      <c r="J109" s="17">
        <v>11552</v>
      </c>
      <c r="K109" s="17">
        <v>567</v>
      </c>
      <c r="L109" s="17">
        <v>688.03571428571433</v>
      </c>
      <c r="M109" s="17">
        <v>1408.5714285714287</v>
      </c>
      <c r="N109" s="17">
        <v>233253</v>
      </c>
      <c r="O109" s="17">
        <v>9031</v>
      </c>
      <c r="P109" s="17">
        <v>527</v>
      </c>
      <c r="Q109" s="17">
        <v>700</v>
      </c>
      <c r="R109" s="17">
        <v>1604.8387096774193</v>
      </c>
      <c r="S109" s="17">
        <v>258477</v>
      </c>
      <c r="T109" s="17">
        <v>15105</v>
      </c>
      <c r="U109" s="17">
        <v>676</v>
      </c>
      <c r="V109" s="17">
        <v>704.66666666666663</v>
      </c>
      <c r="W109" s="17">
        <v>1440</v>
      </c>
      <c r="X109" s="17">
        <v>178673</v>
      </c>
      <c r="Y109" s="17">
        <v>20422</v>
      </c>
      <c r="Z109" s="17">
        <v>836</v>
      </c>
      <c r="AA109" s="17">
        <v>805.48387096774195</v>
      </c>
      <c r="AB109" s="17">
        <v>1254.516129032258</v>
      </c>
      <c r="AC109" s="17">
        <v>201577</v>
      </c>
      <c r="AD109" s="17">
        <v>22848</v>
      </c>
      <c r="AE109" s="17">
        <v>723</v>
      </c>
      <c r="AF109" s="17">
        <v>773.66666666666663</v>
      </c>
      <c r="AG109" s="17">
        <v>1251.3333333333333</v>
      </c>
      <c r="AH109" s="17">
        <v>212086</v>
      </c>
      <c r="AI109" s="17">
        <v>20115</v>
      </c>
      <c r="AJ109" s="17">
        <v>709</v>
      </c>
      <c r="AK109" s="17">
        <v>778.38709677419354</v>
      </c>
      <c r="AL109" s="17">
        <v>1270</v>
      </c>
      <c r="AM109" s="17">
        <v>132970</v>
      </c>
      <c r="AN109" s="17">
        <v>15578</v>
      </c>
      <c r="AO109" s="17">
        <v>400</v>
      </c>
      <c r="AP109" s="17">
        <v>888.06451612903231</v>
      </c>
      <c r="AQ109" s="17">
        <v>1270</v>
      </c>
      <c r="AR109" s="17">
        <v>94110</v>
      </c>
      <c r="AS109" s="17">
        <v>18331</v>
      </c>
      <c r="AT109" s="17">
        <v>249</v>
      </c>
      <c r="AU109" s="17">
        <v>1160.3333333333333</v>
      </c>
      <c r="AV109" s="17">
        <v>1270</v>
      </c>
      <c r="AW109" s="17">
        <v>164017</v>
      </c>
      <c r="AX109" s="17">
        <v>25065</v>
      </c>
      <c r="AY109" s="17">
        <v>564</v>
      </c>
      <c r="AZ109" s="17">
        <v>1225.8064516129032</v>
      </c>
      <c r="BA109" s="17">
        <v>1242.9032258064517</v>
      </c>
      <c r="BB109" s="17">
        <v>170830</v>
      </c>
      <c r="BC109" s="17">
        <v>32165</v>
      </c>
      <c r="BD109" s="17">
        <v>539</v>
      </c>
      <c r="BE109" s="17">
        <v>1163.6666666666667</v>
      </c>
      <c r="BF109" s="17">
        <v>1213.3333333333333</v>
      </c>
      <c r="BG109" s="17">
        <v>173831</v>
      </c>
      <c r="BH109" s="17">
        <v>36038</v>
      </c>
      <c r="BI109" s="17">
        <v>884</v>
      </c>
      <c r="BJ109" s="17">
        <v>1107.741935483871</v>
      </c>
      <c r="BK109" s="17">
        <v>1200</v>
      </c>
    </row>
    <row r="110" spans="1:63" x14ac:dyDescent="0.35">
      <c r="A110" s="18">
        <v>106</v>
      </c>
      <c r="B110" s="41" t="s">
        <v>233</v>
      </c>
      <c r="C110" s="19" t="s">
        <v>360</v>
      </c>
      <c r="D110" s="17">
        <v>340283</v>
      </c>
      <c r="E110" s="17">
        <v>26567</v>
      </c>
      <c r="F110" s="17">
        <v>2115</v>
      </c>
      <c r="G110" s="17">
        <v>620</v>
      </c>
      <c r="H110" s="17">
        <v>1052.258064516129</v>
      </c>
      <c r="I110" s="17">
        <v>594132</v>
      </c>
      <c r="J110" s="17">
        <v>34709</v>
      </c>
      <c r="K110" s="17">
        <v>4355</v>
      </c>
      <c r="L110" s="17">
        <v>632.14285714285711</v>
      </c>
      <c r="M110" s="17">
        <v>1384.2857142857142</v>
      </c>
      <c r="N110" s="17">
        <v>452384</v>
      </c>
      <c r="O110" s="17">
        <v>29047</v>
      </c>
      <c r="P110" s="17">
        <v>3049</v>
      </c>
      <c r="Q110" s="17">
        <v>635.48387096774195</v>
      </c>
      <c r="R110" s="17">
        <v>1533.8709677419354</v>
      </c>
      <c r="S110" s="17">
        <v>593482</v>
      </c>
      <c r="T110" s="17">
        <v>31773</v>
      </c>
      <c r="U110" s="17">
        <v>2776</v>
      </c>
      <c r="V110" s="17">
        <v>643</v>
      </c>
      <c r="W110" s="17">
        <v>1391.6666666666667</v>
      </c>
      <c r="X110" s="17">
        <v>447171</v>
      </c>
      <c r="Y110" s="17">
        <v>26716</v>
      </c>
      <c r="Z110" s="17">
        <v>1647</v>
      </c>
      <c r="AA110" s="17">
        <v>687.58064516129036</v>
      </c>
      <c r="AB110" s="17">
        <v>1224.1935483870968</v>
      </c>
      <c r="AC110" s="17">
        <v>455750</v>
      </c>
      <c r="AD110" s="17">
        <v>20034</v>
      </c>
      <c r="AE110" s="17">
        <v>2580</v>
      </c>
      <c r="AF110" s="17">
        <v>628</v>
      </c>
      <c r="AG110" s="17">
        <v>1201.3333333333333</v>
      </c>
      <c r="AH110" s="17">
        <v>595392</v>
      </c>
      <c r="AI110" s="17">
        <v>19783</v>
      </c>
      <c r="AJ110" s="17">
        <v>2431</v>
      </c>
      <c r="AK110" s="17">
        <v>720.64516129032256</v>
      </c>
      <c r="AL110" s="17">
        <v>1220</v>
      </c>
      <c r="AM110" s="17">
        <v>303632</v>
      </c>
      <c r="AN110" s="17">
        <v>13673</v>
      </c>
      <c r="AO110" s="17">
        <v>1716</v>
      </c>
      <c r="AP110" s="17">
        <v>791.29032258064512</v>
      </c>
      <c r="AQ110" s="17">
        <v>1220</v>
      </c>
      <c r="AR110" s="17">
        <v>491430</v>
      </c>
      <c r="AS110" s="17">
        <v>11411</v>
      </c>
      <c r="AT110" s="17">
        <v>2059</v>
      </c>
      <c r="AU110" s="17">
        <v>955.33333333333337</v>
      </c>
      <c r="AV110" s="17">
        <v>1220</v>
      </c>
      <c r="AW110" s="17">
        <v>496519</v>
      </c>
      <c r="AX110" s="17">
        <v>20706</v>
      </c>
      <c r="AY110" s="17">
        <v>2836</v>
      </c>
      <c r="AZ110" s="17">
        <v>1075.483870967742</v>
      </c>
      <c r="BA110" s="17">
        <v>1214.1935483870968</v>
      </c>
      <c r="BB110" s="17">
        <v>373623</v>
      </c>
      <c r="BC110" s="17">
        <v>21425</v>
      </c>
      <c r="BD110" s="17">
        <v>735</v>
      </c>
      <c r="BE110" s="17">
        <v>1091.3333333333333</v>
      </c>
      <c r="BF110" s="17">
        <v>1185</v>
      </c>
      <c r="BG110" s="17">
        <v>307012</v>
      </c>
      <c r="BH110" s="17">
        <v>48049</v>
      </c>
      <c r="BI110" s="17">
        <v>1226</v>
      </c>
      <c r="BJ110" s="17">
        <v>1066.1290322580646</v>
      </c>
      <c r="BK110" s="17">
        <v>1170</v>
      </c>
    </row>
    <row r="111" spans="1:63" x14ac:dyDescent="0.35">
      <c r="A111" s="18">
        <v>107</v>
      </c>
      <c r="B111" s="41" t="s">
        <v>243</v>
      </c>
      <c r="C111" s="20" t="s">
        <v>361</v>
      </c>
      <c r="D111" s="17">
        <v>257802</v>
      </c>
      <c r="E111" s="17">
        <v>19230</v>
      </c>
      <c r="F111" s="17">
        <v>680</v>
      </c>
      <c r="G111" s="17">
        <v>656.29032258064512</v>
      </c>
      <c r="H111" s="17">
        <v>1065.8064516129032</v>
      </c>
      <c r="I111" s="17">
        <v>294499</v>
      </c>
      <c r="J111" s="17">
        <v>19604</v>
      </c>
      <c r="K111" s="17">
        <v>1196</v>
      </c>
      <c r="L111" s="17">
        <v>669.46428571428567</v>
      </c>
      <c r="M111" s="17">
        <v>1406.4285714285713</v>
      </c>
      <c r="N111" s="17">
        <v>300064</v>
      </c>
      <c r="O111" s="17">
        <v>18066</v>
      </c>
      <c r="P111" s="17">
        <v>2477</v>
      </c>
      <c r="Q111" s="17">
        <v>695</v>
      </c>
      <c r="R111" s="17">
        <v>1590.3225806451612</v>
      </c>
      <c r="S111" s="17">
        <v>295739</v>
      </c>
      <c r="T111" s="17">
        <v>22935</v>
      </c>
      <c r="U111" s="17">
        <v>2607</v>
      </c>
      <c r="V111" s="17">
        <v>695</v>
      </c>
      <c r="W111" s="17">
        <v>1353.6666666666667</v>
      </c>
      <c r="X111" s="17">
        <v>280872</v>
      </c>
      <c r="Y111" s="17">
        <v>23778</v>
      </c>
      <c r="Z111" s="17">
        <v>1913</v>
      </c>
      <c r="AA111" s="17">
        <v>741.61290322580646</v>
      </c>
      <c r="AB111" s="17">
        <v>1197.4193548387098</v>
      </c>
      <c r="AC111" s="17">
        <v>264716</v>
      </c>
      <c r="AD111" s="17">
        <v>20968</v>
      </c>
      <c r="AE111" s="17">
        <v>1632</v>
      </c>
      <c r="AF111" s="17">
        <v>731.66666666666663</v>
      </c>
      <c r="AG111" s="17">
        <v>1182.3333333333333</v>
      </c>
      <c r="AH111" s="17">
        <v>287493</v>
      </c>
      <c r="AI111" s="17">
        <v>18557</v>
      </c>
      <c r="AJ111" s="17">
        <v>339</v>
      </c>
      <c r="AK111" s="17">
        <v>747.58064516129036</v>
      </c>
      <c r="AL111" s="17">
        <v>1199.0322580645161</v>
      </c>
      <c r="AM111" s="17">
        <v>224094</v>
      </c>
      <c r="AN111" s="17">
        <v>11343</v>
      </c>
      <c r="AO111" s="17">
        <v>774</v>
      </c>
      <c r="AP111" s="17">
        <v>836.45161290322585</v>
      </c>
      <c r="AQ111" s="17">
        <v>1200</v>
      </c>
      <c r="AR111" s="17">
        <v>272298</v>
      </c>
      <c r="AS111" s="17">
        <v>11439</v>
      </c>
      <c r="AT111" s="17">
        <v>772</v>
      </c>
      <c r="AU111" s="17">
        <v>1106.1666666666667</v>
      </c>
      <c r="AV111" s="17">
        <v>1200</v>
      </c>
      <c r="AW111" s="17">
        <v>272036</v>
      </c>
      <c r="AX111" s="17">
        <v>14599</v>
      </c>
      <c r="AY111" s="17">
        <v>347</v>
      </c>
      <c r="AZ111" s="17">
        <v>1161.6129032258063</v>
      </c>
      <c r="BA111" s="17">
        <v>1195.8064516129032</v>
      </c>
      <c r="BB111" s="17">
        <v>237714</v>
      </c>
      <c r="BC111" s="17">
        <v>15125</v>
      </c>
      <c r="BD111" s="17">
        <v>0</v>
      </c>
      <c r="BE111" s="17">
        <v>1132.6666666666667</v>
      </c>
      <c r="BF111" s="17">
        <v>1179.3333333333333</v>
      </c>
      <c r="BG111" s="17">
        <v>233159</v>
      </c>
      <c r="BH111" s="17">
        <v>17467</v>
      </c>
      <c r="BI111" s="17">
        <v>0</v>
      </c>
      <c r="BJ111" s="17">
        <v>1090.9677419354839</v>
      </c>
      <c r="BK111" s="17">
        <v>1153.2258064516129</v>
      </c>
    </row>
    <row r="112" spans="1:63" x14ac:dyDescent="0.35">
      <c r="A112" s="18">
        <v>108</v>
      </c>
      <c r="B112" s="41" t="s">
        <v>247</v>
      </c>
      <c r="C112" s="19" t="s">
        <v>362</v>
      </c>
      <c r="D112" s="17">
        <v>452004</v>
      </c>
      <c r="E112" s="17">
        <v>35122</v>
      </c>
      <c r="F112" s="17">
        <v>0</v>
      </c>
      <c r="G112" s="17">
        <v>660</v>
      </c>
      <c r="H112" s="17">
        <v>1066.7741935483871</v>
      </c>
      <c r="I112" s="17">
        <v>415558</v>
      </c>
      <c r="J112" s="17">
        <v>32846</v>
      </c>
      <c r="K112" s="17">
        <v>0</v>
      </c>
      <c r="L112" s="17">
        <v>668.75</v>
      </c>
      <c r="M112" s="17">
        <v>1372.5</v>
      </c>
      <c r="N112" s="17">
        <v>384117</v>
      </c>
      <c r="O112" s="17">
        <v>25737</v>
      </c>
      <c r="P112" s="17">
        <v>0</v>
      </c>
      <c r="Q112" s="17">
        <v>695</v>
      </c>
      <c r="R112" s="17">
        <v>1624.1935483870968</v>
      </c>
      <c r="S112" s="17">
        <v>433046</v>
      </c>
      <c r="T112" s="17">
        <v>30742</v>
      </c>
      <c r="U112" s="17">
        <v>0</v>
      </c>
      <c r="V112" s="17">
        <v>695</v>
      </c>
      <c r="W112" s="17">
        <v>1353.6666666666667</v>
      </c>
      <c r="X112" s="17">
        <v>490088</v>
      </c>
      <c r="Y112" s="17">
        <v>49012</v>
      </c>
      <c r="Z112" s="17">
        <v>0</v>
      </c>
      <c r="AA112" s="17">
        <v>755.16129032258061</v>
      </c>
      <c r="AB112" s="17">
        <v>1197.4193548387098</v>
      </c>
      <c r="AC112" s="17">
        <v>389322</v>
      </c>
      <c r="AD112" s="17">
        <v>27562</v>
      </c>
      <c r="AE112" s="17">
        <v>0</v>
      </c>
      <c r="AF112" s="17">
        <v>750</v>
      </c>
      <c r="AG112" s="17">
        <v>1200</v>
      </c>
      <c r="AH112" s="17">
        <v>398995</v>
      </c>
      <c r="AI112" s="17">
        <v>26203</v>
      </c>
      <c r="AJ112" s="17">
        <v>0</v>
      </c>
      <c r="AK112" s="17">
        <v>766.93548387096769</v>
      </c>
      <c r="AL112" s="17">
        <v>1200</v>
      </c>
      <c r="AM112" s="17">
        <v>235612</v>
      </c>
      <c r="AN112" s="17">
        <v>27752</v>
      </c>
      <c r="AO112" s="17">
        <v>0</v>
      </c>
      <c r="AP112" s="17">
        <v>867.09677419354841</v>
      </c>
      <c r="AQ112" s="17">
        <v>1200.6451612903227</v>
      </c>
      <c r="AR112" s="17">
        <v>339946</v>
      </c>
      <c r="AS112" s="17">
        <v>27235</v>
      </c>
      <c r="AT112" s="17">
        <v>0</v>
      </c>
      <c r="AU112" s="17">
        <v>1116.6666666666667</v>
      </c>
      <c r="AV112" s="17">
        <v>1200</v>
      </c>
      <c r="AW112" s="17">
        <v>341090</v>
      </c>
      <c r="AX112" s="17">
        <v>35704</v>
      </c>
      <c r="AY112" s="17">
        <v>0</v>
      </c>
      <c r="AZ112" s="17">
        <v>1162.258064516129</v>
      </c>
      <c r="BA112" s="17">
        <v>1196.1290322580646</v>
      </c>
      <c r="BB112" s="17">
        <v>361483</v>
      </c>
      <c r="BC112" s="17">
        <v>53158</v>
      </c>
      <c r="BD112" s="17">
        <v>0</v>
      </c>
      <c r="BE112" s="17">
        <v>1132.6666666666667</v>
      </c>
      <c r="BF112" s="17">
        <v>1179.3333333333333</v>
      </c>
      <c r="BG112" s="17">
        <v>390463</v>
      </c>
      <c r="BH112" s="17">
        <v>39639</v>
      </c>
      <c r="BI112" s="17">
        <v>0</v>
      </c>
      <c r="BJ112" s="17">
        <v>1087.4193548387098</v>
      </c>
      <c r="BK112" s="17">
        <v>1153.2258064516129</v>
      </c>
    </row>
    <row r="113" spans="1:63" x14ac:dyDescent="0.35">
      <c r="A113" s="18">
        <v>109</v>
      </c>
      <c r="B113" s="41" t="s">
        <v>233</v>
      </c>
      <c r="C113" s="19" t="s">
        <v>363</v>
      </c>
      <c r="D113" s="17">
        <v>473858</v>
      </c>
      <c r="E113" s="17">
        <v>60953</v>
      </c>
      <c r="F113" s="17">
        <v>0</v>
      </c>
      <c r="G113" s="17">
        <v>620</v>
      </c>
      <c r="H113" s="17">
        <v>1155.1612903225807</v>
      </c>
      <c r="I113" s="17">
        <v>718203</v>
      </c>
      <c r="J113" s="17">
        <v>156401</v>
      </c>
      <c r="K113" s="17">
        <v>0</v>
      </c>
      <c r="L113" s="17">
        <v>631.25</v>
      </c>
      <c r="M113" s="17">
        <v>1384.2857142857142</v>
      </c>
      <c r="N113" s="17">
        <v>435114</v>
      </c>
      <c r="O113" s="17">
        <v>81125</v>
      </c>
      <c r="P113" s="17">
        <v>0</v>
      </c>
      <c r="Q113" s="17">
        <v>629.83870967741939</v>
      </c>
      <c r="R113" s="17">
        <v>1650</v>
      </c>
      <c r="S113" s="17">
        <v>853782</v>
      </c>
      <c r="T113" s="17">
        <v>59052</v>
      </c>
      <c r="U113" s="17">
        <v>0</v>
      </c>
      <c r="V113" s="17">
        <v>643.83333333333337</v>
      </c>
      <c r="W113" s="17">
        <v>1448.3333333333333</v>
      </c>
      <c r="X113" s="17">
        <v>624324</v>
      </c>
      <c r="Y113" s="17">
        <v>52777</v>
      </c>
      <c r="Z113" s="17">
        <v>0</v>
      </c>
      <c r="AA113" s="17">
        <v>683.87096774193549</v>
      </c>
      <c r="AB113" s="17">
        <v>1224.516129032258</v>
      </c>
      <c r="AC113" s="17">
        <v>526218</v>
      </c>
      <c r="AD113" s="17">
        <v>80175</v>
      </c>
      <c r="AE113" s="17">
        <v>0</v>
      </c>
      <c r="AF113" s="17">
        <v>628</v>
      </c>
      <c r="AG113" s="17">
        <v>1201.3333333333333</v>
      </c>
      <c r="AH113" s="17">
        <v>781286</v>
      </c>
      <c r="AI113" s="17">
        <v>50440</v>
      </c>
      <c r="AJ113" s="17">
        <v>0</v>
      </c>
      <c r="AK113" s="17">
        <v>716.12903225806451</v>
      </c>
      <c r="AL113" s="17">
        <v>1220</v>
      </c>
      <c r="AM113" s="17">
        <v>413820</v>
      </c>
      <c r="AN113" s="17">
        <v>30777</v>
      </c>
      <c r="AO113" s="17">
        <v>0</v>
      </c>
      <c r="AP113" s="17">
        <v>786.41935483870964</v>
      </c>
      <c r="AQ113" s="17">
        <v>1220</v>
      </c>
      <c r="AR113" s="17">
        <v>612436</v>
      </c>
      <c r="AS113" s="17">
        <v>38697</v>
      </c>
      <c r="AT113" s="17">
        <v>0</v>
      </c>
      <c r="AU113" s="17">
        <v>954.66666666666663</v>
      </c>
      <c r="AV113" s="17">
        <v>1220</v>
      </c>
      <c r="AW113" s="17">
        <v>608980</v>
      </c>
      <c r="AX113" s="17">
        <v>84770</v>
      </c>
      <c r="AY113" s="17">
        <v>800</v>
      </c>
      <c r="AZ113" s="17">
        <v>1075.483870967742</v>
      </c>
      <c r="BA113" s="17">
        <v>1214.1935483870968</v>
      </c>
      <c r="BB113" s="17">
        <v>371854</v>
      </c>
      <c r="BC113" s="17">
        <v>87915</v>
      </c>
      <c r="BD113" s="17">
        <v>0</v>
      </c>
      <c r="BE113" s="17">
        <v>1091.3333333333333</v>
      </c>
      <c r="BF113" s="17">
        <v>1185</v>
      </c>
      <c r="BG113" s="17">
        <v>445137</v>
      </c>
      <c r="BH113" s="17">
        <v>82981</v>
      </c>
      <c r="BI113" s="17">
        <v>0</v>
      </c>
      <c r="BJ113" s="17">
        <v>1070.3225806451612</v>
      </c>
      <c r="BK113" s="17">
        <v>1170</v>
      </c>
    </row>
    <row r="114" spans="1:63" x14ac:dyDescent="0.35">
      <c r="A114" s="18">
        <v>110</v>
      </c>
      <c r="B114" s="41" t="s">
        <v>240</v>
      </c>
      <c r="C114" s="19" t="s">
        <v>364</v>
      </c>
      <c r="D114" s="17">
        <v>355859</v>
      </c>
      <c r="E114" s="17">
        <v>30580</v>
      </c>
      <c r="F114" s="17">
        <v>1491</v>
      </c>
      <c r="G114" s="17">
        <v>666.77419354838707</v>
      </c>
      <c r="H114" s="17">
        <v>1080.8064516129032</v>
      </c>
      <c r="I114" s="17">
        <v>319317</v>
      </c>
      <c r="J114" s="17">
        <v>28671</v>
      </c>
      <c r="K114" s="17">
        <v>1643</v>
      </c>
      <c r="L114" s="17">
        <v>687.85714285714289</v>
      </c>
      <c r="M114" s="17">
        <v>1408.5714285714287</v>
      </c>
      <c r="N114" s="17">
        <v>399189</v>
      </c>
      <c r="O114" s="17">
        <v>33717</v>
      </c>
      <c r="P114" s="17">
        <v>2451</v>
      </c>
      <c r="Q114" s="17">
        <v>695</v>
      </c>
      <c r="R114" s="17">
        <v>1604.8387096774193</v>
      </c>
      <c r="S114" s="17">
        <v>358885</v>
      </c>
      <c r="T114" s="17">
        <v>26561</v>
      </c>
      <c r="U114" s="17">
        <v>2113</v>
      </c>
      <c r="V114" s="17">
        <v>700.5</v>
      </c>
      <c r="W114" s="17">
        <v>1440</v>
      </c>
      <c r="X114" s="17">
        <v>235082</v>
      </c>
      <c r="Y114" s="17">
        <v>25890</v>
      </c>
      <c r="Z114" s="17">
        <v>1920</v>
      </c>
      <c r="AA114" s="17">
        <v>795.80645161290317</v>
      </c>
      <c r="AB114" s="17">
        <v>1245.483870967742</v>
      </c>
      <c r="AC114" s="17">
        <v>301915</v>
      </c>
      <c r="AD114" s="17">
        <v>24957</v>
      </c>
      <c r="AE114" s="17">
        <v>2072</v>
      </c>
      <c r="AF114" s="17">
        <v>753</v>
      </c>
      <c r="AG114" s="17">
        <v>1216.3333333333333</v>
      </c>
      <c r="AH114" s="17">
        <v>314304</v>
      </c>
      <c r="AI114" s="17">
        <v>21152</v>
      </c>
      <c r="AJ114" s="17">
        <v>2559</v>
      </c>
      <c r="AK114" s="17">
        <v>775.48387096774195</v>
      </c>
      <c r="AL114" s="17">
        <v>1220</v>
      </c>
      <c r="AM114" s="17">
        <v>193733</v>
      </c>
      <c r="AN114" s="17">
        <v>14741</v>
      </c>
      <c r="AO114" s="17">
        <v>1891</v>
      </c>
      <c r="AP114" s="17">
        <v>879.35483870967744</v>
      </c>
      <c r="AQ114" s="17">
        <v>1220</v>
      </c>
      <c r="AR114" s="17">
        <v>214946</v>
      </c>
      <c r="AS114" s="17">
        <v>19181</v>
      </c>
      <c r="AT114" s="17">
        <v>3237</v>
      </c>
      <c r="AU114" s="17">
        <v>1143</v>
      </c>
      <c r="AV114" s="17">
        <v>1220</v>
      </c>
      <c r="AW114" s="17">
        <v>266508</v>
      </c>
      <c r="AX114" s="17">
        <v>20817</v>
      </c>
      <c r="AY114" s="17">
        <v>2497</v>
      </c>
      <c r="AZ114" s="17">
        <v>1219.3548387096773</v>
      </c>
      <c r="BA114" s="17">
        <v>1220</v>
      </c>
      <c r="BB114" s="17">
        <v>260237</v>
      </c>
      <c r="BC114" s="17">
        <v>23830</v>
      </c>
      <c r="BD114" s="17">
        <v>1629</v>
      </c>
      <c r="BE114" s="17">
        <v>1154</v>
      </c>
      <c r="BF114" s="17">
        <v>1208.3333333333333</v>
      </c>
      <c r="BG114" s="17">
        <v>335146</v>
      </c>
      <c r="BH114" s="17">
        <v>23431</v>
      </c>
      <c r="BI114" s="17">
        <v>1737</v>
      </c>
      <c r="BJ114" s="17">
        <v>1090.3225806451612</v>
      </c>
      <c r="BK114" s="17">
        <v>1190</v>
      </c>
    </row>
    <row r="115" spans="1:63" x14ac:dyDescent="0.35">
      <c r="A115" s="18">
        <v>111</v>
      </c>
      <c r="B115" s="41" t="s">
        <v>240</v>
      </c>
      <c r="C115" s="19" t="s">
        <v>365</v>
      </c>
      <c r="D115" s="17">
        <v>249779</v>
      </c>
      <c r="E115" s="17">
        <v>26709</v>
      </c>
      <c r="F115" s="17">
        <v>1263</v>
      </c>
      <c r="G115" s="17">
        <v>666.77419354838707</v>
      </c>
      <c r="H115" s="17">
        <v>1080.8064516129032</v>
      </c>
      <c r="I115" s="17">
        <v>251540</v>
      </c>
      <c r="J115" s="17">
        <v>24298</v>
      </c>
      <c r="K115" s="17">
        <v>1870</v>
      </c>
      <c r="L115" s="17">
        <v>685</v>
      </c>
      <c r="M115" s="17">
        <v>1387.1428571428571</v>
      </c>
      <c r="N115" s="17">
        <v>284938</v>
      </c>
      <c r="O115" s="17">
        <v>38416</v>
      </c>
      <c r="P115" s="17">
        <v>2842</v>
      </c>
      <c r="Q115" s="17">
        <v>695</v>
      </c>
      <c r="R115" s="17">
        <v>1604.8387096774193</v>
      </c>
      <c r="S115" s="17">
        <v>262361</v>
      </c>
      <c r="T115" s="17">
        <v>43741</v>
      </c>
      <c r="U115" s="17">
        <v>2097</v>
      </c>
      <c r="V115" s="17">
        <v>700.5</v>
      </c>
      <c r="W115" s="17">
        <v>1440</v>
      </c>
      <c r="X115" s="17">
        <v>222237</v>
      </c>
      <c r="Y115" s="17">
        <v>41420</v>
      </c>
      <c r="Z115" s="17">
        <v>2344</v>
      </c>
      <c r="AA115" s="17">
        <v>795.80645161290317</v>
      </c>
      <c r="AB115" s="17">
        <v>1245.483870967742</v>
      </c>
      <c r="AC115" s="17">
        <v>252345</v>
      </c>
      <c r="AD115" s="17">
        <v>43399</v>
      </c>
      <c r="AE115" s="17">
        <v>2695</v>
      </c>
      <c r="AF115" s="17">
        <v>753</v>
      </c>
      <c r="AG115" s="17">
        <v>1216.3333333333333</v>
      </c>
      <c r="AH115" s="17">
        <v>269054</v>
      </c>
      <c r="AI115" s="17">
        <v>37987</v>
      </c>
      <c r="AJ115" s="17">
        <v>2560</v>
      </c>
      <c r="AK115" s="17">
        <v>775.48387096774195</v>
      </c>
      <c r="AL115" s="17">
        <v>1220</v>
      </c>
      <c r="AM115" s="17">
        <v>111737</v>
      </c>
      <c r="AN115" s="17">
        <v>33349</v>
      </c>
      <c r="AO115" s="17">
        <v>1800</v>
      </c>
      <c r="AP115" s="17">
        <v>878.38709677419354</v>
      </c>
      <c r="AQ115" s="17">
        <v>1220</v>
      </c>
      <c r="AR115" s="17">
        <v>186166</v>
      </c>
      <c r="AS115" s="17">
        <v>40471</v>
      </c>
      <c r="AT115" s="17">
        <v>2165</v>
      </c>
      <c r="AU115" s="17">
        <v>1143</v>
      </c>
      <c r="AV115" s="17">
        <v>1220</v>
      </c>
      <c r="AW115" s="17">
        <v>232276</v>
      </c>
      <c r="AX115" s="17">
        <v>39736</v>
      </c>
      <c r="AY115" s="17">
        <v>2425</v>
      </c>
      <c r="AZ115" s="17">
        <v>1219.3548387096773</v>
      </c>
      <c r="BA115" s="17">
        <v>1220</v>
      </c>
      <c r="BB115" s="17">
        <v>263992</v>
      </c>
      <c r="BC115" s="17">
        <v>52464</v>
      </c>
      <c r="BD115" s="17">
        <v>2536</v>
      </c>
      <c r="BE115" s="17">
        <v>1154</v>
      </c>
      <c r="BF115" s="17">
        <v>1209</v>
      </c>
      <c r="BG115" s="17">
        <v>300135</v>
      </c>
      <c r="BH115" s="17">
        <v>47521</v>
      </c>
      <c r="BI115" s="17">
        <v>2227</v>
      </c>
      <c r="BJ115" s="17">
        <v>1090.6451612903227</v>
      </c>
      <c r="BK115" s="17">
        <v>1190</v>
      </c>
    </row>
    <row r="116" spans="1:63" x14ac:dyDescent="0.35">
      <c r="A116" s="18">
        <v>112</v>
      </c>
      <c r="B116" s="41" t="s">
        <v>233</v>
      </c>
      <c r="C116" s="19" t="s">
        <v>366</v>
      </c>
      <c r="D116" s="17">
        <v>384676</v>
      </c>
      <c r="E116" s="17">
        <v>36755</v>
      </c>
      <c r="F116" s="17">
        <v>2414</v>
      </c>
      <c r="G116" s="17">
        <v>612.25806451612902</v>
      </c>
      <c r="H116" s="17">
        <v>1108.3870967741937</v>
      </c>
      <c r="I116" s="17">
        <v>503116</v>
      </c>
      <c r="J116" s="17">
        <v>40666</v>
      </c>
      <c r="K116" s="17">
        <v>6493</v>
      </c>
      <c r="L116" s="17">
        <v>632.14285714285711</v>
      </c>
      <c r="M116" s="17">
        <v>1384.2857142857142</v>
      </c>
      <c r="N116" s="17">
        <v>378531</v>
      </c>
      <c r="O116" s="17">
        <v>44786</v>
      </c>
      <c r="P116" s="17">
        <v>5117</v>
      </c>
      <c r="Q116" s="17">
        <v>635.48387096774195</v>
      </c>
      <c r="R116" s="17">
        <v>1591.9354838709678</v>
      </c>
      <c r="S116" s="17">
        <v>527222</v>
      </c>
      <c r="T116" s="17">
        <v>45802</v>
      </c>
      <c r="U116" s="17">
        <v>3366</v>
      </c>
      <c r="V116" s="17">
        <v>643</v>
      </c>
      <c r="W116" s="17">
        <v>1408.3333333333333</v>
      </c>
      <c r="X116" s="17">
        <v>274944</v>
      </c>
      <c r="Y116" s="17">
        <v>38966</v>
      </c>
      <c r="Z116" s="17">
        <v>2343</v>
      </c>
      <c r="AA116" s="17">
        <v>686.93548387096769</v>
      </c>
      <c r="AB116" s="17">
        <v>1224.1935483870968</v>
      </c>
      <c r="AC116" s="17">
        <v>306566</v>
      </c>
      <c r="AD116" s="17">
        <v>36076</v>
      </c>
      <c r="AE116" s="17">
        <v>2431</v>
      </c>
      <c r="AF116" s="17">
        <v>625</v>
      </c>
      <c r="AG116" s="17">
        <v>1201.3333333333333</v>
      </c>
      <c r="AH116" s="17">
        <v>274665</v>
      </c>
      <c r="AI116" s="17">
        <v>23930</v>
      </c>
      <c r="AJ116" s="17">
        <v>2559</v>
      </c>
      <c r="AK116" s="17">
        <v>707.74193548387098</v>
      </c>
      <c r="AL116" s="17">
        <v>1220</v>
      </c>
      <c r="AM116" s="17">
        <v>282156</v>
      </c>
      <c r="AN116" s="17">
        <v>24186</v>
      </c>
      <c r="AO116" s="17">
        <v>1781</v>
      </c>
      <c r="AP116" s="17">
        <v>791.29032258064512</v>
      </c>
      <c r="AQ116" s="17">
        <v>1220</v>
      </c>
      <c r="AR116" s="17">
        <v>344765</v>
      </c>
      <c r="AS116" s="17">
        <v>27196</v>
      </c>
      <c r="AT116" s="17">
        <v>1713</v>
      </c>
      <c r="AU116" s="17">
        <v>955.33333333333337</v>
      </c>
      <c r="AV116" s="17">
        <v>1220</v>
      </c>
      <c r="AW116" s="17">
        <v>291403</v>
      </c>
      <c r="AX116" s="17">
        <v>34114</v>
      </c>
      <c r="AY116" s="17">
        <v>1797</v>
      </c>
      <c r="AZ116" s="17">
        <v>1075.483870967742</v>
      </c>
      <c r="BA116" s="17">
        <v>1210.3225806451612</v>
      </c>
      <c r="BB116" s="17">
        <v>337173</v>
      </c>
      <c r="BC116" s="17">
        <v>44700</v>
      </c>
      <c r="BD116" s="17">
        <v>1824</v>
      </c>
      <c r="BE116" s="17">
        <v>1091.3333333333333</v>
      </c>
      <c r="BF116" s="17">
        <v>1185</v>
      </c>
      <c r="BG116" s="17">
        <v>344408</v>
      </c>
      <c r="BH116" s="17">
        <v>37287</v>
      </c>
      <c r="BI116" s="17">
        <v>1754</v>
      </c>
      <c r="BJ116" s="17">
        <v>1077.0967741935483</v>
      </c>
      <c r="BK116" s="17">
        <v>1170</v>
      </c>
    </row>
    <row r="117" spans="1:63" x14ac:dyDescent="0.35">
      <c r="A117" s="18">
        <v>113</v>
      </c>
      <c r="B117" s="41" t="s">
        <v>237</v>
      </c>
      <c r="C117" s="19" t="s">
        <v>367</v>
      </c>
      <c r="D117" s="17">
        <v>308077</v>
      </c>
      <c r="E117" s="17">
        <v>95549</v>
      </c>
      <c r="F117" s="17">
        <v>0</v>
      </c>
      <c r="G117" s="17">
        <v>650.48387096774195</v>
      </c>
      <c r="H117" s="17">
        <v>1047.9032258064517</v>
      </c>
      <c r="I117" s="17">
        <v>302301</v>
      </c>
      <c r="J117" s="17">
        <v>86364</v>
      </c>
      <c r="K117" s="17">
        <v>0</v>
      </c>
      <c r="L117" s="17">
        <v>669.10714285714289</v>
      </c>
      <c r="M117" s="17">
        <v>1382.8571428571429</v>
      </c>
      <c r="N117" s="17">
        <v>282906</v>
      </c>
      <c r="O117" s="17">
        <v>69449</v>
      </c>
      <c r="P117" s="17">
        <v>0</v>
      </c>
      <c r="Q117" s="17">
        <v>694.67741935483866</v>
      </c>
      <c r="R117" s="17">
        <v>1590.3225806451612</v>
      </c>
      <c r="S117" s="17">
        <v>307532</v>
      </c>
      <c r="T117" s="17">
        <v>122294</v>
      </c>
      <c r="U117" s="17">
        <v>0</v>
      </c>
      <c r="V117" s="17">
        <v>694</v>
      </c>
      <c r="W117" s="17">
        <v>1353.6666666666667</v>
      </c>
      <c r="X117" s="17">
        <v>320296</v>
      </c>
      <c r="Y117" s="17">
        <v>101950</v>
      </c>
      <c r="Z117" s="17">
        <v>0</v>
      </c>
      <c r="AA117" s="17">
        <v>742.58064516129036</v>
      </c>
      <c r="AB117" s="17">
        <v>1197.4193548387098</v>
      </c>
      <c r="AC117" s="17">
        <v>316830</v>
      </c>
      <c r="AD117" s="17">
        <v>84520</v>
      </c>
      <c r="AE117" s="17">
        <v>0</v>
      </c>
      <c r="AF117" s="17">
        <v>735.33333333333337</v>
      </c>
      <c r="AG117" s="17">
        <v>1201.3333333333333</v>
      </c>
      <c r="AH117" s="17">
        <v>386394</v>
      </c>
      <c r="AI117" s="17">
        <v>53468</v>
      </c>
      <c r="AJ117" s="17">
        <v>0</v>
      </c>
      <c r="AK117" s="17">
        <v>750.80645161290317</v>
      </c>
      <c r="AL117" s="17">
        <v>1220</v>
      </c>
      <c r="AM117" s="17">
        <v>198183</v>
      </c>
      <c r="AN117" s="17">
        <v>44034</v>
      </c>
      <c r="AO117" s="17">
        <v>0</v>
      </c>
      <c r="AP117" s="17">
        <v>866.45161290322585</v>
      </c>
      <c r="AQ117" s="17">
        <v>1220</v>
      </c>
      <c r="AR117" s="17">
        <v>240590</v>
      </c>
      <c r="AS117" s="17">
        <v>57364</v>
      </c>
      <c r="AT117" s="17">
        <v>0</v>
      </c>
      <c r="AU117" s="17">
        <v>1108.8333333333333</v>
      </c>
      <c r="AV117" s="17">
        <v>1219.3333333333333</v>
      </c>
      <c r="AW117" s="17">
        <v>355024</v>
      </c>
      <c r="AX117" s="17">
        <v>80014</v>
      </c>
      <c r="AY117" s="17">
        <v>0</v>
      </c>
      <c r="AZ117" s="17">
        <v>1150.6451612903227</v>
      </c>
      <c r="BA117" s="17">
        <v>1211.2903225806451</v>
      </c>
      <c r="BB117" s="17">
        <v>319880</v>
      </c>
      <c r="BC117" s="17">
        <v>80389</v>
      </c>
      <c r="BD117" s="17">
        <v>0</v>
      </c>
      <c r="BE117" s="17">
        <v>1138.3333333333333</v>
      </c>
      <c r="BF117" s="17">
        <v>1179.3333333333333</v>
      </c>
      <c r="BG117" s="17">
        <v>293401</v>
      </c>
      <c r="BH117" s="17">
        <v>50019</v>
      </c>
      <c r="BI117" s="17">
        <v>0</v>
      </c>
      <c r="BJ117" s="17">
        <v>1081.6129032258063</v>
      </c>
      <c r="BK117" s="17">
        <v>1153.2258064516129</v>
      </c>
    </row>
    <row r="118" spans="1:63" x14ac:dyDescent="0.35">
      <c r="A118" s="18">
        <v>114</v>
      </c>
      <c r="B118" s="41" t="s">
        <v>244</v>
      </c>
      <c r="C118" s="19" t="s">
        <v>368</v>
      </c>
      <c r="D118" s="17">
        <v>130034</v>
      </c>
      <c r="E118" s="17">
        <v>32519</v>
      </c>
      <c r="F118" s="17">
        <v>0</v>
      </c>
      <c r="G118" s="17">
        <v>668.38709677419354</v>
      </c>
      <c r="H118" s="17">
        <v>1077.4193548387098</v>
      </c>
      <c r="I118" s="17">
        <v>170920</v>
      </c>
      <c r="J118" s="17">
        <v>19833</v>
      </c>
      <c r="K118" s="17">
        <v>1</v>
      </c>
      <c r="L118" s="17">
        <v>674.46428571428567</v>
      </c>
      <c r="M118" s="17">
        <v>1392.6785714285713</v>
      </c>
      <c r="N118" s="17">
        <v>159849</v>
      </c>
      <c r="O118" s="17">
        <v>19538</v>
      </c>
      <c r="P118" s="17">
        <v>0</v>
      </c>
      <c r="Q118" s="17">
        <v>688.87096774193549</v>
      </c>
      <c r="R118" s="17">
        <v>1598.0645161290322</v>
      </c>
      <c r="S118" s="17">
        <v>212000</v>
      </c>
      <c r="T118" s="17">
        <v>17422</v>
      </c>
      <c r="U118" s="17">
        <v>0</v>
      </c>
      <c r="V118" s="17">
        <v>702.33333333333337</v>
      </c>
      <c r="W118" s="17">
        <v>1386.6666666666667</v>
      </c>
      <c r="X118" s="17">
        <v>187412</v>
      </c>
      <c r="Y118" s="17">
        <v>11426</v>
      </c>
      <c r="Z118" s="17">
        <v>0</v>
      </c>
      <c r="AA118" s="17">
        <v>810.32258064516134</v>
      </c>
      <c r="AB118" s="17">
        <v>1242.258064516129</v>
      </c>
      <c r="AC118" s="17">
        <v>102031</v>
      </c>
      <c r="AD118" s="17">
        <v>8602</v>
      </c>
      <c r="AE118" s="17">
        <v>0</v>
      </c>
      <c r="AF118" s="17">
        <v>750</v>
      </c>
      <c r="AG118" s="17">
        <v>1251.3333333333333</v>
      </c>
      <c r="AH118" s="17">
        <v>2403</v>
      </c>
      <c r="AI118" s="17">
        <v>992</v>
      </c>
      <c r="AJ118" s="17">
        <v>0</v>
      </c>
      <c r="AK118" s="17">
        <v>761.61290322580646</v>
      </c>
      <c r="AL118" s="17">
        <v>1251.9354838709678</v>
      </c>
      <c r="AM118" s="17">
        <v>0</v>
      </c>
      <c r="AN118" s="17">
        <v>0</v>
      </c>
      <c r="AO118" s="17">
        <v>0</v>
      </c>
      <c r="AP118" s="17">
        <v>831.93548387096769</v>
      </c>
      <c r="AQ118" s="17">
        <v>1238.3870967741937</v>
      </c>
      <c r="AR118" s="17">
        <v>62163</v>
      </c>
      <c r="AS118" s="17">
        <v>1396</v>
      </c>
      <c r="AT118" s="17">
        <v>0</v>
      </c>
      <c r="AU118" s="17">
        <v>1061.3333333333333</v>
      </c>
      <c r="AV118" s="17">
        <v>1220</v>
      </c>
      <c r="AW118" s="17">
        <v>181903</v>
      </c>
      <c r="AX118" s="17">
        <v>16028</v>
      </c>
      <c r="AY118" s="17">
        <v>0</v>
      </c>
      <c r="AZ118" s="17">
        <v>1197.4193548387098</v>
      </c>
      <c r="BA118" s="17">
        <v>1220</v>
      </c>
      <c r="BB118" s="17">
        <v>165210</v>
      </c>
      <c r="BC118" s="17">
        <v>12696</v>
      </c>
      <c r="BD118" s="17">
        <v>0</v>
      </c>
      <c r="BE118" s="17">
        <v>1145.8333333333333</v>
      </c>
      <c r="BF118" s="17">
        <v>1209.3333333333333</v>
      </c>
      <c r="BG118" s="17">
        <v>201472</v>
      </c>
      <c r="BH118" s="17">
        <v>13200</v>
      </c>
      <c r="BI118" s="17">
        <v>0</v>
      </c>
      <c r="BJ118" s="17">
        <v>1107.258064516129</v>
      </c>
      <c r="BK118" s="17">
        <v>1193.5483870967741</v>
      </c>
    </row>
    <row r="119" spans="1:63" x14ac:dyDescent="0.35">
      <c r="A119" s="18">
        <v>115</v>
      </c>
      <c r="B119" s="41" t="s">
        <v>232</v>
      </c>
      <c r="C119" s="19" t="s">
        <v>369</v>
      </c>
      <c r="D119" s="17">
        <v>191059</v>
      </c>
      <c r="E119" s="17">
        <v>6475</v>
      </c>
      <c r="F119" s="17">
        <v>139</v>
      </c>
      <c r="G119" s="17">
        <v>666.77419354838707</v>
      </c>
      <c r="H119" s="17">
        <v>1080.8064516129032</v>
      </c>
      <c r="I119" s="17">
        <v>139616</v>
      </c>
      <c r="J119" s="17">
        <v>2828</v>
      </c>
      <c r="K119" s="17">
        <v>122</v>
      </c>
      <c r="L119" s="17">
        <v>690.35714285714289</v>
      </c>
      <c r="M119" s="17">
        <v>1408.5714285714287</v>
      </c>
      <c r="N119" s="17">
        <v>140399</v>
      </c>
      <c r="O119" s="17">
        <v>2852</v>
      </c>
      <c r="P119" s="17">
        <v>36</v>
      </c>
      <c r="Q119" s="17">
        <v>700</v>
      </c>
      <c r="R119" s="17">
        <v>1611.2903225806451</v>
      </c>
      <c r="S119" s="17">
        <v>134930</v>
      </c>
      <c r="T119" s="17">
        <v>3077</v>
      </c>
      <c r="U119" s="17">
        <v>92</v>
      </c>
      <c r="V119" s="17">
        <v>704</v>
      </c>
      <c r="W119" s="17">
        <v>1440</v>
      </c>
      <c r="X119" s="17">
        <v>76624</v>
      </c>
      <c r="Y119" s="17">
        <v>1451</v>
      </c>
      <c r="Z119" s="17">
        <v>116</v>
      </c>
      <c r="AA119" s="17">
        <v>804.19354838709683</v>
      </c>
      <c r="AB119" s="17">
        <v>1254.516129032258</v>
      </c>
      <c r="AC119" s="17">
        <v>110316</v>
      </c>
      <c r="AD119" s="17">
        <v>3234</v>
      </c>
      <c r="AE119" s="17">
        <v>11</v>
      </c>
      <c r="AF119" s="17">
        <v>775.66666666666663</v>
      </c>
      <c r="AG119" s="17">
        <v>1251.3333333333333</v>
      </c>
      <c r="AH119" s="17">
        <v>119253</v>
      </c>
      <c r="AI119" s="17">
        <v>3121</v>
      </c>
      <c r="AJ119" s="17">
        <v>0</v>
      </c>
      <c r="AK119" s="17">
        <v>774.19354838709683</v>
      </c>
      <c r="AL119" s="17">
        <v>1270</v>
      </c>
      <c r="AM119" s="17">
        <v>83055</v>
      </c>
      <c r="AN119" s="17">
        <v>2016</v>
      </c>
      <c r="AO119" s="17">
        <v>0</v>
      </c>
      <c r="AP119" s="17">
        <v>877.74193548387098</v>
      </c>
      <c r="AQ119" s="17">
        <v>1270</v>
      </c>
      <c r="AR119" s="17">
        <v>96287</v>
      </c>
      <c r="AS119" s="17">
        <v>2346</v>
      </c>
      <c r="AT119" s="17">
        <v>0</v>
      </c>
      <c r="AU119" s="17">
        <v>1179.6666666666667</v>
      </c>
      <c r="AV119" s="17">
        <v>1270</v>
      </c>
      <c r="AW119" s="17">
        <v>67331</v>
      </c>
      <c r="AX119" s="17">
        <v>2992</v>
      </c>
      <c r="AY119" s="17">
        <v>0</v>
      </c>
      <c r="AZ119" s="17">
        <v>1227.0967741935483</v>
      </c>
      <c r="BA119" s="17">
        <v>1255.483870967742</v>
      </c>
      <c r="BB119" s="17">
        <v>87194</v>
      </c>
      <c r="BC119" s="17">
        <v>4320</v>
      </c>
      <c r="BD119" s="17">
        <v>0</v>
      </c>
      <c r="BE119" s="17">
        <v>1152</v>
      </c>
      <c r="BF119" s="17">
        <v>1209</v>
      </c>
      <c r="BG119" s="17">
        <v>108070</v>
      </c>
      <c r="BH119" s="17">
        <v>4495</v>
      </c>
      <c r="BI119" s="17">
        <v>0</v>
      </c>
      <c r="BJ119" s="17">
        <v>1100.3225806451612</v>
      </c>
      <c r="BK119" s="17">
        <v>1190</v>
      </c>
    </row>
    <row r="120" spans="1:63" x14ac:dyDescent="0.35">
      <c r="A120" s="18">
        <v>116</v>
      </c>
      <c r="B120" s="41" t="s">
        <v>247</v>
      </c>
      <c r="C120" s="19" t="s">
        <v>370</v>
      </c>
      <c r="D120" s="17">
        <v>285563</v>
      </c>
      <c r="E120" s="17">
        <v>15761</v>
      </c>
      <c r="F120" s="17">
        <v>0</v>
      </c>
      <c r="G120" s="17">
        <v>660</v>
      </c>
      <c r="H120" s="17">
        <v>1066.7741935483871</v>
      </c>
      <c r="I120" s="17">
        <v>281234</v>
      </c>
      <c r="J120" s="17">
        <v>12026</v>
      </c>
      <c r="K120" s="17">
        <v>0</v>
      </c>
      <c r="L120" s="17">
        <v>668.75</v>
      </c>
      <c r="M120" s="17">
        <v>1377.8571428571429</v>
      </c>
      <c r="N120" s="17">
        <v>329275</v>
      </c>
      <c r="O120" s="17">
        <v>14734</v>
      </c>
      <c r="P120" s="17">
        <v>0</v>
      </c>
      <c r="Q120" s="17">
        <v>695</v>
      </c>
      <c r="R120" s="17">
        <v>1596.7741935483871</v>
      </c>
      <c r="S120" s="17">
        <v>317542</v>
      </c>
      <c r="T120" s="17">
        <v>17321</v>
      </c>
      <c r="U120" s="17">
        <v>0</v>
      </c>
      <c r="V120" s="17">
        <v>695</v>
      </c>
      <c r="W120" s="17">
        <v>1353.6666666666667</v>
      </c>
      <c r="X120" s="17">
        <v>263311</v>
      </c>
      <c r="Y120" s="17">
        <v>19343</v>
      </c>
      <c r="Z120" s="17">
        <v>0</v>
      </c>
      <c r="AA120" s="17">
        <v>755.16129032258061</v>
      </c>
      <c r="AB120" s="17">
        <v>1191.6129032258063</v>
      </c>
      <c r="AC120" s="17">
        <v>260339</v>
      </c>
      <c r="AD120" s="17">
        <v>22695</v>
      </c>
      <c r="AE120" s="17">
        <v>0</v>
      </c>
      <c r="AF120" s="17">
        <v>750</v>
      </c>
      <c r="AG120" s="17">
        <v>1181.3333333333333</v>
      </c>
      <c r="AH120" s="17">
        <v>269175</v>
      </c>
      <c r="AI120" s="17">
        <v>25929</v>
      </c>
      <c r="AJ120" s="17">
        <v>0</v>
      </c>
      <c r="AK120" s="17">
        <v>766.93548387096769</v>
      </c>
      <c r="AL120" s="17">
        <v>1200</v>
      </c>
      <c r="AM120" s="17">
        <v>173886</v>
      </c>
      <c r="AN120" s="17">
        <v>18756</v>
      </c>
      <c r="AO120" s="17">
        <v>0</v>
      </c>
      <c r="AP120" s="17">
        <v>867.09677419354841</v>
      </c>
      <c r="AQ120" s="17">
        <v>1200</v>
      </c>
      <c r="AR120" s="17">
        <v>212211</v>
      </c>
      <c r="AS120" s="17">
        <v>26439</v>
      </c>
      <c r="AT120" s="17">
        <v>0</v>
      </c>
      <c r="AU120" s="17">
        <v>1117.5</v>
      </c>
      <c r="AV120" s="17">
        <v>1200</v>
      </c>
      <c r="AW120" s="17">
        <v>222921</v>
      </c>
      <c r="AX120" s="17">
        <v>23583</v>
      </c>
      <c r="AY120" s="17">
        <v>0</v>
      </c>
      <c r="AZ120" s="17">
        <v>1162.258064516129</v>
      </c>
      <c r="BA120" s="17">
        <v>1196.1290322580646</v>
      </c>
      <c r="BB120" s="17">
        <v>205546</v>
      </c>
      <c r="BC120" s="17">
        <v>25801</v>
      </c>
      <c r="BD120" s="17">
        <v>0</v>
      </c>
      <c r="BE120" s="17">
        <v>1133.3333333333333</v>
      </c>
      <c r="BF120" s="17">
        <v>1179.3333333333333</v>
      </c>
      <c r="BG120" s="17">
        <v>176594</v>
      </c>
      <c r="BH120" s="17">
        <v>26463</v>
      </c>
      <c r="BI120" s="17">
        <v>0</v>
      </c>
      <c r="BJ120" s="17">
        <v>1087.4193548387098</v>
      </c>
      <c r="BK120" s="17">
        <v>1153.2258064516129</v>
      </c>
    </row>
    <row r="121" spans="1:63" x14ac:dyDescent="0.35">
      <c r="A121" s="18">
        <v>117</v>
      </c>
      <c r="B121" s="41" t="s">
        <v>247</v>
      </c>
      <c r="C121" s="19" t="s">
        <v>371</v>
      </c>
      <c r="D121" s="17">
        <v>288253</v>
      </c>
      <c r="E121" s="17">
        <v>14705</v>
      </c>
      <c r="F121" s="17">
        <v>0</v>
      </c>
      <c r="G121" s="17">
        <v>660</v>
      </c>
      <c r="H121" s="17">
        <v>1066.7741935483871</v>
      </c>
      <c r="I121" s="17">
        <v>239645</v>
      </c>
      <c r="J121" s="17">
        <v>6190</v>
      </c>
      <c r="K121" s="17">
        <v>0</v>
      </c>
      <c r="L121" s="17">
        <v>670.17857142857144</v>
      </c>
      <c r="M121" s="17">
        <v>1377.8571428571429</v>
      </c>
      <c r="N121" s="17">
        <v>247849</v>
      </c>
      <c r="O121" s="17">
        <v>5161</v>
      </c>
      <c r="P121" s="17">
        <v>0</v>
      </c>
      <c r="Q121" s="17">
        <v>695</v>
      </c>
      <c r="R121" s="17">
        <v>1598.3870967741937</v>
      </c>
      <c r="S121" s="17">
        <v>295277</v>
      </c>
      <c r="T121" s="17">
        <v>8787</v>
      </c>
      <c r="U121" s="17">
        <v>0</v>
      </c>
      <c r="V121" s="17">
        <v>695</v>
      </c>
      <c r="W121" s="17">
        <v>1353.6666666666667</v>
      </c>
      <c r="X121" s="17">
        <v>288546</v>
      </c>
      <c r="Y121" s="17">
        <v>10776</v>
      </c>
      <c r="Z121" s="17">
        <v>0</v>
      </c>
      <c r="AA121" s="17">
        <v>755.16129032258061</v>
      </c>
      <c r="AB121" s="17">
        <v>1189.0322580645161</v>
      </c>
      <c r="AC121" s="17">
        <v>273531</v>
      </c>
      <c r="AD121" s="17">
        <v>11253</v>
      </c>
      <c r="AE121" s="17">
        <v>0</v>
      </c>
      <c r="AF121" s="17">
        <v>750</v>
      </c>
      <c r="AG121" s="17">
        <v>1181.3333333333333</v>
      </c>
      <c r="AH121" s="17">
        <v>253746</v>
      </c>
      <c r="AI121" s="17">
        <v>12654</v>
      </c>
      <c r="AJ121" s="17">
        <v>0</v>
      </c>
      <c r="AK121" s="17">
        <v>766.93548387096769</v>
      </c>
      <c r="AL121" s="17">
        <v>1200</v>
      </c>
      <c r="AM121" s="17">
        <v>197665</v>
      </c>
      <c r="AN121" s="17">
        <v>7587</v>
      </c>
      <c r="AO121" s="17">
        <v>0</v>
      </c>
      <c r="AP121" s="17">
        <v>867.09677419354841</v>
      </c>
      <c r="AQ121" s="17">
        <v>1200</v>
      </c>
      <c r="AR121" s="17">
        <v>225447</v>
      </c>
      <c r="AS121" s="17">
        <v>14126</v>
      </c>
      <c r="AT121" s="17">
        <v>0</v>
      </c>
      <c r="AU121" s="17">
        <v>1117.5</v>
      </c>
      <c r="AV121" s="17">
        <v>1200</v>
      </c>
      <c r="AW121" s="17">
        <v>244433</v>
      </c>
      <c r="AX121" s="17">
        <v>17110</v>
      </c>
      <c r="AY121" s="17">
        <v>0</v>
      </c>
      <c r="AZ121" s="17">
        <v>1162.258064516129</v>
      </c>
      <c r="BA121" s="17">
        <v>1196.1290322580646</v>
      </c>
      <c r="BB121" s="17">
        <v>216914</v>
      </c>
      <c r="BC121" s="17">
        <v>10822</v>
      </c>
      <c r="BD121" s="17">
        <v>0</v>
      </c>
      <c r="BE121" s="17">
        <v>1132.6666666666667</v>
      </c>
      <c r="BF121" s="17">
        <v>1179.3333333333333</v>
      </c>
      <c r="BG121" s="17">
        <v>207454</v>
      </c>
      <c r="BH121" s="17">
        <v>23638</v>
      </c>
      <c r="BI121" s="17">
        <v>0</v>
      </c>
      <c r="BJ121" s="17">
        <v>1087.4193548387098</v>
      </c>
      <c r="BK121" s="17">
        <v>1153.2258064516129</v>
      </c>
    </row>
    <row r="122" spans="1:63" x14ac:dyDescent="0.35">
      <c r="A122" s="18">
        <v>118</v>
      </c>
      <c r="B122" s="41" t="s">
        <v>247</v>
      </c>
      <c r="C122" s="19" t="s">
        <v>372</v>
      </c>
      <c r="D122" s="17">
        <v>362377</v>
      </c>
      <c r="E122" s="17">
        <v>34550</v>
      </c>
      <c r="F122" s="17">
        <v>0</v>
      </c>
      <c r="G122" s="17">
        <v>660</v>
      </c>
      <c r="H122" s="17">
        <v>1066.4516129032259</v>
      </c>
      <c r="I122" s="17">
        <v>297679</v>
      </c>
      <c r="J122" s="17">
        <v>16145</v>
      </c>
      <c r="K122" s="17">
        <v>0</v>
      </c>
      <c r="L122" s="17">
        <v>669.46428571428567</v>
      </c>
      <c r="M122" s="17">
        <v>1406.4285714285713</v>
      </c>
      <c r="N122" s="17">
        <v>272889</v>
      </c>
      <c r="O122" s="17">
        <v>32172</v>
      </c>
      <c r="P122" s="17">
        <v>0</v>
      </c>
      <c r="Q122" s="17">
        <v>695</v>
      </c>
      <c r="R122" s="17">
        <v>1590.3225806451612</v>
      </c>
      <c r="S122" s="17">
        <v>312839</v>
      </c>
      <c r="T122" s="17">
        <v>28629</v>
      </c>
      <c r="U122" s="17">
        <v>0</v>
      </c>
      <c r="V122" s="17">
        <v>695</v>
      </c>
      <c r="W122" s="17">
        <v>1353.6666666666667</v>
      </c>
      <c r="X122" s="17">
        <v>238073</v>
      </c>
      <c r="Y122" s="17">
        <v>20690</v>
      </c>
      <c r="Z122" s="17">
        <v>0</v>
      </c>
      <c r="AA122" s="17">
        <v>755.16129032258061</v>
      </c>
      <c r="AB122" s="17">
        <v>1189.0322580645161</v>
      </c>
      <c r="AC122" s="17">
        <v>287230</v>
      </c>
      <c r="AD122" s="17">
        <v>26695</v>
      </c>
      <c r="AE122" s="17">
        <v>0</v>
      </c>
      <c r="AF122" s="17">
        <v>750</v>
      </c>
      <c r="AG122" s="17">
        <v>1181.3333333333333</v>
      </c>
      <c r="AH122" s="17">
        <v>357854</v>
      </c>
      <c r="AI122" s="17">
        <v>26853</v>
      </c>
      <c r="AJ122" s="17">
        <v>0</v>
      </c>
      <c r="AK122" s="17">
        <v>766.93548387096769</v>
      </c>
      <c r="AL122" s="17">
        <v>1200</v>
      </c>
      <c r="AM122" s="17">
        <v>170821</v>
      </c>
      <c r="AN122" s="17">
        <v>21221</v>
      </c>
      <c r="AO122" s="17">
        <v>0</v>
      </c>
      <c r="AP122" s="17">
        <v>867.09677419354841</v>
      </c>
      <c r="AQ122" s="17">
        <v>1201.2903225806451</v>
      </c>
      <c r="AR122" s="17">
        <v>286121</v>
      </c>
      <c r="AS122" s="17">
        <v>39542</v>
      </c>
      <c r="AT122" s="17">
        <v>0</v>
      </c>
      <c r="AU122" s="17">
        <v>1117.5</v>
      </c>
      <c r="AV122" s="17">
        <v>1200</v>
      </c>
      <c r="AW122" s="17">
        <v>239496</v>
      </c>
      <c r="AX122" s="17">
        <v>26687</v>
      </c>
      <c r="AY122" s="17">
        <v>0</v>
      </c>
      <c r="AZ122" s="17">
        <v>1162.258064516129</v>
      </c>
      <c r="BA122" s="17">
        <v>1196.1290322580646</v>
      </c>
      <c r="BB122" s="17">
        <v>239772</v>
      </c>
      <c r="BC122" s="17">
        <v>34808</v>
      </c>
      <c r="BD122" s="17">
        <v>0</v>
      </c>
      <c r="BE122" s="17">
        <v>1132.6666666666667</v>
      </c>
      <c r="BF122" s="17">
        <v>1179.3333333333333</v>
      </c>
      <c r="BG122" s="17">
        <v>205912</v>
      </c>
      <c r="BH122" s="17">
        <v>26948</v>
      </c>
      <c r="BI122" s="17">
        <v>0</v>
      </c>
      <c r="BJ122" s="17">
        <v>1087.4193548387098</v>
      </c>
      <c r="BK122" s="17">
        <v>1153.2258064516129</v>
      </c>
    </row>
    <row r="123" spans="1:63" x14ac:dyDescent="0.35">
      <c r="A123" s="18">
        <v>119</v>
      </c>
      <c r="B123" s="41" t="s">
        <v>242</v>
      </c>
      <c r="C123" s="19" t="s">
        <v>373</v>
      </c>
      <c r="D123" s="17">
        <v>289502</v>
      </c>
      <c r="E123" s="17">
        <v>78076</v>
      </c>
      <c r="F123" s="17">
        <v>0</v>
      </c>
      <c r="G123" s="17">
        <v>652.25806451612902</v>
      </c>
      <c r="H123" s="17">
        <v>1057.4193548387098</v>
      </c>
      <c r="I123" s="17">
        <v>271620</v>
      </c>
      <c r="J123" s="17">
        <v>82953</v>
      </c>
      <c r="K123" s="17">
        <v>0</v>
      </c>
      <c r="L123" s="17">
        <v>669.28571428571433</v>
      </c>
      <c r="M123" s="17">
        <v>1406.4285714285713</v>
      </c>
      <c r="N123" s="17">
        <v>279503</v>
      </c>
      <c r="O123" s="17">
        <v>71314</v>
      </c>
      <c r="P123" s="17">
        <v>0</v>
      </c>
      <c r="Q123" s="17">
        <v>695</v>
      </c>
      <c r="R123" s="17">
        <v>1590.3225806451612</v>
      </c>
      <c r="S123" s="17">
        <v>258691</v>
      </c>
      <c r="T123" s="17">
        <v>77010</v>
      </c>
      <c r="U123" s="17">
        <v>0</v>
      </c>
      <c r="V123" s="17">
        <v>695</v>
      </c>
      <c r="W123" s="17">
        <v>1357</v>
      </c>
      <c r="X123" s="17">
        <v>278717</v>
      </c>
      <c r="Y123" s="17">
        <v>72348</v>
      </c>
      <c r="Z123" s="17">
        <v>0</v>
      </c>
      <c r="AA123" s="17">
        <v>740</v>
      </c>
      <c r="AB123" s="17">
        <v>1195.483870967742</v>
      </c>
      <c r="AC123" s="17">
        <v>258455</v>
      </c>
      <c r="AD123" s="17">
        <v>64454</v>
      </c>
      <c r="AE123" s="17">
        <v>0</v>
      </c>
      <c r="AF123" s="17">
        <v>728.33333333333337</v>
      </c>
      <c r="AG123" s="17">
        <v>1181.3333333333333</v>
      </c>
      <c r="AH123" s="17">
        <v>315492</v>
      </c>
      <c r="AI123" s="17">
        <v>62311</v>
      </c>
      <c r="AJ123" s="17">
        <v>0</v>
      </c>
      <c r="AK123" s="17">
        <v>745.48387096774195</v>
      </c>
      <c r="AL123" s="17">
        <v>1206.1290322580646</v>
      </c>
      <c r="AM123" s="17">
        <v>172642</v>
      </c>
      <c r="AN123" s="17">
        <v>47223</v>
      </c>
      <c r="AO123" s="17">
        <v>0</v>
      </c>
      <c r="AP123" s="17">
        <v>841.77419354838707</v>
      </c>
      <c r="AQ123" s="17">
        <v>1233.2258064516129</v>
      </c>
      <c r="AR123" s="17">
        <v>152869</v>
      </c>
      <c r="AS123" s="17">
        <v>52622</v>
      </c>
      <c r="AT123" s="17">
        <v>0</v>
      </c>
      <c r="AU123" s="17">
        <v>1107.5</v>
      </c>
      <c r="AV123" s="17">
        <v>1190</v>
      </c>
      <c r="AW123" s="17">
        <v>196316</v>
      </c>
      <c r="AX123" s="17">
        <v>56452</v>
      </c>
      <c r="AY123" s="17">
        <v>0</v>
      </c>
      <c r="AZ123" s="17">
        <v>1186.4516129032259</v>
      </c>
      <c r="BA123" s="17">
        <v>1192.9032258064517</v>
      </c>
      <c r="BB123" s="17">
        <v>197593</v>
      </c>
      <c r="BC123" s="17">
        <v>94948</v>
      </c>
      <c r="BD123" s="17">
        <v>0</v>
      </c>
      <c r="BE123" s="17">
        <v>1130.6666666666667</v>
      </c>
      <c r="BF123" s="17">
        <v>1171.3333333333333</v>
      </c>
      <c r="BG123" s="17">
        <v>241491</v>
      </c>
      <c r="BH123" s="17">
        <v>42327</v>
      </c>
      <c r="BI123" s="17">
        <v>0</v>
      </c>
      <c r="BJ123" s="17">
        <v>1079.0322580645161</v>
      </c>
      <c r="BK123" s="17">
        <v>1150</v>
      </c>
    </row>
    <row r="124" spans="1:63" x14ac:dyDescent="0.35">
      <c r="A124" s="18">
        <v>120</v>
      </c>
      <c r="B124" s="41" t="s">
        <v>242</v>
      </c>
      <c r="C124" s="19" t="s">
        <v>374</v>
      </c>
      <c r="D124" s="17">
        <v>201700</v>
      </c>
      <c r="E124" s="17">
        <v>58396</v>
      </c>
      <c r="F124" s="17">
        <v>0</v>
      </c>
      <c r="G124" s="17">
        <v>652.25806451612902</v>
      </c>
      <c r="H124" s="17">
        <v>1057.258064516129</v>
      </c>
      <c r="I124" s="17">
        <v>218291</v>
      </c>
      <c r="J124" s="17">
        <v>60747</v>
      </c>
      <c r="K124" s="17">
        <v>0</v>
      </c>
      <c r="L124" s="17">
        <v>669.28571428571433</v>
      </c>
      <c r="M124" s="17">
        <v>1406.4285714285713</v>
      </c>
      <c r="N124" s="17">
        <v>173452</v>
      </c>
      <c r="O124" s="17">
        <v>57732</v>
      </c>
      <c r="P124" s="17">
        <v>0</v>
      </c>
      <c r="Q124" s="17">
        <v>695</v>
      </c>
      <c r="R124" s="17">
        <v>1590.3225806451612</v>
      </c>
      <c r="S124" s="17">
        <v>176143</v>
      </c>
      <c r="T124" s="17">
        <v>60976</v>
      </c>
      <c r="U124" s="17">
        <v>1198</v>
      </c>
      <c r="V124" s="17">
        <v>695</v>
      </c>
      <c r="W124" s="17">
        <v>1357</v>
      </c>
      <c r="X124" s="17">
        <v>264887</v>
      </c>
      <c r="Y124" s="17">
        <v>55852</v>
      </c>
      <c r="Z124" s="17">
        <v>915</v>
      </c>
      <c r="AA124" s="17">
        <v>739.0322580645161</v>
      </c>
      <c r="AB124" s="17">
        <v>1194.8387096774193</v>
      </c>
      <c r="AC124" s="17">
        <v>187385</v>
      </c>
      <c r="AD124" s="17">
        <v>51155</v>
      </c>
      <c r="AE124" s="17">
        <v>1131</v>
      </c>
      <c r="AF124" s="17">
        <v>726.66666666666663</v>
      </c>
      <c r="AG124" s="17">
        <v>1181.3333333333333</v>
      </c>
      <c r="AH124" s="17">
        <v>299180</v>
      </c>
      <c r="AI124" s="17">
        <v>44236</v>
      </c>
      <c r="AJ124" s="17">
        <v>2483</v>
      </c>
      <c r="AK124" s="17">
        <v>745.48387096774195</v>
      </c>
      <c r="AL124" s="17">
        <v>1206.1290322580646</v>
      </c>
      <c r="AM124" s="17">
        <v>158338</v>
      </c>
      <c r="AN124" s="17">
        <v>27688</v>
      </c>
      <c r="AO124" s="17">
        <v>4097</v>
      </c>
      <c r="AP124" s="17">
        <v>841.77419354838707</v>
      </c>
      <c r="AQ124" s="17">
        <v>1226.1290322580646</v>
      </c>
      <c r="AR124" s="17">
        <v>154298</v>
      </c>
      <c r="AS124" s="17">
        <v>49515</v>
      </c>
      <c r="AT124" s="17">
        <v>2004</v>
      </c>
      <c r="AU124" s="17">
        <v>1106.8333333333333</v>
      </c>
      <c r="AV124" s="17">
        <v>1194</v>
      </c>
      <c r="AW124" s="17">
        <v>167231</v>
      </c>
      <c r="AX124" s="17">
        <v>43453</v>
      </c>
      <c r="AY124" s="17">
        <v>34045</v>
      </c>
      <c r="AZ124" s="17">
        <v>1186.4516129032259</v>
      </c>
      <c r="BA124" s="17">
        <v>1195.483870967742</v>
      </c>
      <c r="BB124" s="17">
        <v>153018</v>
      </c>
      <c r="BC124" s="17">
        <v>52221</v>
      </c>
      <c r="BD124" s="17">
        <v>1323</v>
      </c>
      <c r="BE124" s="17">
        <v>1128.6666666666667</v>
      </c>
      <c r="BF124" s="17">
        <v>1171.3333333333333</v>
      </c>
      <c r="BG124" s="17">
        <v>154692</v>
      </c>
      <c r="BH124" s="17">
        <v>30347</v>
      </c>
      <c r="BI124" s="17">
        <v>823</v>
      </c>
      <c r="BJ124" s="17">
        <v>1078.0645161290322</v>
      </c>
      <c r="BK124" s="17">
        <v>1150</v>
      </c>
    </row>
    <row r="125" spans="1:63" x14ac:dyDescent="0.35">
      <c r="A125" s="18">
        <v>121</v>
      </c>
      <c r="B125" s="41" t="s">
        <v>248</v>
      </c>
      <c r="C125" s="19" t="s">
        <v>375</v>
      </c>
      <c r="D125" s="17">
        <v>260880</v>
      </c>
      <c r="E125" s="17">
        <v>22048</v>
      </c>
      <c r="F125" s="17">
        <v>0</v>
      </c>
      <c r="G125" s="17">
        <v>654.35483870967744</v>
      </c>
      <c r="H125" s="17">
        <v>1055.9677419354839</v>
      </c>
      <c r="I125" s="17">
        <v>257773</v>
      </c>
      <c r="J125" s="17">
        <v>19115</v>
      </c>
      <c r="K125" s="17">
        <v>0</v>
      </c>
      <c r="L125" s="17">
        <v>669.46428571428567</v>
      </c>
      <c r="M125" s="17">
        <v>1406.4285714285713</v>
      </c>
      <c r="N125" s="17">
        <v>246979</v>
      </c>
      <c r="O125" s="17">
        <v>21822</v>
      </c>
      <c r="P125" s="17">
        <v>0</v>
      </c>
      <c r="Q125" s="17">
        <v>695</v>
      </c>
      <c r="R125" s="17">
        <v>1590.3225806451612</v>
      </c>
      <c r="S125" s="17">
        <v>276855</v>
      </c>
      <c r="T125" s="17">
        <v>23429</v>
      </c>
      <c r="U125" s="17">
        <v>0</v>
      </c>
      <c r="V125" s="17">
        <v>695</v>
      </c>
      <c r="W125" s="17">
        <v>1353.6666666666667</v>
      </c>
      <c r="X125" s="17">
        <v>258419</v>
      </c>
      <c r="Y125" s="17">
        <v>31235</v>
      </c>
      <c r="Z125" s="17">
        <v>0</v>
      </c>
      <c r="AA125" s="17">
        <v>742.58064516129036</v>
      </c>
      <c r="AB125" s="17">
        <v>1197.4193548387098</v>
      </c>
      <c r="AC125" s="17">
        <v>256575</v>
      </c>
      <c r="AD125" s="17">
        <v>28813</v>
      </c>
      <c r="AE125" s="17">
        <v>0</v>
      </c>
      <c r="AF125" s="17">
        <v>735.33333333333337</v>
      </c>
      <c r="AG125" s="17">
        <v>1201.3333333333333</v>
      </c>
      <c r="AH125" s="17">
        <v>261353</v>
      </c>
      <c r="AI125" s="17">
        <v>34403</v>
      </c>
      <c r="AJ125" s="17">
        <v>0</v>
      </c>
      <c r="AK125" s="17">
        <v>749.83870967741939</v>
      </c>
      <c r="AL125" s="17">
        <v>1218.7096774193549</v>
      </c>
      <c r="AM125" s="17">
        <v>159196</v>
      </c>
      <c r="AN125" s="17">
        <v>25322</v>
      </c>
      <c r="AO125" s="17">
        <v>0</v>
      </c>
      <c r="AP125" s="17">
        <v>867.41935483870964</v>
      </c>
      <c r="AQ125" s="17">
        <v>1218.0645161290322</v>
      </c>
      <c r="AR125" s="17">
        <v>198251</v>
      </c>
      <c r="AS125" s="17">
        <v>20875</v>
      </c>
      <c r="AT125" s="17">
        <v>0</v>
      </c>
      <c r="AU125" s="17">
        <v>1108.8333333333333</v>
      </c>
      <c r="AV125" s="17">
        <v>1220</v>
      </c>
      <c r="AW125" s="17">
        <v>260083</v>
      </c>
      <c r="AX125" s="17">
        <v>23318</v>
      </c>
      <c r="AY125" s="17">
        <v>0</v>
      </c>
      <c r="AZ125" s="17">
        <v>1150.6451612903227</v>
      </c>
      <c r="BA125" s="17">
        <v>1211.2903225806451</v>
      </c>
      <c r="BB125" s="17">
        <v>265563</v>
      </c>
      <c r="BC125" s="17">
        <v>32649</v>
      </c>
      <c r="BD125" s="17">
        <v>0</v>
      </c>
      <c r="BE125" s="17">
        <v>1138.3333333333333</v>
      </c>
      <c r="BF125" s="17">
        <v>1179.3333333333333</v>
      </c>
      <c r="BG125" s="17">
        <v>211526</v>
      </c>
      <c r="BH125" s="17">
        <v>28279</v>
      </c>
      <c r="BI125" s="17">
        <v>0</v>
      </c>
      <c r="BJ125" s="17">
        <v>1081.6129032258063</v>
      </c>
      <c r="BK125" s="17">
        <v>1153.2258064516129</v>
      </c>
    </row>
    <row r="126" spans="1:63" x14ac:dyDescent="0.35">
      <c r="A126" s="18">
        <v>122</v>
      </c>
      <c r="B126" s="41" t="s">
        <v>246</v>
      </c>
      <c r="C126" s="19" t="s">
        <v>376</v>
      </c>
      <c r="D126" s="17">
        <v>245504</v>
      </c>
      <c r="E126" s="17">
        <v>16691</v>
      </c>
      <c r="F126" s="17">
        <v>0</v>
      </c>
      <c r="G126" s="17">
        <v>652.25806451612902</v>
      </c>
      <c r="H126" s="17">
        <v>1056.6129032258063</v>
      </c>
      <c r="I126" s="17">
        <v>280615</v>
      </c>
      <c r="J126" s="17">
        <v>17762</v>
      </c>
      <c r="K126" s="17">
        <v>0</v>
      </c>
      <c r="L126" s="17">
        <v>669.82142857142856</v>
      </c>
      <c r="M126" s="17">
        <v>1407.1428571428571</v>
      </c>
      <c r="N126" s="17">
        <v>275382</v>
      </c>
      <c r="O126" s="17">
        <v>17437</v>
      </c>
      <c r="P126" s="17">
        <v>0</v>
      </c>
      <c r="Q126" s="17">
        <v>695</v>
      </c>
      <c r="R126" s="17">
        <v>1590.3225806451612</v>
      </c>
      <c r="S126" s="17">
        <v>290861</v>
      </c>
      <c r="T126" s="17">
        <v>30159</v>
      </c>
      <c r="U126" s="17">
        <v>0</v>
      </c>
      <c r="V126" s="17">
        <v>695</v>
      </c>
      <c r="W126" s="17">
        <v>1357</v>
      </c>
      <c r="X126" s="17">
        <v>283893</v>
      </c>
      <c r="Y126" s="17">
        <v>27029</v>
      </c>
      <c r="Z126" s="17">
        <v>0</v>
      </c>
      <c r="AA126" s="17">
        <v>741.61290322580646</v>
      </c>
      <c r="AB126" s="17">
        <v>1194.8387096774193</v>
      </c>
      <c r="AC126" s="17">
        <v>213990</v>
      </c>
      <c r="AD126" s="17">
        <v>11755</v>
      </c>
      <c r="AE126" s="17">
        <v>18</v>
      </c>
      <c r="AF126" s="17">
        <v>734.66666666666663</v>
      </c>
      <c r="AG126" s="17">
        <v>1201.3333333333333</v>
      </c>
      <c r="AH126" s="17">
        <v>282359</v>
      </c>
      <c r="AI126" s="17">
        <v>14388</v>
      </c>
      <c r="AJ126" s="17">
        <v>0</v>
      </c>
      <c r="AK126" s="17">
        <v>749.35483870967744</v>
      </c>
      <c r="AL126" s="17">
        <v>1192.9032258064517</v>
      </c>
      <c r="AM126" s="17">
        <v>188524</v>
      </c>
      <c r="AN126" s="17">
        <v>11219</v>
      </c>
      <c r="AO126" s="17">
        <v>0</v>
      </c>
      <c r="AP126" s="17">
        <v>853.22580645161293</v>
      </c>
      <c r="AQ126" s="17">
        <v>1190</v>
      </c>
      <c r="AR126" s="17">
        <v>196202</v>
      </c>
      <c r="AS126" s="17">
        <v>16603</v>
      </c>
      <c r="AT126" s="17">
        <v>0</v>
      </c>
      <c r="AU126" s="17">
        <v>1109.5</v>
      </c>
      <c r="AV126" s="17">
        <v>1190</v>
      </c>
      <c r="AW126" s="17">
        <v>207074</v>
      </c>
      <c r="AX126" s="17">
        <v>21346</v>
      </c>
      <c r="AY126" s="17">
        <v>0</v>
      </c>
      <c r="AZ126" s="17">
        <v>1176.1290322580646</v>
      </c>
      <c r="BA126" s="17">
        <v>1190</v>
      </c>
      <c r="BB126" s="17">
        <v>185538</v>
      </c>
      <c r="BC126" s="17">
        <v>18850</v>
      </c>
      <c r="BD126" s="17">
        <v>0</v>
      </c>
      <c r="BE126" s="17">
        <v>1131.3333333333333</v>
      </c>
      <c r="BF126" s="17">
        <v>1179.3333333333333</v>
      </c>
      <c r="BG126" s="17">
        <v>213230</v>
      </c>
      <c r="BH126" s="17">
        <v>14052</v>
      </c>
      <c r="BI126" s="17">
        <v>0</v>
      </c>
      <c r="BJ126" s="17">
        <v>1075.483870967742</v>
      </c>
      <c r="BK126" s="17">
        <v>1154.516129032258</v>
      </c>
    </row>
    <row r="127" spans="1:63" x14ac:dyDescent="0.35">
      <c r="A127" s="18">
        <v>123</v>
      </c>
      <c r="B127" s="41" t="s">
        <v>246</v>
      </c>
      <c r="C127" s="19" t="s">
        <v>377</v>
      </c>
      <c r="D127" s="17">
        <v>112136</v>
      </c>
      <c r="E127" s="17">
        <v>7571</v>
      </c>
      <c r="F127" s="17">
        <v>0</v>
      </c>
      <c r="G127" s="17">
        <v>652.25806451612902</v>
      </c>
      <c r="H127" s="17">
        <v>1053.3870967741937</v>
      </c>
      <c r="I127" s="17">
        <v>152515</v>
      </c>
      <c r="J127" s="17">
        <v>9169</v>
      </c>
      <c r="K127" s="17">
        <v>0</v>
      </c>
      <c r="L127" s="17">
        <v>669.82142857142856</v>
      </c>
      <c r="M127" s="17">
        <v>1406.4285714285713</v>
      </c>
      <c r="N127" s="17">
        <v>138604</v>
      </c>
      <c r="O127" s="17">
        <v>6029</v>
      </c>
      <c r="P127" s="17">
        <v>0</v>
      </c>
      <c r="Q127" s="17">
        <v>695</v>
      </c>
      <c r="R127" s="17">
        <v>1590.3225806451612</v>
      </c>
      <c r="S127" s="17">
        <v>157312</v>
      </c>
      <c r="T127" s="17">
        <v>7257</v>
      </c>
      <c r="U127" s="17">
        <v>0</v>
      </c>
      <c r="V127" s="17">
        <v>695</v>
      </c>
      <c r="W127" s="17">
        <v>1357</v>
      </c>
      <c r="X127" s="17">
        <v>212038</v>
      </c>
      <c r="Y127" s="17">
        <v>16282</v>
      </c>
      <c r="Z127" s="17">
        <v>0</v>
      </c>
      <c r="AA127" s="17">
        <v>741.61290322580646</v>
      </c>
      <c r="AB127" s="17">
        <v>1194.8387096774193</v>
      </c>
      <c r="AC127" s="17">
        <v>139300</v>
      </c>
      <c r="AD127" s="17">
        <v>13410</v>
      </c>
      <c r="AE127" s="17">
        <v>0</v>
      </c>
      <c r="AF127" s="17">
        <v>734.66666666666663</v>
      </c>
      <c r="AG127" s="17">
        <v>1201.3333333333333</v>
      </c>
      <c r="AH127" s="17">
        <v>157832</v>
      </c>
      <c r="AI127" s="17">
        <v>12634</v>
      </c>
      <c r="AJ127" s="17">
        <v>0</v>
      </c>
      <c r="AK127" s="17">
        <v>749.35483870967744</v>
      </c>
      <c r="AL127" s="17">
        <v>1192.9032258064517</v>
      </c>
      <c r="AM127" s="17">
        <v>159708</v>
      </c>
      <c r="AN127" s="17">
        <v>13915</v>
      </c>
      <c r="AO127" s="17">
        <v>0</v>
      </c>
      <c r="AP127" s="17">
        <v>853.22580645161293</v>
      </c>
      <c r="AQ127" s="17">
        <v>1190</v>
      </c>
      <c r="AR127" s="17">
        <v>218671</v>
      </c>
      <c r="AS127" s="17">
        <v>23625</v>
      </c>
      <c r="AT127" s="17">
        <v>0</v>
      </c>
      <c r="AU127" s="17">
        <v>1108.6666666666667</v>
      </c>
      <c r="AV127" s="17">
        <v>1190</v>
      </c>
      <c r="AW127" s="17">
        <v>159160</v>
      </c>
      <c r="AX127" s="17">
        <v>27392</v>
      </c>
      <c r="AY127" s="17">
        <v>0</v>
      </c>
      <c r="AZ127" s="17">
        <v>1176.1290322580646</v>
      </c>
      <c r="BA127" s="17">
        <v>1190</v>
      </c>
      <c r="BB127" s="17">
        <v>123157</v>
      </c>
      <c r="BC127" s="17">
        <v>20300</v>
      </c>
      <c r="BD127" s="17">
        <v>0</v>
      </c>
      <c r="BE127" s="17">
        <v>1131.3333333333333</v>
      </c>
      <c r="BF127" s="17">
        <v>1179.3333333333333</v>
      </c>
      <c r="BG127" s="17">
        <v>131610</v>
      </c>
      <c r="BH127" s="17">
        <v>15759</v>
      </c>
      <c r="BI127" s="17">
        <v>0</v>
      </c>
      <c r="BJ127" s="17">
        <v>1075.483870967742</v>
      </c>
      <c r="BK127" s="17">
        <v>1154.516129032258</v>
      </c>
    </row>
    <row r="128" spans="1:63" x14ac:dyDescent="0.35">
      <c r="A128" s="18">
        <v>124</v>
      </c>
      <c r="B128" s="41" t="s">
        <v>246</v>
      </c>
      <c r="C128" s="19" t="s">
        <v>378</v>
      </c>
      <c r="D128" s="17">
        <v>182765</v>
      </c>
      <c r="E128" s="17">
        <v>10817</v>
      </c>
      <c r="F128" s="17">
        <v>0</v>
      </c>
      <c r="G128" s="17">
        <v>652.25806451612902</v>
      </c>
      <c r="H128" s="17">
        <v>1057.258064516129</v>
      </c>
      <c r="I128" s="17">
        <v>183689</v>
      </c>
      <c r="J128" s="17">
        <v>7196</v>
      </c>
      <c r="K128" s="17">
        <v>0</v>
      </c>
      <c r="L128" s="17">
        <v>669.82142857142856</v>
      </c>
      <c r="M128" s="17">
        <v>1406.4285714285713</v>
      </c>
      <c r="N128" s="17">
        <v>200979</v>
      </c>
      <c r="O128" s="17">
        <v>6548</v>
      </c>
      <c r="P128" s="17">
        <v>78</v>
      </c>
      <c r="Q128" s="17">
        <v>695</v>
      </c>
      <c r="R128" s="17">
        <v>1590.3225806451612</v>
      </c>
      <c r="S128" s="17">
        <v>229389</v>
      </c>
      <c r="T128" s="17">
        <v>9444</v>
      </c>
      <c r="U128" s="17">
        <v>338</v>
      </c>
      <c r="V128" s="17">
        <v>695</v>
      </c>
      <c r="W128" s="17">
        <v>1357</v>
      </c>
      <c r="X128" s="17">
        <v>244618</v>
      </c>
      <c r="Y128" s="17">
        <v>11037</v>
      </c>
      <c r="Z128" s="17">
        <v>324</v>
      </c>
      <c r="AA128" s="17">
        <v>741.61290322580646</v>
      </c>
      <c r="AB128" s="17">
        <v>1194.8387096774193</v>
      </c>
      <c r="AC128" s="17">
        <v>151981</v>
      </c>
      <c r="AD128" s="17">
        <v>9279</v>
      </c>
      <c r="AE128" s="17">
        <v>615</v>
      </c>
      <c r="AF128" s="17">
        <v>734.66666666666663</v>
      </c>
      <c r="AG128" s="17">
        <v>1201.3333333333333</v>
      </c>
      <c r="AH128" s="17">
        <v>214381</v>
      </c>
      <c r="AI128" s="17">
        <v>6281</v>
      </c>
      <c r="AJ128" s="17">
        <v>1194</v>
      </c>
      <c r="AK128" s="17">
        <v>749.0322580645161</v>
      </c>
      <c r="AL128" s="17">
        <v>1192.9032258064517</v>
      </c>
      <c r="AM128" s="17">
        <v>120312</v>
      </c>
      <c r="AN128" s="17">
        <v>6223</v>
      </c>
      <c r="AO128" s="17">
        <v>616</v>
      </c>
      <c r="AP128" s="17">
        <v>853.22580645161293</v>
      </c>
      <c r="AQ128" s="17">
        <v>1190</v>
      </c>
      <c r="AR128" s="17">
        <v>168695</v>
      </c>
      <c r="AS128" s="17">
        <v>10484</v>
      </c>
      <c r="AT128" s="17">
        <v>133</v>
      </c>
      <c r="AU128" s="17">
        <v>1108.8333333333333</v>
      </c>
      <c r="AV128" s="17">
        <v>1190</v>
      </c>
      <c r="AW128" s="17">
        <v>166992</v>
      </c>
      <c r="AX128" s="17">
        <v>20660</v>
      </c>
      <c r="AY128" s="17">
        <v>0</v>
      </c>
      <c r="AZ128" s="17">
        <v>1176.1290322580646</v>
      </c>
      <c r="BA128" s="17">
        <v>1190</v>
      </c>
      <c r="BB128" s="17">
        <v>121925</v>
      </c>
      <c r="BC128" s="17">
        <v>19187</v>
      </c>
      <c r="BD128" s="17">
        <v>0</v>
      </c>
      <c r="BE128" s="17">
        <v>1131.3333333333333</v>
      </c>
      <c r="BF128" s="17">
        <v>1179.3333333333333</v>
      </c>
      <c r="BG128" s="17">
        <v>135851</v>
      </c>
      <c r="BH128" s="17">
        <v>17074</v>
      </c>
      <c r="BI128" s="17">
        <v>0</v>
      </c>
      <c r="BJ128" s="17">
        <v>1075.483870967742</v>
      </c>
      <c r="BK128" s="17">
        <v>1154.516129032258</v>
      </c>
    </row>
    <row r="129" spans="1:63" x14ac:dyDescent="0.35">
      <c r="A129" s="18">
        <v>125</v>
      </c>
      <c r="B129" s="41" t="s">
        <v>242</v>
      </c>
      <c r="C129" s="19" t="s">
        <v>379</v>
      </c>
      <c r="D129" s="17">
        <v>179965</v>
      </c>
      <c r="E129" s="17">
        <v>14036</v>
      </c>
      <c r="F129" s="17">
        <v>0</v>
      </c>
      <c r="G129" s="17">
        <v>652.25806451612902</v>
      </c>
      <c r="H129" s="17">
        <v>1057.4193548387098</v>
      </c>
      <c r="I129" s="17">
        <v>215734</v>
      </c>
      <c r="J129" s="17">
        <v>17530</v>
      </c>
      <c r="K129" s="17">
        <v>0</v>
      </c>
      <c r="L129" s="17">
        <v>669.28571428571433</v>
      </c>
      <c r="M129" s="17">
        <v>1406.4285714285713</v>
      </c>
      <c r="N129" s="17">
        <v>170124</v>
      </c>
      <c r="O129" s="17">
        <v>12116</v>
      </c>
      <c r="P129" s="17">
        <v>0</v>
      </c>
      <c r="Q129" s="17">
        <v>695</v>
      </c>
      <c r="R129" s="17">
        <v>1590.3225806451612</v>
      </c>
      <c r="S129" s="17">
        <v>151435</v>
      </c>
      <c r="T129" s="17">
        <v>14742</v>
      </c>
      <c r="U129" s="17">
        <v>173</v>
      </c>
      <c r="V129" s="17">
        <v>695</v>
      </c>
      <c r="W129" s="17">
        <v>1357</v>
      </c>
      <c r="X129" s="17">
        <v>244110</v>
      </c>
      <c r="Y129" s="17">
        <v>17023</v>
      </c>
      <c r="Z129" s="17">
        <v>642</v>
      </c>
      <c r="AA129" s="17">
        <v>741.61290322580646</v>
      </c>
      <c r="AB129" s="17">
        <v>1197.4193548387098</v>
      </c>
      <c r="AC129" s="17">
        <v>168601</v>
      </c>
      <c r="AD129" s="17">
        <v>11223</v>
      </c>
      <c r="AE129" s="17">
        <v>321</v>
      </c>
      <c r="AF129" s="17">
        <v>726.66666666666663</v>
      </c>
      <c r="AG129" s="17">
        <v>1181.3333333333333</v>
      </c>
      <c r="AH129" s="17">
        <v>217994</v>
      </c>
      <c r="AI129" s="17">
        <v>10256</v>
      </c>
      <c r="AJ129" s="17">
        <v>930</v>
      </c>
      <c r="AK129" s="17">
        <v>746.45161290322585</v>
      </c>
      <c r="AL129" s="17">
        <v>1207.4193548387098</v>
      </c>
      <c r="AM129" s="17">
        <v>151560</v>
      </c>
      <c r="AN129" s="17">
        <v>5369</v>
      </c>
      <c r="AO129" s="17">
        <v>1677</v>
      </c>
      <c r="AP129" s="17">
        <v>842.25806451612902</v>
      </c>
      <c r="AQ129" s="17">
        <v>1230</v>
      </c>
      <c r="AR129" s="17">
        <v>146337</v>
      </c>
      <c r="AS129" s="17">
        <v>6724</v>
      </c>
      <c r="AT129" s="17">
        <v>702</v>
      </c>
      <c r="AU129" s="17">
        <v>1107.5</v>
      </c>
      <c r="AV129" s="17">
        <v>1230</v>
      </c>
      <c r="AW129" s="17">
        <v>125798</v>
      </c>
      <c r="AX129" s="17">
        <v>8410</v>
      </c>
      <c r="AY129" s="17">
        <v>853</v>
      </c>
      <c r="AZ129" s="17">
        <v>1186.4516129032259</v>
      </c>
      <c r="BA129" s="17">
        <v>1217.4193548387098</v>
      </c>
      <c r="BB129" s="17">
        <v>102115</v>
      </c>
      <c r="BC129" s="17">
        <v>8419</v>
      </c>
      <c r="BD129" s="17">
        <v>633</v>
      </c>
      <c r="BE129" s="17">
        <v>1128.3333333333333</v>
      </c>
      <c r="BF129" s="17">
        <v>1171.3333333333333</v>
      </c>
      <c r="BG129" s="17">
        <v>118911</v>
      </c>
      <c r="BH129" s="17">
        <v>9990</v>
      </c>
      <c r="BI129" s="17">
        <v>655</v>
      </c>
      <c r="BJ129" s="17">
        <v>1071.2903225806451</v>
      </c>
      <c r="BK129" s="17">
        <v>1150</v>
      </c>
    </row>
    <row r="130" spans="1:63" x14ac:dyDescent="0.35">
      <c r="A130" s="18">
        <v>126</v>
      </c>
      <c r="B130" s="41" t="s">
        <v>231</v>
      </c>
      <c r="C130" s="19" t="s">
        <v>380</v>
      </c>
      <c r="D130" s="17">
        <v>345306</v>
      </c>
      <c r="E130" s="17">
        <v>7959</v>
      </c>
      <c r="F130" s="17">
        <v>0</v>
      </c>
      <c r="G130" s="17">
        <v>660</v>
      </c>
      <c r="H130" s="17">
        <v>1078.3870967741937</v>
      </c>
      <c r="I130" s="17">
        <v>588730</v>
      </c>
      <c r="J130" s="17">
        <v>7086</v>
      </c>
      <c r="K130" s="17">
        <v>0</v>
      </c>
      <c r="L130" s="17">
        <v>674.64285714285711</v>
      </c>
      <c r="M130" s="17">
        <v>1388.5714285714287</v>
      </c>
      <c r="N130" s="17">
        <v>439879</v>
      </c>
      <c r="O130" s="17">
        <v>2909</v>
      </c>
      <c r="P130" s="17">
        <v>0</v>
      </c>
      <c r="Q130" s="17">
        <v>695</v>
      </c>
      <c r="R130" s="17">
        <v>1603.2258064516129</v>
      </c>
      <c r="S130" s="17">
        <v>310188</v>
      </c>
      <c r="T130" s="17">
        <v>6259</v>
      </c>
      <c r="U130" s="17">
        <v>0</v>
      </c>
      <c r="V130" s="17">
        <v>696.33333333333337</v>
      </c>
      <c r="W130" s="17">
        <v>1360.5</v>
      </c>
      <c r="X130" s="17">
        <v>295856</v>
      </c>
      <c r="Y130" s="17">
        <v>20581</v>
      </c>
      <c r="Z130" s="17">
        <v>0</v>
      </c>
      <c r="AA130" s="17">
        <v>791.93548387096769</v>
      </c>
      <c r="AB130" s="17">
        <v>1229.516129032258</v>
      </c>
      <c r="AC130" s="17">
        <v>187659</v>
      </c>
      <c r="AD130" s="17">
        <v>13546</v>
      </c>
      <c r="AE130" s="17">
        <v>0</v>
      </c>
      <c r="AF130" s="17">
        <v>767.33333333333337</v>
      </c>
      <c r="AG130" s="17">
        <v>1236.3333333333333</v>
      </c>
      <c r="AH130" s="17">
        <v>253671</v>
      </c>
      <c r="AI130" s="17">
        <v>2079</v>
      </c>
      <c r="AJ130" s="17">
        <v>0</v>
      </c>
      <c r="AK130" s="17">
        <v>770.64516129032256</v>
      </c>
      <c r="AL130" s="17">
        <v>1255</v>
      </c>
      <c r="AM130" s="17">
        <v>119009</v>
      </c>
      <c r="AN130" s="17">
        <v>5375</v>
      </c>
      <c r="AO130" s="17">
        <v>0</v>
      </c>
      <c r="AP130" s="17">
        <v>875.80645161290317</v>
      </c>
      <c r="AQ130" s="17">
        <v>1255</v>
      </c>
      <c r="AR130" s="17">
        <v>197502</v>
      </c>
      <c r="AS130" s="17">
        <v>5752</v>
      </c>
      <c r="AT130" s="17">
        <v>0</v>
      </c>
      <c r="AU130" s="17">
        <v>1064.6666666666667</v>
      </c>
      <c r="AV130" s="17">
        <v>1254.3333333333333</v>
      </c>
      <c r="AW130" s="17">
        <v>179004</v>
      </c>
      <c r="AX130" s="17">
        <v>8576</v>
      </c>
      <c r="AY130" s="17">
        <v>0</v>
      </c>
      <c r="AZ130" s="17">
        <v>1206.4516129032259</v>
      </c>
      <c r="BA130" s="17">
        <v>1244.516129032258</v>
      </c>
      <c r="BB130" s="17">
        <v>154470</v>
      </c>
      <c r="BC130" s="17">
        <v>14622</v>
      </c>
      <c r="BD130" s="17">
        <v>413</v>
      </c>
      <c r="BE130" s="17">
        <v>1142.5</v>
      </c>
      <c r="BF130" s="17">
        <v>1216.3333333333333</v>
      </c>
      <c r="BG130" s="17">
        <v>197576</v>
      </c>
      <c r="BH130" s="17">
        <v>17948</v>
      </c>
      <c r="BI130" s="17">
        <v>0</v>
      </c>
      <c r="BJ130" s="17">
        <v>1079.3548387096773</v>
      </c>
      <c r="BK130" s="17">
        <v>1200</v>
      </c>
    </row>
    <row r="131" spans="1:63" x14ac:dyDescent="0.35">
      <c r="A131" s="18">
        <v>127</v>
      </c>
      <c r="B131" s="41" t="s">
        <v>238</v>
      </c>
      <c r="C131" s="19" t="s">
        <v>381</v>
      </c>
      <c r="D131" s="17">
        <v>1415623</v>
      </c>
      <c r="E131" s="17">
        <v>500950</v>
      </c>
      <c r="F131" s="17">
        <v>1300</v>
      </c>
      <c r="G131" s="17">
        <v>650.48387096774195</v>
      </c>
      <c r="H131" s="17">
        <v>1044.8387096774193</v>
      </c>
      <c r="I131" s="17">
        <v>1085673</v>
      </c>
      <c r="J131" s="17">
        <v>501891</v>
      </c>
      <c r="K131" s="17">
        <v>1300</v>
      </c>
      <c r="L131" s="17">
        <v>667.32142857142856</v>
      </c>
      <c r="M131" s="17">
        <v>1393.2142857142858</v>
      </c>
      <c r="N131" s="17">
        <v>1238720</v>
      </c>
      <c r="O131" s="17">
        <v>488095</v>
      </c>
      <c r="P131" s="17">
        <v>0</v>
      </c>
      <c r="Q131" s="17">
        <v>680</v>
      </c>
      <c r="R131" s="17">
        <v>1562.9032258064517</v>
      </c>
      <c r="S131" s="17">
        <v>1332486</v>
      </c>
      <c r="T131" s="17">
        <v>576372</v>
      </c>
      <c r="U131" s="17">
        <v>0</v>
      </c>
      <c r="V131" s="17">
        <v>680</v>
      </c>
      <c r="W131" s="17">
        <v>1339.3333333333333</v>
      </c>
      <c r="X131" s="17">
        <v>1397742</v>
      </c>
      <c r="Y131" s="17">
        <v>542663</v>
      </c>
      <c r="Z131" s="17">
        <v>9</v>
      </c>
      <c r="AA131" s="17">
        <v>718.70967741935488</v>
      </c>
      <c r="AB131" s="17">
        <v>1183.8709677419354</v>
      </c>
      <c r="AC131" s="17">
        <v>1232177</v>
      </c>
      <c r="AD131" s="17">
        <v>554014</v>
      </c>
      <c r="AE131" s="17">
        <v>0</v>
      </c>
      <c r="AF131" s="17">
        <v>717.5</v>
      </c>
      <c r="AG131" s="17">
        <v>1171.6666666666667</v>
      </c>
      <c r="AH131" s="17">
        <v>1415173</v>
      </c>
      <c r="AI131" s="17">
        <v>531006</v>
      </c>
      <c r="AJ131" s="17">
        <v>0</v>
      </c>
      <c r="AK131" s="17">
        <v>742.25806451612902</v>
      </c>
      <c r="AL131" s="17">
        <v>1197.0967741935483</v>
      </c>
      <c r="AM131" s="17">
        <v>999591</v>
      </c>
      <c r="AN131" s="17">
        <v>371990</v>
      </c>
      <c r="AO131" s="17">
        <v>0</v>
      </c>
      <c r="AP131" s="17">
        <v>826.45161290322585</v>
      </c>
      <c r="AQ131" s="17">
        <v>1200.6451612903227</v>
      </c>
      <c r="AR131" s="17">
        <v>1237179</v>
      </c>
      <c r="AS131" s="17">
        <v>519923</v>
      </c>
      <c r="AT131" s="17">
        <v>0</v>
      </c>
      <c r="AU131" s="17">
        <v>1055.1666666666667</v>
      </c>
      <c r="AV131" s="17">
        <v>1193.6666666666667</v>
      </c>
      <c r="AW131" s="17">
        <v>1063344</v>
      </c>
      <c r="AX131" s="17">
        <v>582785</v>
      </c>
      <c r="AY131" s="17">
        <v>0</v>
      </c>
      <c r="AZ131" s="17">
        <v>1145.483870967742</v>
      </c>
      <c r="BA131" s="17">
        <v>1186.7741935483871</v>
      </c>
      <c r="BB131" s="17">
        <v>920845</v>
      </c>
      <c r="BC131" s="17">
        <v>614113</v>
      </c>
      <c r="BD131" s="17">
        <v>0</v>
      </c>
      <c r="BE131" s="17">
        <v>1127.6666666666667</v>
      </c>
      <c r="BF131" s="17">
        <v>1161.6666666666667</v>
      </c>
      <c r="BG131" s="17">
        <v>1121267</v>
      </c>
      <c r="BH131" s="17">
        <v>587438</v>
      </c>
      <c r="BI131" s="17">
        <v>0</v>
      </c>
      <c r="BJ131" s="17">
        <v>1081.2903225806451</v>
      </c>
      <c r="BK131" s="17">
        <v>1150</v>
      </c>
    </row>
    <row r="132" spans="1:63" x14ac:dyDescent="0.35">
      <c r="A132" s="18">
        <v>128</v>
      </c>
      <c r="B132" s="41" t="s">
        <v>243</v>
      </c>
      <c r="C132" s="19" t="s">
        <v>382</v>
      </c>
      <c r="D132" s="17">
        <v>118520</v>
      </c>
      <c r="E132" s="17">
        <v>7187</v>
      </c>
      <c r="F132" s="17">
        <v>0</v>
      </c>
      <c r="G132" s="17">
        <v>656.29032258064512</v>
      </c>
      <c r="H132" s="17">
        <v>1066.7741935483871</v>
      </c>
      <c r="I132" s="17">
        <v>107234</v>
      </c>
      <c r="J132" s="17">
        <v>6757</v>
      </c>
      <c r="K132" s="17">
        <v>0</v>
      </c>
      <c r="L132" s="17">
        <v>669.10714285714289</v>
      </c>
      <c r="M132" s="17">
        <v>1406.4285714285713</v>
      </c>
      <c r="N132" s="17">
        <v>120459</v>
      </c>
      <c r="O132" s="17">
        <v>7092</v>
      </c>
      <c r="P132" s="17">
        <v>0</v>
      </c>
      <c r="Q132" s="17">
        <v>695</v>
      </c>
      <c r="R132" s="17">
        <v>1588.7096774193549</v>
      </c>
      <c r="S132" s="17">
        <v>137428</v>
      </c>
      <c r="T132" s="17">
        <v>11165</v>
      </c>
      <c r="U132" s="17">
        <v>0</v>
      </c>
      <c r="V132" s="17">
        <v>689.83333333333337</v>
      </c>
      <c r="W132" s="17">
        <v>1339.3333333333333</v>
      </c>
      <c r="X132" s="17">
        <v>139514</v>
      </c>
      <c r="Y132" s="17">
        <v>9736</v>
      </c>
      <c r="Z132" s="17">
        <v>0</v>
      </c>
      <c r="AA132" s="17">
        <v>717.90322580645159</v>
      </c>
      <c r="AB132" s="17">
        <v>1187.0967741935483</v>
      </c>
      <c r="AC132" s="17">
        <v>134066</v>
      </c>
      <c r="AD132" s="17">
        <v>10075</v>
      </c>
      <c r="AE132" s="17">
        <v>0</v>
      </c>
      <c r="AF132" s="17">
        <v>725</v>
      </c>
      <c r="AG132" s="17">
        <v>1183.3333333333333</v>
      </c>
      <c r="AH132" s="17">
        <v>131835</v>
      </c>
      <c r="AI132" s="17">
        <v>11716</v>
      </c>
      <c r="AJ132" s="17">
        <v>0</v>
      </c>
      <c r="AK132" s="17">
        <v>756.61290322580646</v>
      </c>
      <c r="AL132" s="17">
        <v>1190.6451612903227</v>
      </c>
      <c r="AM132" s="17">
        <v>90492</v>
      </c>
      <c r="AN132" s="17">
        <v>4380</v>
      </c>
      <c r="AO132" s="17">
        <v>0</v>
      </c>
      <c r="AP132" s="17">
        <v>867.09677419354841</v>
      </c>
      <c r="AQ132" s="17">
        <v>1190.9677419354839</v>
      </c>
      <c r="AR132" s="17">
        <v>135955</v>
      </c>
      <c r="AS132" s="17">
        <v>13241</v>
      </c>
      <c r="AT132" s="17">
        <v>0</v>
      </c>
      <c r="AU132" s="17">
        <v>1104.5</v>
      </c>
      <c r="AV132" s="17">
        <v>1190</v>
      </c>
      <c r="AW132" s="17">
        <v>115108</v>
      </c>
      <c r="AX132" s="17">
        <v>16134</v>
      </c>
      <c r="AY132" s="17">
        <v>0</v>
      </c>
      <c r="AZ132" s="17">
        <v>1160</v>
      </c>
      <c r="BA132" s="17">
        <v>1193.8709677419354</v>
      </c>
      <c r="BB132" s="17">
        <v>107372</v>
      </c>
      <c r="BC132" s="17">
        <v>21615</v>
      </c>
      <c r="BD132" s="17">
        <v>0</v>
      </c>
      <c r="BE132" s="17">
        <v>1127.3333333333333</v>
      </c>
      <c r="BF132" s="17">
        <v>1168.6666666666667</v>
      </c>
      <c r="BG132" s="17">
        <v>132694</v>
      </c>
      <c r="BH132" s="17">
        <v>20141</v>
      </c>
      <c r="BI132" s="17">
        <v>0</v>
      </c>
      <c r="BJ132" s="17">
        <v>1080</v>
      </c>
      <c r="BK132" s="17">
        <v>1150</v>
      </c>
    </row>
    <row r="133" spans="1:63" x14ac:dyDescent="0.35">
      <c r="A133" s="18">
        <v>129</v>
      </c>
      <c r="B133" s="41" t="s">
        <v>248</v>
      </c>
      <c r="C133" s="19" t="s">
        <v>383</v>
      </c>
      <c r="D133" s="17">
        <v>359766</v>
      </c>
      <c r="E133" s="17">
        <v>76675</v>
      </c>
      <c r="F133" s="17">
        <v>0</v>
      </c>
      <c r="G133" s="17">
        <v>654.35483870967744</v>
      </c>
      <c r="H133" s="17">
        <v>1054.1935483870968</v>
      </c>
      <c r="I133" s="17">
        <v>334397</v>
      </c>
      <c r="J133" s="17">
        <v>35917</v>
      </c>
      <c r="K133" s="17">
        <v>0</v>
      </c>
      <c r="L133" s="17">
        <v>668.57142857142856</v>
      </c>
      <c r="M133" s="17">
        <v>1385</v>
      </c>
      <c r="N133" s="17">
        <v>316730</v>
      </c>
      <c r="O133" s="17">
        <v>32981</v>
      </c>
      <c r="P133" s="17">
        <v>0</v>
      </c>
      <c r="Q133" s="17">
        <v>695</v>
      </c>
      <c r="R133" s="17">
        <v>1593.5483870967741</v>
      </c>
      <c r="S133" s="17">
        <v>340939</v>
      </c>
      <c r="T133" s="17">
        <v>72614</v>
      </c>
      <c r="U133" s="17">
        <v>0</v>
      </c>
      <c r="V133" s="17">
        <v>695</v>
      </c>
      <c r="W133" s="17">
        <v>1353.6666666666667</v>
      </c>
      <c r="X133" s="17">
        <v>328591</v>
      </c>
      <c r="Y133" s="17">
        <v>34975</v>
      </c>
      <c r="Z133" s="17">
        <v>0</v>
      </c>
      <c r="AA133" s="17">
        <v>742.58064516129036</v>
      </c>
      <c r="AB133" s="17">
        <v>1197.4193548387098</v>
      </c>
      <c r="AC133" s="17">
        <v>345624</v>
      </c>
      <c r="AD133" s="17">
        <v>43076</v>
      </c>
      <c r="AE133" s="17">
        <v>0</v>
      </c>
      <c r="AF133" s="17">
        <v>735.33333333333337</v>
      </c>
      <c r="AG133" s="17">
        <v>1201.3333333333333</v>
      </c>
      <c r="AH133" s="17">
        <v>390697</v>
      </c>
      <c r="AI133" s="17">
        <v>22199</v>
      </c>
      <c r="AJ133" s="17">
        <v>0</v>
      </c>
      <c r="AK133" s="17">
        <v>749.83870967741939</v>
      </c>
      <c r="AL133" s="17">
        <v>1220</v>
      </c>
      <c r="AM133" s="17">
        <v>214655</v>
      </c>
      <c r="AN133" s="17">
        <v>17102</v>
      </c>
      <c r="AO133" s="17">
        <v>0</v>
      </c>
      <c r="AP133" s="17">
        <v>866.77419354838707</v>
      </c>
      <c r="AQ133" s="17">
        <v>1219.0322580645161</v>
      </c>
      <c r="AR133" s="17">
        <v>273973</v>
      </c>
      <c r="AS133" s="17">
        <v>39250</v>
      </c>
      <c r="AT133" s="17">
        <v>0</v>
      </c>
      <c r="AU133" s="17">
        <v>1108.8333333333333</v>
      </c>
      <c r="AV133" s="17">
        <v>1220</v>
      </c>
      <c r="AW133" s="17">
        <v>365534</v>
      </c>
      <c r="AX133" s="17">
        <v>28309</v>
      </c>
      <c r="AY133" s="17">
        <v>0</v>
      </c>
      <c r="AZ133" s="17">
        <v>1150.6451612903227</v>
      </c>
      <c r="BA133" s="17">
        <v>1211.2903225806451</v>
      </c>
      <c r="BB133" s="17">
        <v>342580</v>
      </c>
      <c r="BC133" s="17">
        <v>37317</v>
      </c>
      <c r="BD133" s="17">
        <v>0</v>
      </c>
      <c r="BE133" s="17">
        <v>1138.3333333333333</v>
      </c>
      <c r="BF133" s="17">
        <v>1179.3333333333333</v>
      </c>
      <c r="BG133" s="17">
        <v>330001</v>
      </c>
      <c r="BH133" s="17">
        <v>37198</v>
      </c>
      <c r="BI133" s="17">
        <v>0</v>
      </c>
      <c r="BJ133" s="17">
        <v>1081.6129032258063</v>
      </c>
      <c r="BK133" s="17">
        <v>1153.2258064516129</v>
      </c>
    </row>
    <row r="134" spans="1:63" x14ac:dyDescent="0.35">
      <c r="A134" s="18">
        <v>130</v>
      </c>
      <c r="B134" s="41" t="s">
        <v>248</v>
      </c>
      <c r="C134" s="19" t="s">
        <v>384</v>
      </c>
      <c r="D134" s="17">
        <v>252796</v>
      </c>
      <c r="E134" s="17">
        <v>24294</v>
      </c>
      <c r="F134" s="17">
        <v>0</v>
      </c>
      <c r="G134" s="17">
        <v>654.35483870967744</v>
      </c>
      <c r="H134" s="17">
        <v>1056.4516129032259</v>
      </c>
      <c r="I134" s="17">
        <v>238839</v>
      </c>
      <c r="J134" s="17">
        <v>19828</v>
      </c>
      <c r="K134" s="17">
        <v>0</v>
      </c>
      <c r="L134" s="17">
        <v>668.75</v>
      </c>
      <c r="M134" s="17">
        <v>1407.1428571428571</v>
      </c>
      <c r="N134" s="17">
        <v>248539</v>
      </c>
      <c r="O134" s="17">
        <v>18136</v>
      </c>
      <c r="P134" s="17">
        <v>0</v>
      </c>
      <c r="Q134" s="17">
        <v>695</v>
      </c>
      <c r="R134" s="17">
        <v>1590.3225806451612</v>
      </c>
      <c r="S134" s="17">
        <v>250332</v>
      </c>
      <c r="T134" s="17">
        <v>24783</v>
      </c>
      <c r="U134" s="17">
        <v>0</v>
      </c>
      <c r="V134" s="17">
        <v>695</v>
      </c>
      <c r="W134" s="17">
        <v>1353.6666666666667</v>
      </c>
      <c r="X134" s="17">
        <v>226558</v>
      </c>
      <c r="Y134" s="17">
        <v>18049</v>
      </c>
      <c r="Z134" s="17">
        <v>0</v>
      </c>
      <c r="AA134" s="17">
        <v>742.58064516129036</v>
      </c>
      <c r="AB134" s="17">
        <v>1194.8387096774193</v>
      </c>
      <c r="AC134" s="17">
        <v>226125</v>
      </c>
      <c r="AD134" s="17">
        <v>20272</v>
      </c>
      <c r="AE134" s="17">
        <v>0</v>
      </c>
      <c r="AF134" s="17">
        <v>735.33333333333337</v>
      </c>
      <c r="AG134" s="17">
        <v>1201.3333333333333</v>
      </c>
      <c r="AH134" s="17">
        <v>283488</v>
      </c>
      <c r="AI134" s="17">
        <v>17401</v>
      </c>
      <c r="AJ134" s="17">
        <v>0</v>
      </c>
      <c r="AK134" s="17">
        <v>750.80645161290317</v>
      </c>
      <c r="AL134" s="17">
        <v>1220</v>
      </c>
      <c r="AM134" s="17">
        <v>189311</v>
      </c>
      <c r="AN134" s="17">
        <v>13797</v>
      </c>
      <c r="AO134" s="17">
        <v>0</v>
      </c>
      <c r="AP134" s="17">
        <v>866.77419354838707</v>
      </c>
      <c r="AQ134" s="17">
        <v>1219.0322580645161</v>
      </c>
      <c r="AR134" s="17">
        <v>218808</v>
      </c>
      <c r="AS134" s="17">
        <v>17965</v>
      </c>
      <c r="AT134" s="17">
        <v>0</v>
      </c>
      <c r="AU134" s="17">
        <v>1108.8333333333333</v>
      </c>
      <c r="AV134" s="17">
        <v>1220</v>
      </c>
      <c r="AW134" s="17">
        <v>250099</v>
      </c>
      <c r="AX134" s="17">
        <v>20621</v>
      </c>
      <c r="AY134" s="17">
        <v>0</v>
      </c>
      <c r="AZ134" s="17">
        <v>1150.6451612903227</v>
      </c>
      <c r="BA134" s="17">
        <v>1211.2903225806451</v>
      </c>
      <c r="BB134" s="17">
        <v>240542</v>
      </c>
      <c r="BC134" s="17">
        <v>32491</v>
      </c>
      <c r="BD134" s="17">
        <v>0</v>
      </c>
      <c r="BE134" s="17">
        <v>1138.3333333333333</v>
      </c>
      <c r="BF134" s="17">
        <v>1179.3333333333333</v>
      </c>
      <c r="BG134" s="17">
        <v>247057</v>
      </c>
      <c r="BH134" s="17">
        <v>31477</v>
      </c>
      <c r="BI134" s="17">
        <v>0</v>
      </c>
      <c r="BJ134" s="17">
        <v>1081.6129032258063</v>
      </c>
      <c r="BK134" s="17">
        <v>1153.2258064516129</v>
      </c>
    </row>
    <row r="135" spans="1:63" x14ac:dyDescent="0.35">
      <c r="A135" s="18">
        <v>131</v>
      </c>
      <c r="B135" s="41" t="s">
        <v>248</v>
      </c>
      <c r="C135" s="19" t="s">
        <v>385</v>
      </c>
      <c r="D135" s="17">
        <v>276448</v>
      </c>
      <c r="E135" s="17">
        <v>10261</v>
      </c>
      <c r="F135" s="17">
        <v>0</v>
      </c>
      <c r="G135" s="17">
        <v>654.35483870967744</v>
      </c>
      <c r="H135" s="17">
        <v>1056.4516129032259</v>
      </c>
      <c r="I135" s="17">
        <v>257964</v>
      </c>
      <c r="J135" s="17">
        <v>8282</v>
      </c>
      <c r="K135" s="17">
        <v>0</v>
      </c>
      <c r="L135" s="17">
        <v>668.75</v>
      </c>
      <c r="M135" s="17">
        <v>1399.2857142857142</v>
      </c>
      <c r="N135" s="17">
        <v>244358</v>
      </c>
      <c r="O135" s="17">
        <v>7224</v>
      </c>
      <c r="P135" s="17">
        <v>0</v>
      </c>
      <c r="Q135" s="17">
        <v>695</v>
      </c>
      <c r="R135" s="17">
        <v>1590.3225806451612</v>
      </c>
      <c r="S135" s="17">
        <v>323630</v>
      </c>
      <c r="T135" s="17">
        <v>9045</v>
      </c>
      <c r="U135" s="17">
        <v>0</v>
      </c>
      <c r="V135" s="17">
        <v>695</v>
      </c>
      <c r="W135" s="17">
        <v>1353.6666666666667</v>
      </c>
      <c r="X135" s="17">
        <v>271179</v>
      </c>
      <c r="Y135" s="17">
        <v>9826</v>
      </c>
      <c r="Z135" s="17">
        <v>0</v>
      </c>
      <c r="AA135" s="17">
        <v>742.58064516129036</v>
      </c>
      <c r="AB135" s="17">
        <v>1197.4193548387098</v>
      </c>
      <c r="AC135" s="17">
        <v>293799</v>
      </c>
      <c r="AD135" s="17">
        <v>7839</v>
      </c>
      <c r="AE135" s="17">
        <v>0</v>
      </c>
      <c r="AF135" s="17">
        <v>735.33333333333337</v>
      </c>
      <c r="AG135" s="17">
        <v>1201.3333333333333</v>
      </c>
      <c r="AH135" s="17">
        <v>328412</v>
      </c>
      <c r="AI135" s="17">
        <v>8762</v>
      </c>
      <c r="AJ135" s="17">
        <v>0</v>
      </c>
      <c r="AK135" s="17">
        <v>750.80645161290317</v>
      </c>
      <c r="AL135" s="17">
        <v>1220</v>
      </c>
      <c r="AM135" s="17">
        <v>156871</v>
      </c>
      <c r="AN135" s="17">
        <v>9060</v>
      </c>
      <c r="AO135" s="17">
        <v>0</v>
      </c>
      <c r="AP135" s="17">
        <v>867.41935483870964</v>
      </c>
      <c r="AQ135" s="17">
        <v>1220</v>
      </c>
      <c r="AR135" s="17">
        <v>221188</v>
      </c>
      <c r="AS135" s="17">
        <v>5474</v>
      </c>
      <c r="AT135" s="17">
        <v>0</v>
      </c>
      <c r="AU135" s="17">
        <v>1108.8333333333333</v>
      </c>
      <c r="AV135" s="17">
        <v>1220</v>
      </c>
      <c r="AW135" s="17">
        <v>309202</v>
      </c>
      <c r="AX135" s="17">
        <v>6778</v>
      </c>
      <c r="AY135" s="17">
        <v>0</v>
      </c>
      <c r="AZ135" s="17">
        <v>1150.6451612903227</v>
      </c>
      <c r="BA135" s="17">
        <v>1211.2903225806451</v>
      </c>
      <c r="BB135" s="17">
        <v>278932</v>
      </c>
      <c r="BC135" s="17">
        <v>8228</v>
      </c>
      <c r="BD135" s="17">
        <v>0</v>
      </c>
      <c r="BE135" s="17">
        <v>1138.3333333333333</v>
      </c>
      <c r="BF135" s="17">
        <v>1179.3333333333333</v>
      </c>
      <c r="BG135" s="17">
        <v>303601</v>
      </c>
      <c r="BH135" s="17">
        <v>12752</v>
      </c>
      <c r="BI135" s="17">
        <v>0</v>
      </c>
      <c r="BJ135" s="17">
        <v>1081.6129032258063</v>
      </c>
      <c r="BK135" s="17">
        <v>1153.2258064516129</v>
      </c>
    </row>
    <row r="136" spans="1:63" x14ac:dyDescent="0.35">
      <c r="A136" s="18">
        <v>132</v>
      </c>
      <c r="B136" s="41" t="s">
        <v>248</v>
      </c>
      <c r="C136" s="19" t="s">
        <v>386</v>
      </c>
      <c r="D136" s="17">
        <v>270894</v>
      </c>
      <c r="E136" s="17">
        <v>13957</v>
      </c>
      <c r="F136" s="17">
        <v>0</v>
      </c>
      <c r="G136" s="17">
        <v>654.35483870967744</v>
      </c>
      <c r="H136" s="17">
        <v>1056.4516129032259</v>
      </c>
      <c r="I136" s="17">
        <v>256432</v>
      </c>
      <c r="J136" s="17">
        <v>13255</v>
      </c>
      <c r="K136" s="17">
        <v>0</v>
      </c>
      <c r="L136" s="17">
        <v>669.46428571428567</v>
      </c>
      <c r="M136" s="17">
        <v>1406.4285714285713</v>
      </c>
      <c r="N136" s="17">
        <v>263186</v>
      </c>
      <c r="O136" s="17">
        <v>12465</v>
      </c>
      <c r="P136" s="17">
        <v>0</v>
      </c>
      <c r="Q136" s="17">
        <v>695</v>
      </c>
      <c r="R136" s="17">
        <v>1590.3225806451612</v>
      </c>
      <c r="S136" s="17">
        <v>258635</v>
      </c>
      <c r="T136" s="17">
        <v>19883</v>
      </c>
      <c r="U136" s="17">
        <v>0</v>
      </c>
      <c r="V136" s="17">
        <v>695</v>
      </c>
      <c r="W136" s="17">
        <v>1353.6666666666667</v>
      </c>
      <c r="X136" s="17">
        <v>242100</v>
      </c>
      <c r="Y136" s="17">
        <v>15288</v>
      </c>
      <c r="Z136" s="17">
        <v>0</v>
      </c>
      <c r="AA136" s="17">
        <v>742.58064516129036</v>
      </c>
      <c r="AB136" s="17">
        <v>1194.8387096774193</v>
      </c>
      <c r="AC136" s="17">
        <v>238700</v>
      </c>
      <c r="AD136" s="17">
        <v>17165</v>
      </c>
      <c r="AE136" s="17">
        <v>0</v>
      </c>
      <c r="AF136" s="17">
        <v>735.33333333333337</v>
      </c>
      <c r="AG136" s="17">
        <v>1201.3333333333333</v>
      </c>
      <c r="AH136" s="17">
        <v>260944</v>
      </c>
      <c r="AI136" s="17">
        <v>15950</v>
      </c>
      <c r="AJ136" s="17">
        <v>0</v>
      </c>
      <c r="AK136" s="17">
        <v>749.83870967741939</v>
      </c>
      <c r="AL136" s="17">
        <v>1220</v>
      </c>
      <c r="AM136" s="17">
        <v>142464</v>
      </c>
      <c r="AN136" s="17">
        <v>13603</v>
      </c>
      <c r="AO136" s="17">
        <v>0</v>
      </c>
      <c r="AP136" s="17">
        <v>867.41935483870964</v>
      </c>
      <c r="AQ136" s="17">
        <v>1220</v>
      </c>
      <c r="AR136" s="17">
        <v>225435</v>
      </c>
      <c r="AS136" s="17">
        <v>20846</v>
      </c>
      <c r="AT136" s="17">
        <v>0</v>
      </c>
      <c r="AU136" s="17">
        <v>1108.8333333333333</v>
      </c>
      <c r="AV136" s="17">
        <v>1220</v>
      </c>
      <c r="AW136" s="17">
        <v>261723</v>
      </c>
      <c r="AX136" s="17">
        <v>24980</v>
      </c>
      <c r="AY136" s="17">
        <v>0</v>
      </c>
      <c r="AZ136" s="17">
        <v>1150.6451612903227</v>
      </c>
      <c r="BA136" s="17">
        <v>1211.2903225806451</v>
      </c>
      <c r="BB136" s="17">
        <v>247297</v>
      </c>
      <c r="BC136" s="17">
        <v>28165</v>
      </c>
      <c r="BD136" s="17">
        <v>0</v>
      </c>
      <c r="BE136" s="17">
        <v>1138.3333333333333</v>
      </c>
      <c r="BF136" s="17">
        <v>1179.3333333333333</v>
      </c>
      <c r="BG136" s="17">
        <v>251710</v>
      </c>
      <c r="BH136" s="17">
        <v>32065</v>
      </c>
      <c r="BI136" s="17">
        <v>0</v>
      </c>
      <c r="BJ136" s="17">
        <v>1081.6129032258063</v>
      </c>
      <c r="BK136" s="17">
        <v>1153.2258064516129</v>
      </c>
    </row>
    <row r="137" spans="1:63" x14ac:dyDescent="0.35">
      <c r="A137" s="18">
        <v>133</v>
      </c>
      <c r="B137" s="41" t="s">
        <v>242</v>
      </c>
      <c r="C137" s="19" t="s">
        <v>387</v>
      </c>
      <c r="D137" s="17">
        <v>313140</v>
      </c>
      <c r="E137" s="17">
        <v>47461</v>
      </c>
      <c r="F137" s="17">
        <v>0</v>
      </c>
      <c r="G137" s="17">
        <v>652.25806451612902</v>
      </c>
      <c r="H137" s="17">
        <v>1057.4193548387098</v>
      </c>
      <c r="I137" s="17">
        <v>314633</v>
      </c>
      <c r="J137" s="17">
        <v>39902</v>
      </c>
      <c r="K137" s="17">
        <v>0</v>
      </c>
      <c r="L137" s="17">
        <v>669.28571428571433</v>
      </c>
      <c r="M137" s="17">
        <v>1406.4285714285713</v>
      </c>
      <c r="N137" s="17">
        <v>274459</v>
      </c>
      <c r="O137" s="17">
        <v>35830</v>
      </c>
      <c r="P137" s="17">
        <v>0</v>
      </c>
      <c r="Q137" s="17">
        <v>695</v>
      </c>
      <c r="R137" s="17">
        <v>1590.3225806451612</v>
      </c>
      <c r="S137" s="17">
        <v>277329</v>
      </c>
      <c r="T137" s="17">
        <v>45244</v>
      </c>
      <c r="U137" s="17">
        <v>0</v>
      </c>
      <c r="V137" s="17">
        <v>695</v>
      </c>
      <c r="W137" s="17">
        <v>1357</v>
      </c>
      <c r="X137" s="17">
        <v>270398</v>
      </c>
      <c r="Y137" s="17">
        <v>51677</v>
      </c>
      <c r="Z137" s="17">
        <v>0</v>
      </c>
      <c r="AA137" s="17">
        <v>741.61290322580646</v>
      </c>
      <c r="AB137" s="17">
        <v>1194.8387096774193</v>
      </c>
      <c r="AC137" s="17">
        <v>253445</v>
      </c>
      <c r="AD137" s="17">
        <v>48364</v>
      </c>
      <c r="AE137" s="17">
        <v>0</v>
      </c>
      <c r="AF137" s="17">
        <v>726.66666666666663</v>
      </c>
      <c r="AG137" s="17">
        <v>1181.3333333333333</v>
      </c>
      <c r="AH137" s="17">
        <v>377883</v>
      </c>
      <c r="AI137" s="17">
        <v>46309</v>
      </c>
      <c r="AJ137" s="17">
        <v>0</v>
      </c>
      <c r="AK137" s="17">
        <v>747.09677419354841</v>
      </c>
      <c r="AL137" s="17">
        <v>1207.4193548387098</v>
      </c>
      <c r="AM137" s="17">
        <v>163539</v>
      </c>
      <c r="AN137" s="17">
        <v>34815</v>
      </c>
      <c r="AO137" s="17">
        <v>0</v>
      </c>
      <c r="AP137" s="17">
        <v>842.25806451612902</v>
      </c>
      <c r="AQ137" s="17">
        <v>1230</v>
      </c>
      <c r="AR137" s="17">
        <v>216726</v>
      </c>
      <c r="AS137" s="17">
        <v>37828</v>
      </c>
      <c r="AT137" s="17">
        <v>0</v>
      </c>
      <c r="AU137" s="17">
        <v>1106.8333333333333</v>
      </c>
      <c r="AV137" s="17">
        <v>1230</v>
      </c>
      <c r="AW137" s="17">
        <v>244067</v>
      </c>
      <c r="AX137" s="17">
        <v>40312</v>
      </c>
      <c r="AY137" s="17">
        <v>0</v>
      </c>
      <c r="AZ137" s="17">
        <v>1186.4516129032259</v>
      </c>
      <c r="BA137" s="17">
        <v>1218.7096774193549</v>
      </c>
      <c r="BB137" s="17">
        <v>252915</v>
      </c>
      <c r="BC137" s="17">
        <v>44553</v>
      </c>
      <c r="BD137" s="17">
        <v>0</v>
      </c>
      <c r="BE137" s="17">
        <v>1128.6666666666667</v>
      </c>
      <c r="BF137" s="17">
        <v>1171.3333333333333</v>
      </c>
      <c r="BG137" s="17">
        <v>273768</v>
      </c>
      <c r="BH137" s="17">
        <v>29437</v>
      </c>
      <c r="BI137" s="17">
        <v>0</v>
      </c>
      <c r="BJ137" s="17">
        <v>1079.0322580645161</v>
      </c>
      <c r="BK137" s="17">
        <v>1150</v>
      </c>
    </row>
    <row r="138" spans="1:63" x14ac:dyDescent="0.35">
      <c r="A138" s="18">
        <v>134</v>
      </c>
      <c r="B138" s="41" t="s">
        <v>242</v>
      </c>
      <c r="C138" s="19" t="s">
        <v>388</v>
      </c>
      <c r="D138" s="17">
        <v>177686</v>
      </c>
      <c r="E138" s="17">
        <v>79240</v>
      </c>
      <c r="F138" s="17">
        <v>0</v>
      </c>
      <c r="G138" s="17">
        <v>652.25806451612902</v>
      </c>
      <c r="H138" s="17">
        <v>1057.4193548387098</v>
      </c>
      <c r="I138" s="17">
        <v>223605</v>
      </c>
      <c r="J138" s="17">
        <v>103058</v>
      </c>
      <c r="K138" s="17">
        <v>485</v>
      </c>
      <c r="L138" s="17">
        <v>669.28571428571433</v>
      </c>
      <c r="M138" s="17">
        <v>1406.4285714285713</v>
      </c>
      <c r="N138" s="17">
        <v>200700</v>
      </c>
      <c r="O138" s="17">
        <v>72426</v>
      </c>
      <c r="P138" s="17">
        <v>12086</v>
      </c>
      <c r="Q138" s="17">
        <v>695</v>
      </c>
      <c r="R138" s="17">
        <v>1590.3225806451612</v>
      </c>
      <c r="S138" s="17">
        <v>208323</v>
      </c>
      <c r="T138" s="17">
        <v>67976</v>
      </c>
      <c r="U138" s="17">
        <v>0</v>
      </c>
      <c r="V138" s="17">
        <v>695</v>
      </c>
      <c r="W138" s="17">
        <v>1357</v>
      </c>
      <c r="X138" s="17">
        <v>225391</v>
      </c>
      <c r="Y138" s="17">
        <v>48907</v>
      </c>
      <c r="Z138" s="17">
        <v>0</v>
      </c>
      <c r="AA138" s="17">
        <v>741.61290322580646</v>
      </c>
      <c r="AB138" s="17">
        <v>1197.4193548387098</v>
      </c>
      <c r="AC138" s="17">
        <v>181366</v>
      </c>
      <c r="AD138" s="17">
        <v>40466</v>
      </c>
      <c r="AE138" s="17">
        <v>0</v>
      </c>
      <c r="AF138" s="17">
        <v>726.66666666666663</v>
      </c>
      <c r="AG138" s="17">
        <v>1181.3333333333333</v>
      </c>
      <c r="AH138" s="17">
        <v>314566</v>
      </c>
      <c r="AI138" s="17">
        <v>41793</v>
      </c>
      <c r="AJ138" s="17">
        <v>0</v>
      </c>
      <c r="AK138" s="17">
        <v>747.09677419354841</v>
      </c>
      <c r="AL138" s="17">
        <v>1207.4193548387098</v>
      </c>
      <c r="AM138" s="17">
        <v>223177</v>
      </c>
      <c r="AN138" s="17">
        <v>22196</v>
      </c>
      <c r="AO138" s="17">
        <v>0</v>
      </c>
      <c r="AP138" s="17">
        <v>842.25806451612902</v>
      </c>
      <c r="AQ138" s="17">
        <v>1226.1290322580646</v>
      </c>
      <c r="AR138" s="17">
        <v>158191</v>
      </c>
      <c r="AS138" s="17">
        <v>0</v>
      </c>
      <c r="AT138" s="17">
        <v>0</v>
      </c>
      <c r="AU138" s="17">
        <v>1107.5</v>
      </c>
      <c r="AV138" s="17">
        <v>1192.6666666666667</v>
      </c>
      <c r="AW138" s="17">
        <v>150413</v>
      </c>
      <c r="AX138" s="17">
        <v>28642</v>
      </c>
      <c r="AY138" s="17">
        <v>0</v>
      </c>
      <c r="AZ138" s="17">
        <v>1186.4516129032259</v>
      </c>
      <c r="BA138" s="17">
        <v>1192.9032258064517</v>
      </c>
      <c r="BB138" s="17">
        <v>171929</v>
      </c>
      <c r="BC138" s="17">
        <v>46714</v>
      </c>
      <c r="BD138" s="17">
        <v>0</v>
      </c>
      <c r="BE138" s="17">
        <v>1128.6666666666667</v>
      </c>
      <c r="BF138" s="17">
        <v>1171.3333333333333</v>
      </c>
      <c r="BG138" s="17">
        <v>173919</v>
      </c>
      <c r="BH138" s="17">
        <v>43622</v>
      </c>
      <c r="BI138" s="17">
        <v>0</v>
      </c>
      <c r="BJ138" s="17">
        <v>1079.0322580645161</v>
      </c>
      <c r="BK138" s="17">
        <v>1150</v>
      </c>
    </row>
    <row r="139" spans="1:63" x14ac:dyDescent="0.35">
      <c r="A139" s="18">
        <v>135</v>
      </c>
      <c r="B139" s="41" t="s">
        <v>231</v>
      </c>
      <c r="C139" s="19" t="s">
        <v>389</v>
      </c>
      <c r="D139" s="17">
        <v>463904</v>
      </c>
      <c r="E139" s="17">
        <v>50664</v>
      </c>
      <c r="F139" s="17">
        <v>836</v>
      </c>
      <c r="G139" s="17">
        <v>666.77419354838707</v>
      </c>
      <c r="H139" s="17">
        <v>1053.5483870967741</v>
      </c>
      <c r="I139" s="17">
        <v>425247</v>
      </c>
      <c r="J139" s="17">
        <v>54863</v>
      </c>
      <c r="K139" s="17">
        <v>3714</v>
      </c>
      <c r="L139" s="17">
        <v>677.85714285714289</v>
      </c>
      <c r="M139" s="17">
        <v>1380.3571428571429</v>
      </c>
      <c r="N139" s="17">
        <v>480660</v>
      </c>
      <c r="O139" s="17">
        <v>38257</v>
      </c>
      <c r="P139" s="17">
        <v>3924</v>
      </c>
      <c r="Q139" s="17">
        <v>695</v>
      </c>
      <c r="R139" s="17">
        <v>1603.2258064516129</v>
      </c>
      <c r="S139" s="17">
        <v>444796</v>
      </c>
      <c r="T139" s="17">
        <v>55574</v>
      </c>
      <c r="U139" s="17">
        <v>11001</v>
      </c>
      <c r="V139" s="17">
        <v>697.83333333333337</v>
      </c>
      <c r="W139" s="17">
        <v>1467.5</v>
      </c>
      <c r="X139" s="17">
        <v>525457</v>
      </c>
      <c r="Y139" s="17">
        <v>78791</v>
      </c>
      <c r="Z139" s="17">
        <v>4037</v>
      </c>
      <c r="AA139" s="17">
        <v>806.45161290322585</v>
      </c>
      <c r="AB139" s="17">
        <v>1253.5483870967741</v>
      </c>
      <c r="AC139" s="17">
        <v>403761</v>
      </c>
      <c r="AD139" s="17">
        <v>43393</v>
      </c>
      <c r="AE139" s="17">
        <v>0</v>
      </c>
      <c r="AF139" s="17">
        <v>754.33333333333337</v>
      </c>
      <c r="AG139" s="17">
        <v>1241.3333333333333</v>
      </c>
      <c r="AH139" s="17">
        <v>617423</v>
      </c>
      <c r="AI139" s="17">
        <v>43639</v>
      </c>
      <c r="AJ139" s="17">
        <v>893</v>
      </c>
      <c r="AK139" s="17">
        <v>762.90322580645159</v>
      </c>
      <c r="AL139" s="17">
        <v>1260</v>
      </c>
      <c r="AM139" s="17">
        <v>473789</v>
      </c>
      <c r="AN139" s="17">
        <v>56961</v>
      </c>
      <c r="AO139" s="17">
        <v>5800</v>
      </c>
      <c r="AP139" s="17">
        <v>849.67741935483866</v>
      </c>
      <c r="AQ139" s="17">
        <v>1258.0645161290322</v>
      </c>
      <c r="AR139" s="17">
        <v>178001</v>
      </c>
      <c r="AS139" s="17">
        <v>50021</v>
      </c>
      <c r="AT139" s="17">
        <v>2099</v>
      </c>
      <c r="AU139" s="17">
        <v>1093.8333333333333</v>
      </c>
      <c r="AV139" s="17">
        <v>1260</v>
      </c>
      <c r="AW139" s="17">
        <v>368734</v>
      </c>
      <c r="AX139" s="17">
        <v>70463</v>
      </c>
      <c r="AY139" s="17">
        <v>868</v>
      </c>
      <c r="AZ139" s="17">
        <v>1192.258064516129</v>
      </c>
      <c r="BA139" s="17">
        <v>1248.3870967741937</v>
      </c>
      <c r="BB139" s="17">
        <v>396461</v>
      </c>
      <c r="BC139" s="17">
        <v>72821</v>
      </c>
      <c r="BD139" s="17">
        <v>2566</v>
      </c>
      <c r="BE139" s="17">
        <v>1131.1666666666667</v>
      </c>
      <c r="BF139" s="17">
        <v>1201</v>
      </c>
      <c r="BG139" s="17">
        <v>442619</v>
      </c>
      <c r="BH139" s="17">
        <v>64079</v>
      </c>
      <c r="BI139" s="17">
        <v>6184</v>
      </c>
      <c r="BJ139" s="17">
        <v>1072.5806451612902</v>
      </c>
      <c r="BK139" s="17">
        <v>1200</v>
      </c>
    </row>
    <row r="140" spans="1:63" x14ac:dyDescent="0.35">
      <c r="A140" s="18">
        <v>136</v>
      </c>
      <c r="B140" s="41" t="s">
        <v>237</v>
      </c>
      <c r="C140" s="19" t="s">
        <v>390</v>
      </c>
      <c r="D140" s="17">
        <v>120242</v>
      </c>
      <c r="E140" s="17">
        <v>7043</v>
      </c>
      <c r="F140" s="17">
        <v>0</v>
      </c>
      <c r="G140" s="17">
        <v>650.16129032258061</v>
      </c>
      <c r="H140" s="17">
        <v>1051.4516129032259</v>
      </c>
      <c r="I140" s="17">
        <v>120437</v>
      </c>
      <c r="J140" s="17">
        <v>13138</v>
      </c>
      <c r="K140" s="17">
        <v>0</v>
      </c>
      <c r="L140" s="17">
        <v>669.46428571428567</v>
      </c>
      <c r="M140" s="17">
        <v>1403.9285714285713</v>
      </c>
      <c r="N140" s="17">
        <v>110287</v>
      </c>
      <c r="O140" s="17">
        <v>9903</v>
      </c>
      <c r="P140" s="17">
        <v>0</v>
      </c>
      <c r="Q140" s="17">
        <v>683.38709677419354</v>
      </c>
      <c r="R140" s="17">
        <v>1590.3225806451612</v>
      </c>
      <c r="S140" s="17">
        <v>121193</v>
      </c>
      <c r="T140" s="17">
        <v>11350</v>
      </c>
      <c r="U140" s="17">
        <v>0</v>
      </c>
      <c r="V140" s="17">
        <v>677.66666666666663</v>
      </c>
      <c r="W140" s="17">
        <v>1348.3333333333333</v>
      </c>
      <c r="X140" s="17">
        <v>137142</v>
      </c>
      <c r="Y140" s="17">
        <v>10138</v>
      </c>
      <c r="Z140" s="17">
        <v>0</v>
      </c>
      <c r="AA140" s="17">
        <v>742.58064516129036</v>
      </c>
      <c r="AB140" s="17">
        <v>1197.4193548387098</v>
      </c>
      <c r="AC140" s="17">
        <v>133671</v>
      </c>
      <c r="AD140" s="17">
        <v>10728</v>
      </c>
      <c r="AE140" s="17">
        <v>0</v>
      </c>
      <c r="AF140" s="17">
        <v>735.33333333333337</v>
      </c>
      <c r="AG140" s="17">
        <v>1201.3333333333333</v>
      </c>
      <c r="AH140" s="17">
        <v>142963</v>
      </c>
      <c r="AI140" s="17">
        <v>11460</v>
      </c>
      <c r="AJ140" s="17">
        <v>0</v>
      </c>
      <c r="AK140" s="17">
        <v>750.80645161290317</v>
      </c>
      <c r="AL140" s="17">
        <v>1220</v>
      </c>
      <c r="AM140" s="17">
        <v>109312</v>
      </c>
      <c r="AN140" s="17">
        <v>8448</v>
      </c>
      <c r="AO140" s="17">
        <v>0</v>
      </c>
      <c r="AP140" s="17">
        <v>867.41935483870964</v>
      </c>
      <c r="AQ140" s="17">
        <v>1220</v>
      </c>
      <c r="AR140" s="17">
        <v>122601</v>
      </c>
      <c r="AS140" s="17">
        <v>9237</v>
      </c>
      <c r="AT140" s="17">
        <v>0</v>
      </c>
      <c r="AU140" s="17">
        <v>1108.8333333333333</v>
      </c>
      <c r="AV140" s="17">
        <v>1220</v>
      </c>
      <c r="AW140" s="17">
        <v>136270</v>
      </c>
      <c r="AX140" s="17">
        <v>8363</v>
      </c>
      <c r="AY140" s="17">
        <v>0</v>
      </c>
      <c r="AZ140" s="17">
        <v>1150.6451612903227</v>
      </c>
      <c r="BA140" s="17">
        <v>1211.2903225806451</v>
      </c>
      <c r="BB140" s="17">
        <v>127155</v>
      </c>
      <c r="BC140" s="17">
        <v>14808</v>
      </c>
      <c r="BD140" s="17">
        <v>0</v>
      </c>
      <c r="BE140" s="17">
        <v>1138.3333333333333</v>
      </c>
      <c r="BF140" s="17">
        <v>1179.6333333333334</v>
      </c>
      <c r="BG140" s="17">
        <v>107932</v>
      </c>
      <c r="BH140" s="17">
        <v>13567</v>
      </c>
      <c r="BI140" s="17">
        <v>0</v>
      </c>
      <c r="BJ140" s="17">
        <v>1081.6129032258063</v>
      </c>
      <c r="BK140" s="17">
        <v>1153.2258064516129</v>
      </c>
    </row>
    <row r="141" spans="1:63" x14ac:dyDescent="0.35">
      <c r="A141" s="18">
        <v>137</v>
      </c>
      <c r="B141" s="41" t="s">
        <v>237</v>
      </c>
      <c r="C141" s="19" t="s">
        <v>391</v>
      </c>
      <c r="D141" s="17">
        <v>135211</v>
      </c>
      <c r="E141" s="17">
        <v>5695</v>
      </c>
      <c r="F141" s="17">
        <v>0</v>
      </c>
      <c r="G141" s="17">
        <v>650.48387096774195</v>
      </c>
      <c r="H141" s="17">
        <v>1055.9677419354839</v>
      </c>
      <c r="I141" s="17">
        <v>147536</v>
      </c>
      <c r="J141" s="17">
        <v>10730</v>
      </c>
      <c r="K141" s="17">
        <v>0</v>
      </c>
      <c r="L141" s="17">
        <v>669.46428571428567</v>
      </c>
      <c r="M141" s="17">
        <v>1403.9285714285713</v>
      </c>
      <c r="N141" s="17">
        <v>141728</v>
      </c>
      <c r="O141" s="17">
        <v>15144</v>
      </c>
      <c r="P141" s="17">
        <v>0</v>
      </c>
      <c r="Q141" s="17">
        <v>695</v>
      </c>
      <c r="R141" s="17">
        <v>1590.3225806451612</v>
      </c>
      <c r="S141" s="17">
        <v>174847</v>
      </c>
      <c r="T141" s="17">
        <v>27609</v>
      </c>
      <c r="U141" s="17">
        <v>0</v>
      </c>
      <c r="V141" s="17">
        <v>695</v>
      </c>
      <c r="W141" s="17">
        <v>1353.6666666666667</v>
      </c>
      <c r="X141" s="17">
        <v>183050</v>
      </c>
      <c r="Y141" s="17">
        <v>18830</v>
      </c>
      <c r="Z141" s="17">
        <v>0</v>
      </c>
      <c r="AA141" s="17">
        <v>742.58064516129036</v>
      </c>
      <c r="AB141" s="17">
        <v>1194.8387096774193</v>
      </c>
      <c r="AC141" s="17">
        <v>173764</v>
      </c>
      <c r="AD141" s="17">
        <v>21131</v>
      </c>
      <c r="AE141" s="17">
        <v>0</v>
      </c>
      <c r="AF141" s="17">
        <v>735.33333333333337</v>
      </c>
      <c r="AG141" s="17">
        <v>1201.3333333333333</v>
      </c>
      <c r="AH141" s="17">
        <v>209108</v>
      </c>
      <c r="AI141" s="17">
        <v>18984</v>
      </c>
      <c r="AJ141" s="17">
        <v>0</v>
      </c>
      <c r="AK141" s="17">
        <v>750.80645161290317</v>
      </c>
      <c r="AL141" s="17">
        <v>1220</v>
      </c>
      <c r="AM141" s="17">
        <v>135389</v>
      </c>
      <c r="AN141" s="17">
        <v>15380</v>
      </c>
      <c r="AO141" s="17">
        <v>0</v>
      </c>
      <c r="AP141" s="17">
        <v>867.41935483870964</v>
      </c>
      <c r="AQ141" s="17">
        <v>1220</v>
      </c>
      <c r="AR141" s="17">
        <v>216001</v>
      </c>
      <c r="AS141" s="17">
        <v>20070</v>
      </c>
      <c r="AT141" s="17">
        <v>400</v>
      </c>
      <c r="AU141" s="17">
        <v>1108.1666666666667</v>
      </c>
      <c r="AV141" s="17">
        <v>1220</v>
      </c>
      <c r="AW141" s="17">
        <v>194011</v>
      </c>
      <c r="AX141" s="17">
        <v>29754</v>
      </c>
      <c r="AY141" s="17">
        <v>800</v>
      </c>
      <c r="AZ141" s="17">
        <v>1150.6451612903227</v>
      </c>
      <c r="BA141" s="17">
        <v>1211.2903225806451</v>
      </c>
      <c r="BB141" s="17">
        <v>162340</v>
      </c>
      <c r="BC141" s="17">
        <v>28301</v>
      </c>
      <c r="BD141" s="17">
        <v>0</v>
      </c>
      <c r="BE141" s="17">
        <v>1138.3333333333333</v>
      </c>
      <c r="BF141" s="17">
        <v>1179.3333333333333</v>
      </c>
      <c r="BG141" s="17">
        <v>125427</v>
      </c>
      <c r="BH141" s="17">
        <v>25442</v>
      </c>
      <c r="BI141" s="17">
        <v>0</v>
      </c>
      <c r="BJ141" s="17">
        <v>1081.6129032258063</v>
      </c>
      <c r="BK141" s="17">
        <v>1153.2258064516129</v>
      </c>
    </row>
    <row r="142" spans="1:63" x14ac:dyDescent="0.35">
      <c r="A142" s="18">
        <v>138</v>
      </c>
      <c r="B142" s="41" t="s">
        <v>237</v>
      </c>
      <c r="C142" s="19" t="s">
        <v>392</v>
      </c>
      <c r="D142" s="17">
        <v>238484</v>
      </c>
      <c r="E142" s="17">
        <v>53690</v>
      </c>
      <c r="F142" s="17">
        <v>0</v>
      </c>
      <c r="G142" s="17">
        <v>650.48387096774195</v>
      </c>
      <c r="H142" s="17">
        <v>1052.741935483871</v>
      </c>
      <c r="I142" s="17">
        <v>217994</v>
      </c>
      <c r="J142" s="17">
        <v>44383</v>
      </c>
      <c r="K142" s="17">
        <v>0</v>
      </c>
      <c r="L142" s="17">
        <v>668.21428571428567</v>
      </c>
      <c r="M142" s="17">
        <v>1406.4285714285713</v>
      </c>
      <c r="N142" s="17">
        <v>167687</v>
      </c>
      <c r="O142" s="17">
        <v>33255</v>
      </c>
      <c r="P142" s="17">
        <v>0</v>
      </c>
      <c r="Q142" s="17">
        <v>695</v>
      </c>
      <c r="R142" s="17">
        <v>1596.7741935483871</v>
      </c>
      <c r="S142" s="17">
        <v>276000</v>
      </c>
      <c r="T142" s="17">
        <v>53116</v>
      </c>
      <c r="U142" s="17">
        <v>0</v>
      </c>
      <c r="V142" s="17">
        <v>695</v>
      </c>
      <c r="W142" s="17">
        <v>1348.3333333333333</v>
      </c>
      <c r="X142" s="17">
        <v>331364</v>
      </c>
      <c r="Y142" s="17">
        <v>38938</v>
      </c>
      <c r="Z142" s="17">
        <v>0</v>
      </c>
      <c r="AA142" s="17">
        <v>742.58064516129036</v>
      </c>
      <c r="AB142" s="17">
        <v>1194.8387096774193</v>
      </c>
      <c r="AC142" s="17">
        <v>287983</v>
      </c>
      <c r="AD142" s="17">
        <v>39457</v>
      </c>
      <c r="AE142" s="17">
        <v>0</v>
      </c>
      <c r="AF142" s="17">
        <v>735.33333333333337</v>
      </c>
      <c r="AG142" s="17">
        <v>1201.3333333333333</v>
      </c>
      <c r="AH142" s="17">
        <v>350653</v>
      </c>
      <c r="AI142" s="17">
        <v>35296</v>
      </c>
      <c r="AJ142" s="17">
        <v>0</v>
      </c>
      <c r="AK142" s="17">
        <v>750.80645161290317</v>
      </c>
      <c r="AL142" s="17">
        <v>1220</v>
      </c>
      <c r="AM142" s="17">
        <v>153921</v>
      </c>
      <c r="AN142" s="17">
        <v>32454</v>
      </c>
      <c r="AO142" s="17">
        <v>0</v>
      </c>
      <c r="AP142" s="17">
        <v>867.41935483870964</v>
      </c>
      <c r="AQ142" s="17">
        <v>1220</v>
      </c>
      <c r="AR142" s="17">
        <v>168599</v>
      </c>
      <c r="AS142" s="17">
        <v>35731</v>
      </c>
      <c r="AT142" s="17">
        <v>0</v>
      </c>
      <c r="AU142" s="17">
        <v>1108.8333333333333</v>
      </c>
      <c r="AV142" s="17">
        <v>1220</v>
      </c>
      <c r="AW142" s="17">
        <v>368160</v>
      </c>
      <c r="AX142" s="17">
        <v>41593</v>
      </c>
      <c r="AY142" s="17">
        <v>0</v>
      </c>
      <c r="AZ142" s="17">
        <v>1150.6451612903227</v>
      </c>
      <c r="BA142" s="17">
        <v>1211.2903225806451</v>
      </c>
      <c r="BB142" s="17">
        <v>283061</v>
      </c>
      <c r="BC142" s="17">
        <v>49445</v>
      </c>
      <c r="BD142" s="17">
        <v>0</v>
      </c>
      <c r="BE142" s="17">
        <v>1138.3333333333333</v>
      </c>
      <c r="BF142" s="17">
        <v>1179.3333333333333</v>
      </c>
      <c r="BG142" s="17">
        <v>292917</v>
      </c>
      <c r="BH142" s="17">
        <v>52071</v>
      </c>
      <c r="BI142" s="17">
        <v>0</v>
      </c>
      <c r="BJ142" s="17">
        <v>1081.9354838709678</v>
      </c>
      <c r="BK142" s="17">
        <v>1153.2258064516129</v>
      </c>
    </row>
    <row r="143" spans="1:63" x14ac:dyDescent="0.35">
      <c r="A143" s="18">
        <v>139</v>
      </c>
      <c r="B143" s="41" t="s">
        <v>237</v>
      </c>
      <c r="C143" s="19" t="s">
        <v>393</v>
      </c>
      <c r="D143" s="17">
        <v>114293</v>
      </c>
      <c r="E143" s="17">
        <v>6321</v>
      </c>
      <c r="F143" s="17">
        <v>0</v>
      </c>
      <c r="G143" s="17">
        <v>646.93548387096769</v>
      </c>
      <c r="H143" s="17">
        <v>1052.0967741935483</v>
      </c>
      <c r="I143" s="17">
        <v>119170</v>
      </c>
      <c r="J143" s="17">
        <v>3504</v>
      </c>
      <c r="K143" s="17">
        <v>0</v>
      </c>
      <c r="L143" s="17">
        <v>669.46428571428567</v>
      </c>
      <c r="M143" s="17">
        <v>1405.3571428571429</v>
      </c>
      <c r="N143" s="17">
        <v>111384</v>
      </c>
      <c r="O143" s="17">
        <v>5080</v>
      </c>
      <c r="P143" s="17">
        <v>0</v>
      </c>
      <c r="Q143" s="17">
        <v>695</v>
      </c>
      <c r="R143" s="17">
        <v>1590.3225806451612</v>
      </c>
      <c r="S143" s="17">
        <v>205591</v>
      </c>
      <c r="T143" s="17">
        <v>18470</v>
      </c>
      <c r="U143" s="17">
        <v>0</v>
      </c>
      <c r="V143" s="17">
        <v>686.16666666666663</v>
      </c>
      <c r="W143" s="17">
        <v>1348.3333333333333</v>
      </c>
      <c r="X143" s="17">
        <v>198054</v>
      </c>
      <c r="Y143" s="17">
        <v>6386</v>
      </c>
      <c r="Z143" s="17">
        <v>0</v>
      </c>
      <c r="AA143" s="17">
        <v>742.58064516129036</v>
      </c>
      <c r="AB143" s="17">
        <v>1194.8387096774193</v>
      </c>
      <c r="AC143" s="17">
        <v>153239</v>
      </c>
      <c r="AD143" s="17">
        <v>8987</v>
      </c>
      <c r="AE143" s="17">
        <v>0</v>
      </c>
      <c r="AF143" s="17">
        <v>735.33333333333337</v>
      </c>
      <c r="AG143" s="17">
        <v>1201.3333333333333</v>
      </c>
      <c r="AH143" s="17">
        <v>203929</v>
      </c>
      <c r="AI143" s="17">
        <v>6187</v>
      </c>
      <c r="AJ143" s="17">
        <v>0</v>
      </c>
      <c r="AK143" s="17">
        <v>750.80645161290317</v>
      </c>
      <c r="AL143" s="17">
        <v>1220</v>
      </c>
      <c r="AM143" s="17">
        <v>114916</v>
      </c>
      <c r="AN143" s="17">
        <v>5751</v>
      </c>
      <c r="AO143" s="17">
        <v>0</v>
      </c>
      <c r="AP143" s="17">
        <v>867.41935483870964</v>
      </c>
      <c r="AQ143" s="17">
        <v>1220</v>
      </c>
      <c r="AR143" s="17">
        <v>208159</v>
      </c>
      <c r="AS143" s="17">
        <v>3219</v>
      </c>
      <c r="AT143" s="17">
        <v>0</v>
      </c>
      <c r="AU143" s="17">
        <v>1108.8333333333333</v>
      </c>
      <c r="AV143" s="17">
        <v>1220</v>
      </c>
      <c r="AW143" s="17">
        <v>191563</v>
      </c>
      <c r="AX143" s="17">
        <v>9244</v>
      </c>
      <c r="AY143" s="17">
        <v>0</v>
      </c>
      <c r="AZ143" s="17">
        <v>1150.6451612903227</v>
      </c>
      <c r="BA143" s="17">
        <v>1211.2903225806451</v>
      </c>
      <c r="BB143" s="17">
        <v>135897</v>
      </c>
      <c r="BC143" s="17">
        <v>8712</v>
      </c>
      <c r="BD143" s="17">
        <v>0</v>
      </c>
      <c r="BE143" s="17">
        <v>1138.3333333333333</v>
      </c>
      <c r="BF143" s="17">
        <v>1179.3333333333333</v>
      </c>
      <c r="BG143" s="17">
        <v>116669</v>
      </c>
      <c r="BH143" s="17">
        <v>8312</v>
      </c>
      <c r="BI143" s="17">
        <v>0</v>
      </c>
      <c r="BJ143" s="17">
        <v>1081.6129032258063</v>
      </c>
      <c r="BK143" s="17">
        <v>1153.2258064516129</v>
      </c>
    </row>
    <row r="144" spans="1:63" x14ac:dyDescent="0.35">
      <c r="A144" s="18">
        <v>140</v>
      </c>
      <c r="B144" s="41" t="s">
        <v>237</v>
      </c>
      <c r="C144" s="19" t="s">
        <v>394</v>
      </c>
      <c r="D144" s="17">
        <v>74101</v>
      </c>
      <c r="E144" s="17">
        <v>2696</v>
      </c>
      <c r="F144" s="17">
        <v>0</v>
      </c>
      <c r="G144" s="17">
        <v>641.12903225806451</v>
      </c>
      <c r="H144" s="17">
        <v>1050.3225806451612</v>
      </c>
      <c r="I144" s="17">
        <v>66634</v>
      </c>
      <c r="J144" s="17">
        <v>2041</v>
      </c>
      <c r="K144" s="17">
        <v>0</v>
      </c>
      <c r="L144" s="17">
        <v>668.57142857142856</v>
      </c>
      <c r="M144" s="17">
        <v>1399.2857142857142</v>
      </c>
      <c r="N144" s="17">
        <v>73649</v>
      </c>
      <c r="O144" s="17">
        <v>1003</v>
      </c>
      <c r="P144" s="17">
        <v>0</v>
      </c>
      <c r="Q144" s="17">
        <v>678.87096774193549</v>
      </c>
      <c r="R144" s="17">
        <v>1627.4193548387098</v>
      </c>
      <c r="S144" s="17">
        <v>120213</v>
      </c>
      <c r="T144" s="17">
        <v>5514</v>
      </c>
      <c r="U144" s="17">
        <v>0</v>
      </c>
      <c r="V144" s="17">
        <v>679</v>
      </c>
      <c r="W144" s="17">
        <v>1353.6666666666667</v>
      </c>
      <c r="X144" s="17">
        <v>122917</v>
      </c>
      <c r="Y144" s="17">
        <v>4001</v>
      </c>
      <c r="Z144" s="17">
        <v>0</v>
      </c>
      <c r="AA144" s="17">
        <v>742.58064516129036</v>
      </c>
      <c r="AB144" s="17">
        <v>1197.4193548387098</v>
      </c>
      <c r="AC144" s="17">
        <v>77876</v>
      </c>
      <c r="AD144" s="17">
        <v>3076</v>
      </c>
      <c r="AE144" s="17">
        <v>0</v>
      </c>
      <c r="AF144" s="17">
        <v>735.33333333333337</v>
      </c>
      <c r="AG144" s="17">
        <v>1201.3333333333333</v>
      </c>
      <c r="AH144" s="17">
        <v>151000</v>
      </c>
      <c r="AI144" s="17">
        <v>2347</v>
      </c>
      <c r="AJ144" s="17">
        <v>0</v>
      </c>
      <c r="AK144" s="17">
        <v>750.80645161290317</v>
      </c>
      <c r="AL144" s="17">
        <v>1220</v>
      </c>
      <c r="AM144" s="17">
        <v>111428</v>
      </c>
      <c r="AN144" s="17">
        <v>1620</v>
      </c>
      <c r="AO144" s="17">
        <v>0</v>
      </c>
      <c r="AP144" s="17">
        <v>867.41935483870964</v>
      </c>
      <c r="AQ144" s="17">
        <v>1220</v>
      </c>
      <c r="AR144" s="17">
        <v>106472</v>
      </c>
      <c r="AS144" s="17">
        <v>2632</v>
      </c>
      <c r="AT144" s="17">
        <v>0</v>
      </c>
      <c r="AU144" s="17">
        <v>1108.8333333333333</v>
      </c>
      <c r="AV144" s="17">
        <v>1220</v>
      </c>
      <c r="AW144" s="17">
        <v>172424</v>
      </c>
      <c r="AX144" s="17">
        <v>4207</v>
      </c>
      <c r="AY144" s="17">
        <v>0</v>
      </c>
      <c r="AZ144" s="17">
        <v>1150.6451612903227</v>
      </c>
      <c r="BA144" s="17">
        <v>1211.2903225806451</v>
      </c>
      <c r="BB144" s="17">
        <v>113594</v>
      </c>
      <c r="BC144" s="17">
        <v>5397</v>
      </c>
      <c r="BD144" s="17">
        <v>0</v>
      </c>
      <c r="BE144" s="17">
        <v>1138.3333333333333</v>
      </c>
      <c r="BF144" s="17">
        <v>1179.3333333333333</v>
      </c>
      <c r="BG144" s="17">
        <v>110055</v>
      </c>
      <c r="BH144" s="17">
        <v>4548</v>
      </c>
      <c r="BI144" s="17">
        <v>0</v>
      </c>
      <c r="BJ144" s="17">
        <v>1073.8709677419354</v>
      </c>
      <c r="BK144" s="17">
        <v>1153.2258064516129</v>
      </c>
    </row>
    <row r="145" spans="1:63" x14ac:dyDescent="0.35">
      <c r="A145" s="18">
        <v>141</v>
      </c>
      <c r="B145" s="41" t="s">
        <v>249</v>
      </c>
      <c r="C145" s="19" t="s">
        <v>395</v>
      </c>
      <c r="D145" s="17">
        <v>408049</v>
      </c>
      <c r="E145" s="17">
        <v>18988</v>
      </c>
      <c r="F145" s="17">
        <v>0</v>
      </c>
      <c r="G145" s="17">
        <v>655.9677419354839</v>
      </c>
      <c r="H145" s="17">
        <v>1050.6451612903227</v>
      </c>
      <c r="I145" s="17">
        <v>383631</v>
      </c>
      <c r="J145" s="17">
        <v>24016</v>
      </c>
      <c r="K145" s="17">
        <v>0</v>
      </c>
      <c r="L145" s="17">
        <v>673.03571428571433</v>
      </c>
      <c r="M145" s="17">
        <v>1382.3214285714287</v>
      </c>
      <c r="N145" s="17">
        <v>407931</v>
      </c>
      <c r="O145" s="17">
        <v>19094</v>
      </c>
      <c r="P145" s="17">
        <v>0</v>
      </c>
      <c r="Q145" s="17">
        <v>695</v>
      </c>
      <c r="R145" s="17">
        <v>1603.2258064516129</v>
      </c>
      <c r="S145" s="17">
        <v>318604</v>
      </c>
      <c r="T145" s="17">
        <v>14388</v>
      </c>
      <c r="U145" s="17">
        <v>0</v>
      </c>
      <c r="V145" s="17">
        <v>696.33333333333337</v>
      </c>
      <c r="W145" s="17">
        <v>1360.5</v>
      </c>
      <c r="X145" s="17">
        <v>356221</v>
      </c>
      <c r="Y145" s="17">
        <v>10628</v>
      </c>
      <c r="Z145" s="17">
        <v>0</v>
      </c>
      <c r="AA145" s="17">
        <v>789.35483870967744</v>
      </c>
      <c r="AB145" s="17">
        <v>1224.8387096774193</v>
      </c>
      <c r="AC145" s="17">
        <v>315087</v>
      </c>
      <c r="AD145" s="17">
        <v>9523</v>
      </c>
      <c r="AE145" s="17">
        <v>0</v>
      </c>
      <c r="AF145" s="17">
        <v>747.33333333333337</v>
      </c>
      <c r="AG145" s="17">
        <v>1236.3333333333333</v>
      </c>
      <c r="AH145" s="17">
        <v>439980</v>
      </c>
      <c r="AI145" s="17">
        <v>6868</v>
      </c>
      <c r="AJ145" s="17">
        <v>0</v>
      </c>
      <c r="AK145" s="17">
        <v>783.54838709677415</v>
      </c>
      <c r="AL145" s="17">
        <v>1255</v>
      </c>
      <c r="AM145" s="17">
        <v>219945</v>
      </c>
      <c r="AN145" s="17">
        <v>10642</v>
      </c>
      <c r="AO145" s="17">
        <v>0</v>
      </c>
      <c r="AP145" s="17">
        <v>900.32258064516134</v>
      </c>
      <c r="AQ145" s="17">
        <v>1254.8387096774193</v>
      </c>
      <c r="AR145" s="17">
        <v>333469</v>
      </c>
      <c r="AS145" s="17">
        <v>15875</v>
      </c>
      <c r="AT145" s="17">
        <v>0</v>
      </c>
      <c r="AU145" s="17">
        <v>1075</v>
      </c>
      <c r="AV145" s="17">
        <v>1254.8333333333333</v>
      </c>
      <c r="AW145" s="17">
        <v>242905</v>
      </c>
      <c r="AX145" s="17">
        <v>26020</v>
      </c>
      <c r="AY145" s="17">
        <v>0</v>
      </c>
      <c r="AZ145" s="17">
        <v>1225.8064516129032</v>
      </c>
      <c r="BA145" s="17">
        <v>1244.516129032258</v>
      </c>
      <c r="BB145" s="17">
        <v>270558</v>
      </c>
      <c r="BC145" s="17">
        <v>15948</v>
      </c>
      <c r="BD145" s="17">
        <v>0</v>
      </c>
      <c r="BE145" s="17">
        <v>1141.6666666666667</v>
      </c>
      <c r="BF145" s="17">
        <v>1214.6666666666667</v>
      </c>
      <c r="BG145" s="17">
        <v>289368</v>
      </c>
      <c r="BH145" s="17">
        <v>28414</v>
      </c>
      <c r="BI145" s="17">
        <v>0</v>
      </c>
      <c r="BJ145" s="17">
        <v>1086.7741935483871</v>
      </c>
      <c r="BK145" s="17">
        <v>1200</v>
      </c>
    </row>
    <row r="146" spans="1:63" x14ac:dyDescent="0.35">
      <c r="A146" s="18">
        <v>142</v>
      </c>
      <c r="B146" s="41" t="s">
        <v>249</v>
      </c>
      <c r="C146" s="19" t="s">
        <v>396</v>
      </c>
      <c r="D146" s="17">
        <v>385460</v>
      </c>
      <c r="E146" s="17">
        <v>15732</v>
      </c>
      <c r="F146" s="17">
        <v>0</v>
      </c>
      <c r="G146" s="17">
        <v>655.9677419354839</v>
      </c>
      <c r="H146" s="17">
        <v>1050.6451612903227</v>
      </c>
      <c r="I146" s="17">
        <v>350663</v>
      </c>
      <c r="J146" s="17">
        <v>7663</v>
      </c>
      <c r="K146" s="17">
        <v>0</v>
      </c>
      <c r="L146" s="17">
        <v>674.64285714285711</v>
      </c>
      <c r="M146" s="17">
        <v>1382.3214285714287</v>
      </c>
      <c r="N146" s="17">
        <v>379183</v>
      </c>
      <c r="O146" s="17">
        <v>6141</v>
      </c>
      <c r="P146" s="17">
        <v>0</v>
      </c>
      <c r="Q146" s="17">
        <v>693.54838709677415</v>
      </c>
      <c r="R146" s="17">
        <v>1603.2258064516129</v>
      </c>
      <c r="S146" s="17">
        <v>305806</v>
      </c>
      <c r="T146" s="17">
        <v>11913</v>
      </c>
      <c r="U146" s="17">
        <v>0</v>
      </c>
      <c r="V146" s="17">
        <v>696</v>
      </c>
      <c r="W146" s="17">
        <v>1360.5</v>
      </c>
      <c r="X146" s="17">
        <v>295238</v>
      </c>
      <c r="Y146" s="17">
        <v>12863</v>
      </c>
      <c r="Z146" s="17">
        <v>0</v>
      </c>
      <c r="AA146" s="17">
        <v>787.74193548387098</v>
      </c>
      <c r="AB146" s="17">
        <v>1225.9677419354839</v>
      </c>
      <c r="AC146" s="17">
        <v>274881</v>
      </c>
      <c r="AD146" s="17">
        <v>9281</v>
      </c>
      <c r="AE146" s="17">
        <v>0</v>
      </c>
      <c r="AF146" s="17">
        <v>747.33333333333337</v>
      </c>
      <c r="AG146" s="17">
        <v>1236.3333333333333</v>
      </c>
      <c r="AH146" s="17">
        <v>425704</v>
      </c>
      <c r="AI146" s="17">
        <v>10579</v>
      </c>
      <c r="AJ146" s="17">
        <v>0</v>
      </c>
      <c r="AK146" s="17">
        <v>782.25806451612902</v>
      </c>
      <c r="AL146" s="17">
        <v>1255</v>
      </c>
      <c r="AM146" s="17">
        <v>221421</v>
      </c>
      <c r="AN146" s="17">
        <v>9010</v>
      </c>
      <c r="AO146" s="17">
        <v>0</v>
      </c>
      <c r="AP146" s="17">
        <v>901.61290322580646</v>
      </c>
      <c r="AQ146" s="17">
        <v>1255</v>
      </c>
      <c r="AR146" s="17">
        <v>359916</v>
      </c>
      <c r="AS146" s="17">
        <v>19319</v>
      </c>
      <c r="AT146" s="17">
        <v>0</v>
      </c>
      <c r="AU146" s="17">
        <v>1075</v>
      </c>
      <c r="AV146" s="17">
        <v>1255</v>
      </c>
      <c r="AW146" s="17">
        <v>267046</v>
      </c>
      <c r="AX146" s="17">
        <v>29730</v>
      </c>
      <c r="AY146" s="17">
        <v>0</v>
      </c>
      <c r="AZ146" s="17">
        <v>1232.258064516129</v>
      </c>
      <c r="BA146" s="17">
        <v>1244.8387096774193</v>
      </c>
      <c r="BB146" s="17">
        <v>259071</v>
      </c>
      <c r="BC146" s="17">
        <v>32110</v>
      </c>
      <c r="BD146" s="17">
        <v>0</v>
      </c>
      <c r="BE146" s="17">
        <v>1141.3333333333333</v>
      </c>
      <c r="BF146" s="17">
        <v>1215.3333333333333</v>
      </c>
      <c r="BG146" s="17">
        <v>277222</v>
      </c>
      <c r="BH146" s="17">
        <v>31380</v>
      </c>
      <c r="BI146" s="17">
        <v>0</v>
      </c>
      <c r="BJ146" s="17">
        <v>1086.7741935483871</v>
      </c>
      <c r="BK146" s="17">
        <v>1200</v>
      </c>
    </row>
    <row r="147" spans="1:63" x14ac:dyDescent="0.35">
      <c r="A147" s="18">
        <v>143</v>
      </c>
      <c r="B147" s="41" t="s">
        <v>250</v>
      </c>
      <c r="C147" s="19" t="s">
        <v>397</v>
      </c>
      <c r="D147" s="17">
        <v>69786</v>
      </c>
      <c r="E147" s="17">
        <v>11683</v>
      </c>
      <c r="F147" s="17">
        <v>0</v>
      </c>
      <c r="G147" s="17">
        <v>680</v>
      </c>
      <c r="H147" s="17">
        <v>1085.483870967742</v>
      </c>
      <c r="I147" s="17">
        <v>132570</v>
      </c>
      <c r="J147" s="17">
        <v>10818</v>
      </c>
      <c r="K147" s="17">
        <v>0</v>
      </c>
      <c r="L147" s="17">
        <v>700</v>
      </c>
      <c r="M147" s="17">
        <v>1384.2857142857142</v>
      </c>
      <c r="N147" s="17">
        <v>124128</v>
      </c>
      <c r="O147" s="17">
        <v>15718</v>
      </c>
      <c r="P147" s="17">
        <v>0</v>
      </c>
      <c r="Q147" s="17">
        <v>720</v>
      </c>
      <c r="R147" s="17">
        <v>1608.0645161290322</v>
      </c>
      <c r="S147" s="17">
        <v>135395</v>
      </c>
      <c r="T147" s="17">
        <v>5444</v>
      </c>
      <c r="U147" s="17">
        <v>0</v>
      </c>
      <c r="V147" s="17">
        <v>731.66666666666663</v>
      </c>
      <c r="W147" s="17">
        <v>1418.3333333333333</v>
      </c>
      <c r="X147" s="17">
        <v>182495</v>
      </c>
      <c r="Y147" s="17">
        <v>15153</v>
      </c>
      <c r="Z147" s="17">
        <v>482</v>
      </c>
      <c r="AA147" s="17">
        <v>833.87096774193549</v>
      </c>
      <c r="AB147" s="17">
        <v>1250</v>
      </c>
      <c r="AC147" s="17">
        <v>159612</v>
      </c>
      <c r="AD147" s="17">
        <v>11161</v>
      </c>
      <c r="AE147" s="17">
        <v>0</v>
      </c>
      <c r="AF147" s="17">
        <v>770.66666666666663</v>
      </c>
      <c r="AG147" s="17">
        <v>1230.3333333333333</v>
      </c>
      <c r="AH147" s="17">
        <v>195968</v>
      </c>
      <c r="AI147" s="17">
        <v>4729</v>
      </c>
      <c r="AJ147" s="17">
        <v>0</v>
      </c>
      <c r="AK147" s="17">
        <v>787.74193548387098</v>
      </c>
      <c r="AL147" s="17">
        <v>1240</v>
      </c>
      <c r="AM147" s="17">
        <v>131730</v>
      </c>
      <c r="AN147" s="17">
        <v>1738</v>
      </c>
      <c r="AO147" s="17">
        <v>0</v>
      </c>
      <c r="AP147" s="17">
        <v>859.35483870967744</v>
      </c>
      <c r="AQ147" s="17">
        <v>1240</v>
      </c>
      <c r="AR147" s="17">
        <v>94571</v>
      </c>
      <c r="AS147" s="17">
        <v>1543</v>
      </c>
      <c r="AT147" s="17">
        <v>0</v>
      </c>
      <c r="AU147" s="17">
        <v>1111</v>
      </c>
      <c r="AV147" s="17">
        <v>1240</v>
      </c>
      <c r="AW147" s="17">
        <v>100220</v>
      </c>
      <c r="AX147" s="17">
        <v>14528</v>
      </c>
      <c r="AY147" s="17">
        <v>0</v>
      </c>
      <c r="AZ147" s="17">
        <v>1214.516129032258</v>
      </c>
      <c r="BA147" s="17">
        <v>1240</v>
      </c>
      <c r="BB147" s="17">
        <v>82414</v>
      </c>
      <c r="BC147" s="17">
        <v>22088</v>
      </c>
      <c r="BD147" s="17">
        <v>0</v>
      </c>
      <c r="BE147" s="17">
        <v>1170.3333333333333</v>
      </c>
      <c r="BF147" s="17">
        <v>1209.3333333333333</v>
      </c>
      <c r="BG147" s="17">
        <v>102274</v>
      </c>
      <c r="BH147" s="17">
        <v>13891</v>
      </c>
      <c r="BI147" s="17">
        <v>0</v>
      </c>
      <c r="BJ147" s="17">
        <v>1112.9032258064517</v>
      </c>
      <c r="BK147" s="17">
        <v>1197.741935483871</v>
      </c>
    </row>
    <row r="148" spans="1:63" x14ac:dyDescent="0.35">
      <c r="A148" s="18">
        <v>144</v>
      </c>
      <c r="B148" s="41" t="s">
        <v>244</v>
      </c>
      <c r="C148" s="19" t="s">
        <v>398</v>
      </c>
      <c r="D148" s="17">
        <v>120113</v>
      </c>
      <c r="E148" s="17">
        <v>16152</v>
      </c>
      <c r="F148" s="17">
        <v>0</v>
      </c>
      <c r="G148" s="17">
        <v>672.58064516129036</v>
      </c>
      <c r="H148" s="17">
        <v>1077.4193548387098</v>
      </c>
      <c r="I148" s="17">
        <v>190305</v>
      </c>
      <c r="J148" s="17">
        <v>25062</v>
      </c>
      <c r="K148" s="17">
        <v>0</v>
      </c>
      <c r="L148" s="17">
        <v>674.64285714285711</v>
      </c>
      <c r="M148" s="17">
        <v>1399.8214285714287</v>
      </c>
      <c r="N148" s="17">
        <v>199000</v>
      </c>
      <c r="O148" s="17">
        <v>23425</v>
      </c>
      <c r="P148" s="17">
        <v>0</v>
      </c>
      <c r="Q148" s="17">
        <v>689.19354838709683</v>
      </c>
      <c r="R148" s="17">
        <v>1611.2903225806451</v>
      </c>
      <c r="S148" s="17">
        <v>210962</v>
      </c>
      <c r="T148" s="17">
        <v>19119</v>
      </c>
      <c r="U148" s="17">
        <v>0</v>
      </c>
      <c r="V148" s="17">
        <v>702.5</v>
      </c>
      <c r="W148" s="17">
        <v>1424</v>
      </c>
      <c r="X148" s="17">
        <v>150187</v>
      </c>
      <c r="Y148" s="17">
        <v>28639</v>
      </c>
      <c r="Z148" s="17">
        <v>0</v>
      </c>
      <c r="AA148" s="17">
        <v>810.32258064516134</v>
      </c>
      <c r="AB148" s="17">
        <v>1242.258064516129</v>
      </c>
      <c r="AC148" s="17">
        <v>191143</v>
      </c>
      <c r="AD148" s="17">
        <v>21323</v>
      </c>
      <c r="AE148" s="17">
        <v>0</v>
      </c>
      <c r="AF148" s="17">
        <v>750</v>
      </c>
      <c r="AG148" s="17">
        <v>1251.3333333333333</v>
      </c>
      <c r="AH148" s="17">
        <v>125496</v>
      </c>
      <c r="AI148" s="17">
        <v>14062</v>
      </c>
      <c r="AJ148" s="17">
        <v>0</v>
      </c>
      <c r="AK148" s="17">
        <v>762.90322580645159</v>
      </c>
      <c r="AL148" s="17">
        <v>1252.5806451612902</v>
      </c>
      <c r="AM148" s="17">
        <v>67222</v>
      </c>
      <c r="AN148" s="17">
        <v>11169</v>
      </c>
      <c r="AO148" s="17">
        <v>0</v>
      </c>
      <c r="AP148" s="17">
        <v>835.16129032258061</v>
      </c>
      <c r="AQ148" s="17">
        <v>1238.3870967741937</v>
      </c>
      <c r="AR148" s="17">
        <v>111092</v>
      </c>
      <c r="AS148" s="17">
        <v>9801</v>
      </c>
      <c r="AT148" s="17">
        <v>0</v>
      </c>
      <c r="AU148" s="17">
        <v>1066.6666666666667</v>
      </c>
      <c r="AV148" s="17">
        <v>1220</v>
      </c>
      <c r="AW148" s="17">
        <v>144854</v>
      </c>
      <c r="AX148" s="17">
        <v>6891</v>
      </c>
      <c r="AY148" s="17">
        <v>0</v>
      </c>
      <c r="AZ148" s="17">
        <v>1197.4193548387098</v>
      </c>
      <c r="BA148" s="17">
        <v>1220</v>
      </c>
      <c r="BB148" s="17">
        <v>252944</v>
      </c>
      <c r="BC148" s="17">
        <v>1471</v>
      </c>
      <c r="BD148" s="17">
        <v>0</v>
      </c>
      <c r="BE148" s="17">
        <v>1149.3333333333333</v>
      </c>
      <c r="BF148" s="17">
        <v>1209.3333333333333</v>
      </c>
      <c r="BG148" s="17">
        <v>161144</v>
      </c>
      <c r="BH148" s="17">
        <v>2649</v>
      </c>
      <c r="BI148" s="17">
        <v>0</v>
      </c>
      <c r="BJ148" s="17">
        <v>1109.3548387096773</v>
      </c>
      <c r="BK148" s="17">
        <v>1193.5483870967741</v>
      </c>
    </row>
    <row r="149" spans="1:63" x14ac:dyDescent="0.35">
      <c r="A149" s="18">
        <v>145</v>
      </c>
      <c r="B149" s="41" t="s">
        <v>243</v>
      </c>
      <c r="C149" s="19" t="s">
        <v>399</v>
      </c>
      <c r="D149" s="17">
        <v>218576</v>
      </c>
      <c r="E149" s="17">
        <v>5034</v>
      </c>
      <c r="F149" s="17">
        <v>652</v>
      </c>
      <c r="G149" s="17">
        <v>652.90322580645159</v>
      </c>
      <c r="H149" s="17">
        <v>1051.4516129032259</v>
      </c>
      <c r="I149" s="17">
        <v>239703</v>
      </c>
      <c r="J149" s="17">
        <v>4516</v>
      </c>
      <c r="K149" s="17">
        <v>536</v>
      </c>
      <c r="L149" s="17">
        <v>669.46428571428567</v>
      </c>
      <c r="M149" s="17">
        <v>1406.4285714285713</v>
      </c>
      <c r="N149" s="17">
        <v>250038</v>
      </c>
      <c r="O149" s="17">
        <v>4016</v>
      </c>
      <c r="P149" s="17">
        <v>952</v>
      </c>
      <c r="Q149" s="17">
        <v>695</v>
      </c>
      <c r="R149" s="17">
        <v>1590.3225806451612</v>
      </c>
      <c r="S149" s="17">
        <v>260706</v>
      </c>
      <c r="T149" s="17">
        <v>7785</v>
      </c>
      <c r="U149" s="17">
        <v>1282</v>
      </c>
      <c r="V149" s="17">
        <v>695</v>
      </c>
      <c r="W149" s="17">
        <v>1353.6666666666667</v>
      </c>
      <c r="X149" s="17">
        <v>211298</v>
      </c>
      <c r="Y149" s="17">
        <v>5583</v>
      </c>
      <c r="Z149" s="17">
        <v>1152</v>
      </c>
      <c r="AA149" s="17">
        <v>741.61290322580646</v>
      </c>
      <c r="AB149" s="17">
        <v>1197.4193548387098</v>
      </c>
      <c r="AC149" s="17">
        <v>197369</v>
      </c>
      <c r="AD149" s="17">
        <v>6452</v>
      </c>
      <c r="AE149" s="17">
        <v>827</v>
      </c>
      <c r="AF149" s="17">
        <v>731.66666666666663</v>
      </c>
      <c r="AG149" s="17">
        <v>1182.3333333333333</v>
      </c>
      <c r="AH149" s="17">
        <v>185963</v>
      </c>
      <c r="AI149" s="17">
        <v>5808</v>
      </c>
      <c r="AJ149" s="17">
        <v>913</v>
      </c>
      <c r="AK149" s="17">
        <v>747.58064516129036</v>
      </c>
      <c r="AL149" s="17">
        <v>1199.0322580645161</v>
      </c>
      <c r="AM149" s="17">
        <v>126968</v>
      </c>
      <c r="AN149" s="17">
        <v>4195</v>
      </c>
      <c r="AO149" s="17">
        <v>501</v>
      </c>
      <c r="AP149" s="17">
        <v>836.45161290322585</v>
      </c>
      <c r="AQ149" s="17">
        <v>1200.6451612903227</v>
      </c>
      <c r="AR149" s="17">
        <v>169505</v>
      </c>
      <c r="AS149" s="17">
        <v>3588</v>
      </c>
      <c r="AT149" s="17">
        <v>683</v>
      </c>
      <c r="AU149" s="17">
        <v>1106.1666666666667</v>
      </c>
      <c r="AV149" s="17">
        <v>1200</v>
      </c>
      <c r="AW149" s="17">
        <v>142286</v>
      </c>
      <c r="AX149" s="17">
        <v>4687</v>
      </c>
      <c r="AY149" s="17">
        <v>970</v>
      </c>
      <c r="AZ149" s="17">
        <v>1161.6129032258063</v>
      </c>
      <c r="BA149" s="17">
        <v>1195.8064516129032</v>
      </c>
      <c r="BB149" s="17">
        <v>154629</v>
      </c>
      <c r="BC149" s="17">
        <v>6377</v>
      </c>
      <c r="BD149" s="17">
        <v>748</v>
      </c>
      <c r="BE149" s="17">
        <v>1132.6666666666667</v>
      </c>
      <c r="BF149" s="17">
        <v>1179.3333333333333</v>
      </c>
      <c r="BG149" s="17">
        <v>152639</v>
      </c>
      <c r="BH149" s="17">
        <v>4663</v>
      </c>
      <c r="BI149" s="17">
        <v>813</v>
      </c>
      <c r="BJ149" s="17">
        <v>1090.6451612903227</v>
      </c>
      <c r="BK149" s="17">
        <v>1153.2258064516129</v>
      </c>
    </row>
    <row r="150" spans="1:63" x14ac:dyDescent="0.35">
      <c r="A150" s="18">
        <v>146</v>
      </c>
      <c r="B150" s="41" t="s">
        <v>239</v>
      </c>
      <c r="C150" s="19" t="s">
        <v>400</v>
      </c>
      <c r="D150" s="17">
        <v>250795</v>
      </c>
      <c r="E150" s="17">
        <v>59106</v>
      </c>
      <c r="F150" s="17">
        <v>0</v>
      </c>
      <c r="G150" s="17">
        <v>660</v>
      </c>
      <c r="H150" s="17">
        <v>1063.2258064516129</v>
      </c>
      <c r="I150" s="17">
        <v>220762</v>
      </c>
      <c r="J150" s="17">
        <v>67001</v>
      </c>
      <c r="K150" s="17">
        <v>0</v>
      </c>
      <c r="L150" s="17">
        <v>670.17857142857144</v>
      </c>
      <c r="M150" s="17">
        <v>1409.2857142857142</v>
      </c>
      <c r="N150" s="17">
        <v>263573</v>
      </c>
      <c r="O150" s="17">
        <v>58601</v>
      </c>
      <c r="P150" s="17">
        <v>0</v>
      </c>
      <c r="Q150" s="17">
        <v>695</v>
      </c>
      <c r="R150" s="17">
        <v>1590.3225806451612</v>
      </c>
      <c r="S150" s="17">
        <v>242300</v>
      </c>
      <c r="T150" s="17">
        <v>61545</v>
      </c>
      <c r="U150" s="17">
        <v>0</v>
      </c>
      <c r="V150" s="17">
        <v>696.16666666666663</v>
      </c>
      <c r="W150" s="17">
        <v>1362</v>
      </c>
      <c r="X150" s="17">
        <v>185990</v>
      </c>
      <c r="Y150" s="17">
        <v>53204</v>
      </c>
      <c r="Z150" s="17">
        <v>0</v>
      </c>
      <c r="AA150" s="17">
        <v>778.06451612903231</v>
      </c>
      <c r="AB150" s="17">
        <v>1214.516129032258</v>
      </c>
      <c r="AC150" s="17">
        <v>176560</v>
      </c>
      <c r="AD150" s="17">
        <v>48938</v>
      </c>
      <c r="AE150" s="17">
        <v>0</v>
      </c>
      <c r="AF150" s="17">
        <v>752.66666666666663</v>
      </c>
      <c r="AG150" s="17">
        <v>1189.3333333333333</v>
      </c>
      <c r="AH150" s="17">
        <v>292511</v>
      </c>
      <c r="AI150" s="17">
        <v>49253</v>
      </c>
      <c r="AJ150" s="17">
        <v>0</v>
      </c>
      <c r="AK150" s="17">
        <v>750.80645161290317</v>
      </c>
      <c r="AL150" s="17">
        <v>1208.0645161290322</v>
      </c>
      <c r="AM150" s="17">
        <v>100750</v>
      </c>
      <c r="AN150" s="17">
        <v>52004</v>
      </c>
      <c r="AO150" s="17">
        <v>0</v>
      </c>
      <c r="AP150" s="17">
        <v>847.25806451612902</v>
      </c>
      <c r="AQ150" s="17">
        <v>1230</v>
      </c>
      <c r="AR150" s="17">
        <v>135374</v>
      </c>
      <c r="AS150" s="17">
        <v>50518</v>
      </c>
      <c r="AT150" s="17">
        <v>0</v>
      </c>
      <c r="AU150" s="17">
        <v>1109.5</v>
      </c>
      <c r="AV150" s="17">
        <v>1228.6666666666667</v>
      </c>
      <c r="AW150" s="17">
        <v>235254</v>
      </c>
      <c r="AX150" s="17">
        <v>65101</v>
      </c>
      <c r="AY150" s="17">
        <v>0</v>
      </c>
      <c r="AZ150" s="17">
        <v>1179.6774193548388</v>
      </c>
      <c r="BA150" s="17">
        <v>1218.3870967741937</v>
      </c>
      <c r="BB150" s="17">
        <v>236590</v>
      </c>
      <c r="BC150" s="17">
        <v>72223</v>
      </c>
      <c r="BD150" s="17">
        <v>0</v>
      </c>
      <c r="BE150" s="17">
        <v>1137</v>
      </c>
      <c r="BF150" s="17">
        <v>1170.3333333333333</v>
      </c>
      <c r="BG150" s="17">
        <v>255573</v>
      </c>
      <c r="BH150" s="17">
        <v>40696</v>
      </c>
      <c r="BI150" s="17">
        <v>0</v>
      </c>
      <c r="BJ150" s="17">
        <v>1084.516129032258</v>
      </c>
      <c r="BK150" s="17">
        <v>1150</v>
      </c>
    </row>
    <row r="151" spans="1:63" x14ac:dyDescent="0.35">
      <c r="A151" s="18">
        <v>147</v>
      </c>
      <c r="B151" s="41" t="s">
        <v>236</v>
      </c>
      <c r="C151" s="19" t="s">
        <v>401</v>
      </c>
      <c r="D151" s="17">
        <v>281863</v>
      </c>
      <c r="E151" s="17">
        <v>9114</v>
      </c>
      <c r="F151" s="17">
        <v>1724</v>
      </c>
      <c r="G151" s="17">
        <v>622.58064516129036</v>
      </c>
      <c r="H151" s="17">
        <v>1056.9354838709678</v>
      </c>
      <c r="I151" s="17">
        <v>188836</v>
      </c>
      <c r="J151" s="17">
        <v>16559</v>
      </c>
      <c r="K151" s="17">
        <v>1171</v>
      </c>
      <c r="L151" s="17">
        <v>645.89285714285711</v>
      </c>
      <c r="M151" s="17">
        <v>1393.9285714285713</v>
      </c>
      <c r="N151" s="17">
        <v>128988</v>
      </c>
      <c r="O151" s="17">
        <v>9445</v>
      </c>
      <c r="P151" s="17">
        <v>2115</v>
      </c>
      <c r="Q151" s="17">
        <v>655.80645161290317</v>
      </c>
      <c r="R151" s="17">
        <v>1562.9032258064517</v>
      </c>
      <c r="S151" s="17">
        <v>403561</v>
      </c>
      <c r="T151" s="17">
        <v>16452</v>
      </c>
      <c r="U151" s="17">
        <v>2398</v>
      </c>
      <c r="V151" s="17">
        <v>665</v>
      </c>
      <c r="W151" s="17">
        <v>1385</v>
      </c>
      <c r="X151" s="17">
        <v>243255</v>
      </c>
      <c r="Y151" s="17">
        <v>7100</v>
      </c>
      <c r="Z151" s="17">
        <v>3883</v>
      </c>
      <c r="AA151" s="17">
        <v>742.90322580645159</v>
      </c>
      <c r="AB151" s="17">
        <v>1230.9677419354839</v>
      </c>
      <c r="AC151" s="17">
        <v>246645</v>
      </c>
      <c r="AD151" s="17">
        <v>5683</v>
      </c>
      <c r="AE151" s="17">
        <v>4472</v>
      </c>
      <c r="AF151" s="17">
        <v>650.66666666666663</v>
      </c>
      <c r="AG151" s="17">
        <v>1219.3333333333333</v>
      </c>
      <c r="AH151" s="17">
        <v>384294</v>
      </c>
      <c r="AI151" s="17">
        <v>4878</v>
      </c>
      <c r="AJ151" s="17">
        <v>1662</v>
      </c>
      <c r="AK151" s="17">
        <v>741.61290322580646</v>
      </c>
      <c r="AL151" s="17">
        <v>1200</v>
      </c>
      <c r="AM151" s="17">
        <v>210191</v>
      </c>
      <c r="AN151" s="17">
        <v>3436</v>
      </c>
      <c r="AO151" s="17">
        <v>1611</v>
      </c>
      <c r="AP151" s="17">
        <v>813.54838709677415</v>
      </c>
      <c r="AQ151" s="17">
        <v>1200</v>
      </c>
      <c r="AR151" s="17">
        <v>162702</v>
      </c>
      <c r="AS151" s="17">
        <v>4226</v>
      </c>
      <c r="AT151" s="17">
        <v>2075</v>
      </c>
      <c r="AU151" s="17">
        <v>997.33333333333337</v>
      </c>
      <c r="AV151" s="17">
        <v>1200</v>
      </c>
      <c r="AW151" s="17">
        <v>190005</v>
      </c>
      <c r="AX151" s="17">
        <v>6244</v>
      </c>
      <c r="AY151" s="17">
        <v>644</v>
      </c>
      <c r="AZ151" s="17">
        <v>1085.1612903225807</v>
      </c>
      <c r="BA151" s="17">
        <v>1200</v>
      </c>
      <c r="BB151" s="17">
        <v>122496</v>
      </c>
      <c r="BC151" s="17">
        <v>9980</v>
      </c>
      <c r="BD151" s="17">
        <v>1426</v>
      </c>
      <c r="BE151" s="17">
        <v>1090.6666666666667</v>
      </c>
      <c r="BF151" s="17">
        <v>1178.3333333333333</v>
      </c>
      <c r="BG151" s="17">
        <v>83193</v>
      </c>
      <c r="BH151" s="17">
        <v>9593</v>
      </c>
      <c r="BI151" s="17">
        <v>2512</v>
      </c>
      <c r="BJ151" s="17">
        <v>1044.516129032258</v>
      </c>
      <c r="BK151" s="17">
        <v>1150</v>
      </c>
    </row>
    <row r="152" spans="1:63" x14ac:dyDescent="0.35">
      <c r="A152" s="18">
        <v>148</v>
      </c>
      <c r="B152" s="41" t="s">
        <v>242</v>
      </c>
      <c r="C152" s="19" t="s">
        <v>402</v>
      </c>
      <c r="D152" s="17">
        <v>452079</v>
      </c>
      <c r="E152" s="17">
        <v>311608</v>
      </c>
      <c r="F152" s="17">
        <v>0</v>
      </c>
      <c r="G152" s="17">
        <v>649.83870967741939</v>
      </c>
      <c r="H152" s="17">
        <v>1046.9354838709678</v>
      </c>
      <c r="I152" s="17">
        <v>355721</v>
      </c>
      <c r="J152" s="17">
        <v>303743</v>
      </c>
      <c r="K152" s="17">
        <v>0</v>
      </c>
      <c r="L152" s="17">
        <v>666.42857142857144</v>
      </c>
      <c r="M152" s="17">
        <v>1395.3571428571429</v>
      </c>
      <c r="N152" s="17">
        <v>345877</v>
      </c>
      <c r="O152" s="17">
        <v>278941</v>
      </c>
      <c r="P152" s="17">
        <v>0</v>
      </c>
      <c r="Q152" s="17">
        <v>680.48387096774195</v>
      </c>
      <c r="R152" s="17">
        <v>1562.9032258064517</v>
      </c>
      <c r="S152" s="17">
        <v>368949</v>
      </c>
      <c r="T152" s="17">
        <v>272760</v>
      </c>
      <c r="U152" s="17">
        <v>0</v>
      </c>
      <c r="V152" s="17">
        <v>680</v>
      </c>
      <c r="W152" s="17">
        <v>1341</v>
      </c>
      <c r="X152" s="17">
        <v>361531</v>
      </c>
      <c r="Y152" s="17">
        <v>326630</v>
      </c>
      <c r="Z152" s="17">
        <v>0</v>
      </c>
      <c r="AA152" s="17">
        <v>721.12903225806451</v>
      </c>
      <c r="AB152" s="17">
        <v>1187.0967741935483</v>
      </c>
      <c r="AC152" s="17">
        <v>286747</v>
      </c>
      <c r="AD152" s="17">
        <v>216286</v>
      </c>
      <c r="AE152" s="17">
        <v>0</v>
      </c>
      <c r="AF152" s="17">
        <v>716</v>
      </c>
      <c r="AG152" s="17">
        <v>1181.3333333333333</v>
      </c>
      <c r="AH152" s="17">
        <v>301595</v>
      </c>
      <c r="AI152" s="17">
        <v>187461</v>
      </c>
      <c r="AJ152" s="17">
        <v>0</v>
      </c>
      <c r="AK152" s="17">
        <v>746.45161290322585</v>
      </c>
      <c r="AL152" s="17">
        <v>1207.4193548387098</v>
      </c>
      <c r="AM152" s="17">
        <v>150995</v>
      </c>
      <c r="AN152" s="17">
        <v>85348</v>
      </c>
      <c r="AO152" s="17">
        <v>0</v>
      </c>
      <c r="AP152" s="17">
        <v>842.25806451612902</v>
      </c>
      <c r="AQ152" s="17">
        <v>1230</v>
      </c>
      <c r="AR152" s="17">
        <v>9972</v>
      </c>
      <c r="AS152" s="17">
        <v>1922</v>
      </c>
      <c r="AT152" s="17">
        <v>0</v>
      </c>
      <c r="AU152" s="17">
        <v>1107.5</v>
      </c>
      <c r="AV152" s="17">
        <v>1229.6666666666667</v>
      </c>
      <c r="AW152" s="17">
        <v>0</v>
      </c>
      <c r="AX152" s="17">
        <v>0</v>
      </c>
      <c r="AY152" s="17">
        <v>0</v>
      </c>
      <c r="AZ152" s="17">
        <v>1186.4516129032259</v>
      </c>
      <c r="BA152" s="17">
        <v>1218.7096774193549</v>
      </c>
      <c r="BB152" s="17">
        <v>102544</v>
      </c>
      <c r="BC152" s="17">
        <v>89726</v>
      </c>
      <c r="BD152" s="17">
        <v>0</v>
      </c>
      <c r="BE152" s="17">
        <v>1126</v>
      </c>
      <c r="BF152" s="17">
        <v>1171.3333333333333</v>
      </c>
      <c r="BG152" s="17">
        <v>194191</v>
      </c>
      <c r="BH152" s="17">
        <v>117094</v>
      </c>
      <c r="BI152" s="17">
        <v>0</v>
      </c>
      <c r="BJ152" s="17">
        <v>1072.5806451612902</v>
      </c>
      <c r="BK152" s="17">
        <v>1150</v>
      </c>
    </row>
    <row r="153" spans="1:63" x14ac:dyDescent="0.35">
      <c r="A153" s="18">
        <v>149</v>
      </c>
      <c r="B153" s="41" t="s">
        <v>243</v>
      </c>
      <c r="C153" s="19" t="s">
        <v>403</v>
      </c>
      <c r="D153" s="17">
        <v>122963</v>
      </c>
      <c r="E153" s="17">
        <v>18152</v>
      </c>
      <c r="F153" s="17">
        <v>0</v>
      </c>
      <c r="G153" s="17">
        <v>652.25806451612902</v>
      </c>
      <c r="H153" s="17">
        <v>1066.7741935483871</v>
      </c>
      <c r="I153" s="17">
        <v>134528</v>
      </c>
      <c r="J153" s="17">
        <v>12703</v>
      </c>
      <c r="K153" s="17">
        <v>0</v>
      </c>
      <c r="L153" s="17">
        <v>670.17857142857144</v>
      </c>
      <c r="M153" s="17">
        <v>1406.4285714285713</v>
      </c>
      <c r="N153" s="17">
        <v>123056</v>
      </c>
      <c r="O153" s="17">
        <v>8898</v>
      </c>
      <c r="P153" s="17">
        <v>0</v>
      </c>
      <c r="Q153" s="17">
        <v>695</v>
      </c>
      <c r="R153" s="17">
        <v>1590.3225806451612</v>
      </c>
      <c r="S153" s="17">
        <v>148854</v>
      </c>
      <c r="T153" s="17">
        <v>12101</v>
      </c>
      <c r="U153" s="17">
        <v>0</v>
      </c>
      <c r="V153" s="17">
        <v>695</v>
      </c>
      <c r="W153" s="17">
        <v>1353.6666666666667</v>
      </c>
      <c r="X153" s="17">
        <v>154712</v>
      </c>
      <c r="Y153" s="17">
        <v>11695</v>
      </c>
      <c r="Z153" s="17">
        <v>0</v>
      </c>
      <c r="AA153" s="17">
        <v>755.16129032258061</v>
      </c>
      <c r="AB153" s="17">
        <v>1197.4193548387098</v>
      </c>
      <c r="AC153" s="17">
        <v>137712</v>
      </c>
      <c r="AD153" s="17">
        <v>12971</v>
      </c>
      <c r="AE153" s="17">
        <v>0</v>
      </c>
      <c r="AF153" s="17">
        <v>736</v>
      </c>
      <c r="AG153" s="17">
        <v>1200.6666666666667</v>
      </c>
      <c r="AH153" s="17">
        <v>173889</v>
      </c>
      <c r="AI153" s="17">
        <v>25152</v>
      </c>
      <c r="AJ153" s="17">
        <v>0</v>
      </c>
      <c r="AK153" s="17">
        <v>766.93548387096769</v>
      </c>
      <c r="AL153" s="17">
        <v>1220</v>
      </c>
      <c r="AM153" s="17">
        <v>97748</v>
      </c>
      <c r="AN153" s="17">
        <v>9168</v>
      </c>
      <c r="AO153" s="17">
        <v>0</v>
      </c>
      <c r="AP153" s="17">
        <v>860.64516129032256</v>
      </c>
      <c r="AQ153" s="17">
        <v>1220</v>
      </c>
      <c r="AR153" s="17">
        <v>206191</v>
      </c>
      <c r="AS153" s="17">
        <v>10606</v>
      </c>
      <c r="AT153" s="17">
        <v>0</v>
      </c>
      <c r="AU153" s="17">
        <v>1108.1666666666667</v>
      </c>
      <c r="AV153" s="17">
        <v>1220</v>
      </c>
      <c r="AW153" s="17">
        <v>141244</v>
      </c>
      <c r="AX153" s="17">
        <v>15182</v>
      </c>
      <c r="AY153" s="17">
        <v>0</v>
      </c>
      <c r="AZ153" s="17">
        <v>1162.258064516129</v>
      </c>
      <c r="BA153" s="17">
        <v>1198.7096774193549</v>
      </c>
      <c r="BB153" s="17">
        <v>141151</v>
      </c>
      <c r="BC153" s="17">
        <v>14323</v>
      </c>
      <c r="BD153" s="17">
        <v>0</v>
      </c>
      <c r="BE153" s="17">
        <v>1132.6666666666667</v>
      </c>
      <c r="BF153" s="17">
        <v>1179.3333333333333</v>
      </c>
      <c r="BG153" s="17">
        <v>162607</v>
      </c>
      <c r="BH153" s="17">
        <v>21425</v>
      </c>
      <c r="BI153" s="17">
        <v>0</v>
      </c>
      <c r="BJ153" s="17">
        <v>1087.4193548387098</v>
      </c>
      <c r="BK153" s="17">
        <v>1153.2258064516129</v>
      </c>
    </row>
    <row r="154" spans="1:63" x14ac:dyDescent="0.35">
      <c r="A154" s="18">
        <v>150</v>
      </c>
      <c r="B154" s="41" t="s">
        <v>240</v>
      </c>
      <c r="C154" s="19" t="s">
        <v>404</v>
      </c>
      <c r="D154" s="17">
        <v>219770</v>
      </c>
      <c r="E154" s="17">
        <v>37832</v>
      </c>
      <c r="F154" s="17">
        <v>2052</v>
      </c>
      <c r="G154" s="17">
        <v>666.77419354838707</v>
      </c>
      <c r="H154" s="17">
        <v>1080.8064516129032</v>
      </c>
      <c r="I154" s="17">
        <v>140089</v>
      </c>
      <c r="J154" s="17">
        <v>22159</v>
      </c>
      <c r="K154" s="17">
        <v>944</v>
      </c>
      <c r="L154" s="17">
        <v>688.03571428571433</v>
      </c>
      <c r="M154" s="17">
        <v>1408.5714285714287</v>
      </c>
      <c r="N154" s="17">
        <v>164026</v>
      </c>
      <c r="O154" s="17">
        <v>16927</v>
      </c>
      <c r="P154" s="17">
        <v>975</v>
      </c>
      <c r="Q154" s="17">
        <v>700</v>
      </c>
      <c r="R154" s="17">
        <v>1604.8387096774193</v>
      </c>
      <c r="S154" s="17">
        <v>189947</v>
      </c>
      <c r="T154" s="17">
        <v>34517</v>
      </c>
      <c r="U154" s="17">
        <v>1098</v>
      </c>
      <c r="V154" s="17">
        <v>704</v>
      </c>
      <c r="W154" s="17">
        <v>1440</v>
      </c>
      <c r="X154" s="17">
        <v>160514</v>
      </c>
      <c r="Y154" s="17">
        <v>38939</v>
      </c>
      <c r="Z154" s="17">
        <v>4343</v>
      </c>
      <c r="AA154" s="17">
        <v>803.87096774193549</v>
      </c>
      <c r="AB154" s="17">
        <v>1254.516129032258</v>
      </c>
      <c r="AC154" s="17">
        <v>141319</v>
      </c>
      <c r="AD154" s="17">
        <v>44445</v>
      </c>
      <c r="AE154" s="17">
        <v>1501</v>
      </c>
      <c r="AF154" s="17">
        <v>764.33333333333337</v>
      </c>
      <c r="AG154" s="17">
        <v>1216.3333333333333</v>
      </c>
      <c r="AH154" s="17">
        <v>144729</v>
      </c>
      <c r="AI154" s="17">
        <v>36292</v>
      </c>
      <c r="AJ154" s="17">
        <v>1969</v>
      </c>
      <c r="AK154" s="17">
        <v>775.48387096774195</v>
      </c>
      <c r="AL154" s="17">
        <v>1220</v>
      </c>
      <c r="AM154" s="17">
        <v>123385</v>
      </c>
      <c r="AN154" s="17">
        <v>33207</v>
      </c>
      <c r="AO154" s="17">
        <v>0</v>
      </c>
      <c r="AP154" s="17">
        <v>883.54838709677415</v>
      </c>
      <c r="AQ154" s="17">
        <v>1220</v>
      </c>
      <c r="AR154" s="17">
        <v>97279</v>
      </c>
      <c r="AS154" s="17">
        <v>33933</v>
      </c>
      <c r="AT154" s="17">
        <v>0</v>
      </c>
      <c r="AU154" s="17">
        <v>1153.6666666666667</v>
      </c>
      <c r="AV154" s="17">
        <v>1220</v>
      </c>
      <c r="AW154" s="17">
        <v>104286</v>
      </c>
      <c r="AX154" s="17">
        <v>38515</v>
      </c>
      <c r="AY154" s="17">
        <v>140</v>
      </c>
      <c r="AZ154" s="17">
        <v>1223.2258064516129</v>
      </c>
      <c r="BA154" s="17">
        <v>1220</v>
      </c>
      <c r="BB154" s="17">
        <v>116755</v>
      </c>
      <c r="BC154" s="17">
        <v>48612</v>
      </c>
      <c r="BD154" s="17">
        <v>866</v>
      </c>
      <c r="BE154" s="17">
        <v>1161.3333333333333</v>
      </c>
      <c r="BF154" s="17">
        <v>1212.6666666666667</v>
      </c>
      <c r="BG154" s="17">
        <v>150945</v>
      </c>
      <c r="BH154" s="17">
        <v>49404</v>
      </c>
      <c r="BI154" s="17">
        <v>1653</v>
      </c>
      <c r="BJ154" s="17">
        <v>1096.7741935483871</v>
      </c>
      <c r="BK154" s="17">
        <v>1185.8064516129032</v>
      </c>
    </row>
    <row r="155" spans="1:63" x14ac:dyDescent="0.35">
      <c r="A155" s="18">
        <v>151</v>
      </c>
      <c r="B155" s="41" t="s">
        <v>240</v>
      </c>
      <c r="C155" s="19" t="s">
        <v>405</v>
      </c>
      <c r="D155" s="17">
        <v>146894</v>
      </c>
      <c r="E155" s="17">
        <v>13632</v>
      </c>
      <c r="F155" s="17">
        <v>0</v>
      </c>
      <c r="G155" s="17">
        <v>666.77419354838707</v>
      </c>
      <c r="H155" s="17">
        <v>1080.8064516129032</v>
      </c>
      <c r="I155" s="17">
        <v>104541</v>
      </c>
      <c r="J155" s="17">
        <v>11451</v>
      </c>
      <c r="K155" s="17">
        <v>0</v>
      </c>
      <c r="L155" s="17">
        <v>688.03571428571433</v>
      </c>
      <c r="M155" s="17">
        <v>1408.5714285714287</v>
      </c>
      <c r="N155" s="17">
        <v>120733</v>
      </c>
      <c r="O155" s="17">
        <v>8221</v>
      </c>
      <c r="P155" s="17">
        <v>0</v>
      </c>
      <c r="Q155" s="17">
        <v>695</v>
      </c>
      <c r="R155" s="17">
        <v>1604.8387096774193</v>
      </c>
      <c r="S155" s="17">
        <v>118892</v>
      </c>
      <c r="T155" s="17">
        <v>14698</v>
      </c>
      <c r="U155" s="17">
        <v>0</v>
      </c>
      <c r="V155" s="17">
        <v>700.5</v>
      </c>
      <c r="W155" s="17">
        <v>1440</v>
      </c>
      <c r="X155" s="17">
        <v>102696</v>
      </c>
      <c r="Y155" s="17">
        <v>15223</v>
      </c>
      <c r="Z155" s="17">
        <v>0</v>
      </c>
      <c r="AA155" s="17">
        <v>800.64516129032256</v>
      </c>
      <c r="AB155" s="17">
        <v>1254.516129032258</v>
      </c>
      <c r="AC155" s="17">
        <v>100559</v>
      </c>
      <c r="AD155" s="17">
        <v>20826</v>
      </c>
      <c r="AE155" s="17">
        <v>0</v>
      </c>
      <c r="AF155" s="17">
        <v>762.33333333333337</v>
      </c>
      <c r="AG155" s="17">
        <v>1221.3333333333333</v>
      </c>
      <c r="AH155" s="17">
        <v>131961</v>
      </c>
      <c r="AI155" s="17">
        <v>13669</v>
      </c>
      <c r="AJ155" s="17">
        <v>0</v>
      </c>
      <c r="AK155" s="17">
        <v>770.9677419354839</v>
      </c>
      <c r="AL155" s="17">
        <v>1220</v>
      </c>
      <c r="AM155" s="17">
        <v>44451</v>
      </c>
      <c r="AN155" s="17">
        <v>6362</v>
      </c>
      <c r="AO155" s="17">
        <v>0</v>
      </c>
      <c r="AP155" s="17">
        <v>879.35483870967744</v>
      </c>
      <c r="AQ155" s="17">
        <v>1220</v>
      </c>
      <c r="AR155" s="17">
        <v>95041</v>
      </c>
      <c r="AS155" s="17">
        <v>11147</v>
      </c>
      <c r="AT155" s="17">
        <v>0</v>
      </c>
      <c r="AU155" s="17">
        <v>1146.3333333333333</v>
      </c>
      <c r="AV155" s="17">
        <v>1220</v>
      </c>
      <c r="AW155" s="17">
        <v>108266</v>
      </c>
      <c r="AX155" s="17">
        <v>12097</v>
      </c>
      <c r="AY155" s="17">
        <v>0</v>
      </c>
      <c r="AZ155" s="17">
        <v>1219.3548387096773</v>
      </c>
      <c r="BA155" s="17">
        <v>1220</v>
      </c>
      <c r="BB155" s="17">
        <v>120753</v>
      </c>
      <c r="BC155" s="17">
        <v>21696</v>
      </c>
      <c r="BD155" s="17">
        <v>0</v>
      </c>
      <c r="BE155" s="17">
        <v>1152</v>
      </c>
      <c r="BF155" s="17">
        <v>1212.6666666666667</v>
      </c>
      <c r="BG155" s="17">
        <v>154031</v>
      </c>
      <c r="BH155" s="17">
        <v>23991</v>
      </c>
      <c r="BI155" s="17">
        <v>0</v>
      </c>
      <c r="BJ155" s="17">
        <v>1091.6129032258063</v>
      </c>
      <c r="BK155" s="17">
        <v>1200</v>
      </c>
    </row>
    <row r="156" spans="1:63" x14ac:dyDescent="0.35">
      <c r="A156" s="18">
        <v>152</v>
      </c>
      <c r="B156" s="41" t="s">
        <v>232</v>
      </c>
      <c r="C156" s="19" t="s">
        <v>406</v>
      </c>
      <c r="D156" s="17">
        <v>281085</v>
      </c>
      <c r="E156" s="17">
        <v>15092</v>
      </c>
      <c r="F156" s="17">
        <v>0</v>
      </c>
      <c r="G156" s="17">
        <v>666.77419354838707</v>
      </c>
      <c r="H156" s="17">
        <v>1080.8064516129032</v>
      </c>
      <c r="I156" s="17">
        <v>231472</v>
      </c>
      <c r="J156" s="17">
        <v>7578</v>
      </c>
      <c r="K156" s="17">
        <v>0</v>
      </c>
      <c r="L156" s="17">
        <v>687.85714285714289</v>
      </c>
      <c r="M156" s="17">
        <v>1408.5714285714287</v>
      </c>
      <c r="N156" s="17">
        <v>269647</v>
      </c>
      <c r="O156" s="17">
        <v>11143</v>
      </c>
      <c r="P156" s="17">
        <v>0</v>
      </c>
      <c r="Q156" s="17">
        <v>695</v>
      </c>
      <c r="R156" s="17">
        <v>1604.8387096774193</v>
      </c>
      <c r="S156" s="17">
        <v>286442</v>
      </c>
      <c r="T156" s="17">
        <v>18024</v>
      </c>
      <c r="U156" s="17">
        <v>0</v>
      </c>
      <c r="V156" s="17">
        <v>699.83333333333337</v>
      </c>
      <c r="W156" s="17">
        <v>1440</v>
      </c>
      <c r="X156" s="17">
        <v>204742</v>
      </c>
      <c r="Y156" s="17">
        <v>17528</v>
      </c>
      <c r="Z156" s="17">
        <v>0</v>
      </c>
      <c r="AA156" s="17">
        <v>801.93548387096769</v>
      </c>
      <c r="AB156" s="17">
        <v>1267.4193548387098</v>
      </c>
      <c r="AC156" s="17">
        <v>205270</v>
      </c>
      <c r="AD156" s="17">
        <v>10996</v>
      </c>
      <c r="AE156" s="17">
        <v>0</v>
      </c>
      <c r="AF156" s="17">
        <v>762.33333333333337</v>
      </c>
      <c r="AG156" s="17">
        <v>1243.3333333333333</v>
      </c>
      <c r="AH156" s="17">
        <v>241513</v>
      </c>
      <c r="AI156" s="17">
        <v>11171</v>
      </c>
      <c r="AJ156" s="17">
        <v>0</v>
      </c>
      <c r="AK156" s="17">
        <v>782.90322580645159</v>
      </c>
      <c r="AL156" s="17">
        <v>1219.3548387096773</v>
      </c>
      <c r="AM156" s="17">
        <v>97497</v>
      </c>
      <c r="AN156" s="17">
        <v>15508</v>
      </c>
      <c r="AO156" s="17">
        <v>0</v>
      </c>
      <c r="AP156" s="17">
        <v>897.09677419354841</v>
      </c>
      <c r="AQ156" s="17">
        <v>1221.6129032258063</v>
      </c>
      <c r="AR156" s="17">
        <v>149368</v>
      </c>
      <c r="AS156" s="17">
        <v>14789</v>
      </c>
      <c r="AT156" s="17">
        <v>0</v>
      </c>
      <c r="AU156" s="17">
        <v>1174.6666666666667</v>
      </c>
      <c r="AV156" s="17">
        <v>1220</v>
      </c>
      <c r="AW156" s="17">
        <v>183317</v>
      </c>
      <c r="AX156" s="17">
        <v>18120</v>
      </c>
      <c r="AY156" s="17">
        <v>0</v>
      </c>
      <c r="AZ156" s="17">
        <v>1219.3548387096773</v>
      </c>
      <c r="BA156" s="17">
        <v>1220</v>
      </c>
      <c r="BB156" s="17">
        <v>191512</v>
      </c>
      <c r="BC156" s="17">
        <v>18549</v>
      </c>
      <c r="BD156" s="17">
        <v>0</v>
      </c>
      <c r="BE156" s="17">
        <v>1152.3333333333333</v>
      </c>
      <c r="BF156" s="17">
        <v>1209</v>
      </c>
      <c r="BG156" s="17">
        <v>275229</v>
      </c>
      <c r="BH156" s="17">
        <v>27114</v>
      </c>
      <c r="BI156" s="17">
        <v>0</v>
      </c>
      <c r="BJ156" s="17">
        <v>1091.6129032258063</v>
      </c>
      <c r="BK156" s="17">
        <v>1190</v>
      </c>
    </row>
    <row r="157" spans="1:63" x14ac:dyDescent="0.35">
      <c r="A157" s="18">
        <v>153</v>
      </c>
      <c r="B157" s="41" t="s">
        <v>240</v>
      </c>
      <c r="C157" s="19" t="s">
        <v>407</v>
      </c>
      <c r="D157" s="17">
        <v>121637</v>
      </c>
      <c r="E157" s="17">
        <v>4598</v>
      </c>
      <c r="F157" s="17">
        <v>0</v>
      </c>
      <c r="G157" s="17">
        <v>666.77419354838707</v>
      </c>
      <c r="H157" s="17">
        <v>1080.8064516129032</v>
      </c>
      <c r="I157" s="17">
        <v>148907</v>
      </c>
      <c r="J157" s="17">
        <v>4781</v>
      </c>
      <c r="K157" s="17">
        <v>0</v>
      </c>
      <c r="L157" s="17">
        <v>687.85714285714289</v>
      </c>
      <c r="M157" s="17">
        <v>1396.9642857142858</v>
      </c>
      <c r="N157" s="17">
        <v>171926</v>
      </c>
      <c r="O157" s="17">
        <v>2271</v>
      </c>
      <c r="P157" s="17">
        <v>0</v>
      </c>
      <c r="Q157" s="17">
        <v>695</v>
      </c>
      <c r="R157" s="17">
        <v>1604.8387096774193</v>
      </c>
      <c r="S157" s="17">
        <v>154955</v>
      </c>
      <c r="T157" s="17">
        <v>3117</v>
      </c>
      <c r="U157" s="17">
        <v>0</v>
      </c>
      <c r="V157" s="17">
        <v>700.5</v>
      </c>
      <c r="W157" s="17">
        <v>1440</v>
      </c>
      <c r="X157" s="17">
        <v>50597</v>
      </c>
      <c r="Y157" s="17">
        <v>1605</v>
      </c>
      <c r="Z157" s="17">
        <v>0</v>
      </c>
      <c r="AA157" s="17">
        <v>799.67741935483866</v>
      </c>
      <c r="AB157" s="17">
        <v>1257.4193548387098</v>
      </c>
      <c r="AC157" s="17">
        <v>104614</v>
      </c>
      <c r="AD157" s="17">
        <v>3796</v>
      </c>
      <c r="AE157" s="17">
        <v>0</v>
      </c>
      <c r="AF157" s="17">
        <v>751.66666666666663</v>
      </c>
      <c r="AG157" s="17">
        <v>1251.3333333333333</v>
      </c>
      <c r="AH157" s="17">
        <v>112389</v>
      </c>
      <c r="AI157" s="17">
        <v>1449</v>
      </c>
      <c r="AJ157" s="17">
        <v>0</v>
      </c>
      <c r="AK157" s="17">
        <v>770.9677419354839</v>
      </c>
      <c r="AL157" s="17">
        <v>1257.741935483871</v>
      </c>
      <c r="AM157" s="17">
        <v>103814</v>
      </c>
      <c r="AN157" s="17">
        <v>2106</v>
      </c>
      <c r="AO157" s="17">
        <v>0</v>
      </c>
      <c r="AP157" s="17">
        <v>877.41935483870964</v>
      </c>
      <c r="AQ157" s="17">
        <v>1220</v>
      </c>
      <c r="AR157" s="17">
        <v>76972</v>
      </c>
      <c r="AS157" s="17">
        <v>2078</v>
      </c>
      <c r="AT157" s="17">
        <v>0</v>
      </c>
      <c r="AU157" s="17">
        <v>1147.6666666666667</v>
      </c>
      <c r="AV157" s="17">
        <v>1220</v>
      </c>
      <c r="AW157" s="17">
        <v>148741</v>
      </c>
      <c r="AX157" s="17">
        <v>2240</v>
      </c>
      <c r="AY157" s="17">
        <v>0</v>
      </c>
      <c r="AZ157" s="17">
        <v>1219.3548387096773</v>
      </c>
      <c r="BA157" s="17">
        <v>1220</v>
      </c>
      <c r="BB157" s="17">
        <v>172620</v>
      </c>
      <c r="BC157" s="17">
        <v>3053</v>
      </c>
      <c r="BD157" s="17">
        <v>0</v>
      </c>
      <c r="BE157" s="17">
        <v>1152.8333333333333</v>
      </c>
      <c r="BF157" s="17">
        <v>1208.3333333333333</v>
      </c>
      <c r="BG157" s="17">
        <v>189851</v>
      </c>
      <c r="BH157" s="17">
        <v>3962</v>
      </c>
      <c r="BI157" s="17">
        <v>0</v>
      </c>
      <c r="BJ157" s="17">
        <v>1090.3225806451612</v>
      </c>
      <c r="BK157" s="17">
        <v>1190.6451612903227</v>
      </c>
    </row>
    <row r="158" spans="1:63" x14ac:dyDescent="0.35">
      <c r="A158" s="18">
        <v>154</v>
      </c>
      <c r="B158" s="41" t="s">
        <v>234</v>
      </c>
      <c r="C158" s="19" t="s">
        <v>408</v>
      </c>
      <c r="D158" s="17">
        <v>396601</v>
      </c>
      <c r="E158" s="17">
        <v>16692</v>
      </c>
      <c r="F158" s="17">
        <v>0</v>
      </c>
      <c r="G158" s="17">
        <v>656.29032258064512</v>
      </c>
      <c r="H158" s="17">
        <v>1057.9032258064517</v>
      </c>
      <c r="I158" s="17">
        <v>419511</v>
      </c>
      <c r="J158" s="17">
        <v>19467</v>
      </c>
      <c r="K158" s="17">
        <v>0</v>
      </c>
      <c r="L158" s="17">
        <v>670.17857142857144</v>
      </c>
      <c r="M158" s="17">
        <v>1407.1428571428571</v>
      </c>
      <c r="N158" s="17">
        <v>394245</v>
      </c>
      <c r="O158" s="17">
        <v>23811</v>
      </c>
      <c r="P158" s="17">
        <v>0</v>
      </c>
      <c r="Q158" s="17">
        <v>695</v>
      </c>
      <c r="R158" s="17">
        <v>1590.3225806451612</v>
      </c>
      <c r="S158" s="17">
        <v>381291</v>
      </c>
      <c r="T158" s="17">
        <v>28725</v>
      </c>
      <c r="U158" s="17">
        <v>0</v>
      </c>
      <c r="V158" s="17">
        <v>695</v>
      </c>
      <c r="W158" s="17">
        <v>1353.6666666666667</v>
      </c>
      <c r="X158" s="17">
        <v>349392</v>
      </c>
      <c r="Y158" s="17">
        <v>27529</v>
      </c>
      <c r="Z158" s="17">
        <v>0</v>
      </c>
      <c r="AA158" s="17">
        <v>741.61290322580646</v>
      </c>
      <c r="AB158" s="17">
        <v>1197.4193548387098</v>
      </c>
      <c r="AC158" s="17">
        <v>405810</v>
      </c>
      <c r="AD158" s="17">
        <v>32003</v>
      </c>
      <c r="AE158" s="17">
        <v>0</v>
      </c>
      <c r="AF158" s="17">
        <v>732.33333333333337</v>
      </c>
      <c r="AG158" s="17">
        <v>1182.3333333333333</v>
      </c>
      <c r="AH158" s="17">
        <v>337373</v>
      </c>
      <c r="AI158" s="17">
        <v>22170</v>
      </c>
      <c r="AJ158" s="17">
        <v>0</v>
      </c>
      <c r="AK158" s="17">
        <v>761.77419354838707</v>
      </c>
      <c r="AL158" s="17">
        <v>1190</v>
      </c>
      <c r="AM158" s="17">
        <v>223279</v>
      </c>
      <c r="AN158" s="17">
        <v>16901</v>
      </c>
      <c r="AO158" s="17">
        <v>0</v>
      </c>
      <c r="AP158" s="17">
        <v>867.09677419354841</v>
      </c>
      <c r="AQ158" s="17">
        <v>1190</v>
      </c>
      <c r="AR158" s="17">
        <v>310983</v>
      </c>
      <c r="AS158" s="17">
        <v>27862</v>
      </c>
      <c r="AT158" s="17">
        <v>0</v>
      </c>
      <c r="AU158" s="17">
        <v>1117.5</v>
      </c>
      <c r="AV158" s="17">
        <v>1190</v>
      </c>
      <c r="AW158" s="17">
        <v>329528</v>
      </c>
      <c r="AX158" s="17">
        <v>31951</v>
      </c>
      <c r="AY158" s="17">
        <v>0</v>
      </c>
      <c r="AZ158" s="17">
        <v>1161.6129032258063</v>
      </c>
      <c r="BA158" s="17">
        <v>1194.8387096774193</v>
      </c>
      <c r="BB158" s="17">
        <v>297212</v>
      </c>
      <c r="BC158" s="17">
        <v>32286</v>
      </c>
      <c r="BD158" s="17">
        <v>0</v>
      </c>
      <c r="BE158" s="17">
        <v>1132.6666666666667</v>
      </c>
      <c r="BF158" s="17">
        <v>1179.3333333333333</v>
      </c>
      <c r="BG158" s="17">
        <v>285672</v>
      </c>
      <c r="BH158" s="17">
        <v>30726</v>
      </c>
      <c r="BI158" s="17">
        <v>0</v>
      </c>
      <c r="BJ158" s="17">
        <v>1087.4193548387098</v>
      </c>
      <c r="BK158" s="17">
        <v>1153.2258064516129</v>
      </c>
    </row>
    <row r="159" spans="1:63" x14ac:dyDescent="0.35">
      <c r="A159" s="18">
        <v>155</v>
      </c>
      <c r="B159" s="41" t="s">
        <v>234</v>
      </c>
      <c r="C159" s="19" t="s">
        <v>409</v>
      </c>
      <c r="D159" s="17">
        <v>335693</v>
      </c>
      <c r="E159" s="17">
        <v>25905</v>
      </c>
      <c r="F159" s="17">
        <v>0</v>
      </c>
      <c r="G159" s="17">
        <v>656.29032258064512</v>
      </c>
      <c r="H159" s="17">
        <v>1057.9032258064517</v>
      </c>
      <c r="I159" s="17">
        <v>347579</v>
      </c>
      <c r="J159" s="17">
        <v>27893</v>
      </c>
      <c r="K159" s="17">
        <v>0</v>
      </c>
      <c r="L159" s="17">
        <v>670.17857142857144</v>
      </c>
      <c r="M159" s="17">
        <v>1407.1428571428571</v>
      </c>
      <c r="N159" s="17">
        <v>334332</v>
      </c>
      <c r="O159" s="17">
        <v>31052</v>
      </c>
      <c r="P159" s="17">
        <v>0</v>
      </c>
      <c r="Q159" s="17">
        <v>695</v>
      </c>
      <c r="R159" s="17">
        <v>1590.3225806451612</v>
      </c>
      <c r="S159" s="17">
        <v>387670</v>
      </c>
      <c r="T159" s="17">
        <v>31501</v>
      </c>
      <c r="U159" s="17">
        <v>0</v>
      </c>
      <c r="V159" s="17">
        <v>695</v>
      </c>
      <c r="W159" s="17">
        <v>1353.6666666666667</v>
      </c>
      <c r="X159" s="17">
        <v>287729</v>
      </c>
      <c r="Y159" s="17">
        <v>26244</v>
      </c>
      <c r="Z159" s="17">
        <v>0</v>
      </c>
      <c r="AA159" s="17">
        <v>741.61290322580646</v>
      </c>
      <c r="AB159" s="17">
        <v>1197.4193548387098</v>
      </c>
      <c r="AC159" s="17">
        <v>299385</v>
      </c>
      <c r="AD159" s="17">
        <v>28389</v>
      </c>
      <c r="AE159" s="17">
        <v>0</v>
      </c>
      <c r="AF159" s="17">
        <v>732.33333333333337</v>
      </c>
      <c r="AG159" s="17">
        <v>1182.3333333333333</v>
      </c>
      <c r="AH159" s="17">
        <v>298949</v>
      </c>
      <c r="AI159" s="17">
        <v>25073</v>
      </c>
      <c r="AJ159" s="17">
        <v>0</v>
      </c>
      <c r="AK159" s="17">
        <v>761.77419354838707</v>
      </c>
      <c r="AL159" s="17">
        <v>1190</v>
      </c>
      <c r="AM159" s="17">
        <v>174295</v>
      </c>
      <c r="AN159" s="17">
        <v>22054</v>
      </c>
      <c r="AO159" s="17">
        <v>0</v>
      </c>
      <c r="AP159" s="17">
        <v>867.09677419354841</v>
      </c>
      <c r="AQ159" s="17">
        <v>1190</v>
      </c>
      <c r="AR159" s="17">
        <v>220599</v>
      </c>
      <c r="AS159" s="17">
        <v>29446</v>
      </c>
      <c r="AT159" s="17">
        <v>0</v>
      </c>
      <c r="AU159" s="17">
        <v>1117.5</v>
      </c>
      <c r="AV159" s="17">
        <v>1190</v>
      </c>
      <c r="AW159" s="17">
        <v>298024</v>
      </c>
      <c r="AX159" s="17">
        <v>31159</v>
      </c>
      <c r="AY159" s="17">
        <v>0</v>
      </c>
      <c r="AZ159" s="17">
        <v>1161.6129032258063</v>
      </c>
      <c r="BA159" s="17">
        <v>1194.8387096774193</v>
      </c>
      <c r="BB159" s="17">
        <v>269676</v>
      </c>
      <c r="BC159" s="17">
        <v>37210</v>
      </c>
      <c r="BD159" s="17">
        <v>0</v>
      </c>
      <c r="BE159" s="17">
        <v>1132.6666666666667</v>
      </c>
      <c r="BF159" s="17">
        <v>1179.3333333333333</v>
      </c>
      <c r="BG159" s="17">
        <v>277685</v>
      </c>
      <c r="BH159" s="17">
        <v>31024</v>
      </c>
      <c r="BI159" s="17">
        <v>0</v>
      </c>
      <c r="BJ159" s="17">
        <v>1087.4193548387098</v>
      </c>
      <c r="BK159" s="17">
        <v>1153.2258064516129</v>
      </c>
    </row>
    <row r="160" spans="1:63" x14ac:dyDescent="0.35">
      <c r="A160" s="18">
        <v>156</v>
      </c>
      <c r="B160" s="41" t="s">
        <v>231</v>
      </c>
      <c r="C160" s="19" t="s">
        <v>262</v>
      </c>
      <c r="D160" s="17">
        <v>275507</v>
      </c>
      <c r="E160" s="17">
        <v>3290</v>
      </c>
      <c r="F160" s="17">
        <v>0</v>
      </c>
      <c r="G160" s="17">
        <v>660</v>
      </c>
      <c r="H160" s="17">
        <v>1090.8064516129032</v>
      </c>
      <c r="I160" s="17">
        <v>237462</v>
      </c>
      <c r="J160" s="17">
        <v>9142</v>
      </c>
      <c r="K160" s="17">
        <v>0</v>
      </c>
      <c r="L160" s="17">
        <v>675.35714285714289</v>
      </c>
      <c r="M160" s="17">
        <v>1381.0714285714287</v>
      </c>
      <c r="N160" s="17">
        <v>235753</v>
      </c>
      <c r="O160" s="17">
        <v>4636</v>
      </c>
      <c r="P160" s="17">
        <v>0</v>
      </c>
      <c r="Q160" s="17">
        <v>691.77419354838707</v>
      </c>
      <c r="R160" s="17">
        <v>1600</v>
      </c>
      <c r="S160" s="17">
        <v>307104</v>
      </c>
      <c r="T160" s="17">
        <v>7506</v>
      </c>
      <c r="U160" s="17">
        <v>0</v>
      </c>
      <c r="V160" s="17">
        <v>693.16666666666663</v>
      </c>
      <c r="W160" s="17">
        <v>1467.5</v>
      </c>
      <c r="X160" s="17">
        <v>392198</v>
      </c>
      <c r="Y160" s="17">
        <v>31260</v>
      </c>
      <c r="Z160" s="17">
        <v>0</v>
      </c>
      <c r="AA160" s="17">
        <v>806.61290322580646</v>
      </c>
      <c r="AB160" s="17">
        <v>1253.5483870967741</v>
      </c>
      <c r="AC160" s="17">
        <v>291947</v>
      </c>
      <c r="AD160" s="17">
        <v>24181</v>
      </c>
      <c r="AE160" s="17">
        <v>0</v>
      </c>
      <c r="AF160" s="17">
        <v>754.33333333333337</v>
      </c>
      <c r="AG160" s="17">
        <v>1241.3333333333333</v>
      </c>
      <c r="AH160" s="17">
        <v>363560</v>
      </c>
      <c r="AI160" s="17">
        <v>16201</v>
      </c>
      <c r="AJ160" s="17">
        <v>0</v>
      </c>
      <c r="AK160" s="17">
        <v>762.90322580645159</v>
      </c>
      <c r="AL160" s="17">
        <v>1260</v>
      </c>
      <c r="AM160" s="17">
        <v>548690</v>
      </c>
      <c r="AN160" s="17">
        <v>20821</v>
      </c>
      <c r="AO160" s="17">
        <v>0</v>
      </c>
      <c r="AP160" s="17">
        <v>849.67741935483866</v>
      </c>
      <c r="AQ160" s="17">
        <v>1260</v>
      </c>
      <c r="AR160" s="17">
        <v>326232</v>
      </c>
      <c r="AS160" s="17">
        <v>15105</v>
      </c>
      <c r="AT160" s="17">
        <v>0</v>
      </c>
      <c r="AU160" s="17">
        <v>1108</v>
      </c>
      <c r="AV160" s="17">
        <v>1258</v>
      </c>
      <c r="AW160" s="17">
        <v>249128</v>
      </c>
      <c r="AX160" s="17">
        <v>25718</v>
      </c>
      <c r="AY160" s="17">
        <v>0</v>
      </c>
      <c r="AZ160" s="17">
        <v>1190.3225806451612</v>
      </c>
      <c r="BA160" s="17">
        <v>1246.4516129032259</v>
      </c>
      <c r="BB160" s="17">
        <v>286253</v>
      </c>
      <c r="BC160" s="17">
        <v>43945</v>
      </c>
      <c r="BD160" s="17">
        <v>0</v>
      </c>
      <c r="BE160" s="17">
        <v>1130.5</v>
      </c>
      <c r="BF160" s="17">
        <v>1200</v>
      </c>
      <c r="BG160" s="17">
        <v>306000</v>
      </c>
      <c r="BH160" s="17">
        <v>57357</v>
      </c>
      <c r="BI160" s="17">
        <v>0</v>
      </c>
      <c r="BJ160" s="17">
        <v>1069.3548387096773</v>
      </c>
      <c r="BK160" s="17">
        <v>1200</v>
      </c>
    </row>
    <row r="161" spans="1:63" x14ac:dyDescent="0.35">
      <c r="A161" s="18">
        <v>157</v>
      </c>
      <c r="B161" s="41" t="s">
        <v>250</v>
      </c>
      <c r="C161" s="19" t="s">
        <v>410</v>
      </c>
      <c r="D161" s="17">
        <v>248876</v>
      </c>
      <c r="E161" s="17">
        <v>7372</v>
      </c>
      <c r="F161" s="17">
        <v>3777</v>
      </c>
      <c r="G161" s="17">
        <v>684.83870967741939</v>
      </c>
      <c r="H161" s="17">
        <v>1089.0322580645161</v>
      </c>
      <c r="I161" s="17">
        <v>275352</v>
      </c>
      <c r="J161" s="17">
        <v>25942</v>
      </c>
      <c r="K161" s="17">
        <v>21253</v>
      </c>
      <c r="L161" s="17">
        <v>700.35714285714289</v>
      </c>
      <c r="M161" s="17">
        <v>1415.3571428571429</v>
      </c>
      <c r="N161" s="17">
        <v>263939</v>
      </c>
      <c r="O161" s="17">
        <v>9816</v>
      </c>
      <c r="P161" s="17">
        <v>5884</v>
      </c>
      <c r="Q161" s="17">
        <v>720</v>
      </c>
      <c r="R161" s="17">
        <v>1611.2903225806451</v>
      </c>
      <c r="S161" s="17">
        <v>279398</v>
      </c>
      <c r="T161" s="17">
        <v>13074</v>
      </c>
      <c r="U161" s="17">
        <v>3455</v>
      </c>
      <c r="V161" s="17">
        <v>731.66666666666663</v>
      </c>
      <c r="W161" s="17">
        <v>1419.3333333333333</v>
      </c>
      <c r="X161" s="17">
        <v>260466</v>
      </c>
      <c r="Y161" s="17">
        <v>18536</v>
      </c>
      <c r="Z161" s="17">
        <v>2668</v>
      </c>
      <c r="AA161" s="17">
        <v>828.70967741935488</v>
      </c>
      <c r="AB161" s="17">
        <v>1250</v>
      </c>
      <c r="AC161" s="17">
        <v>246188</v>
      </c>
      <c r="AD161" s="17">
        <v>17438</v>
      </c>
      <c r="AE161" s="17">
        <v>2105</v>
      </c>
      <c r="AF161" s="17">
        <v>768.33333333333337</v>
      </c>
      <c r="AG161" s="17">
        <v>1230.3333333333333</v>
      </c>
      <c r="AH161" s="17">
        <v>287309</v>
      </c>
      <c r="AI161" s="17">
        <v>15055</v>
      </c>
      <c r="AJ161" s="17">
        <v>2185</v>
      </c>
      <c r="AK161" s="17">
        <v>781.29032258064512</v>
      </c>
      <c r="AL161" s="17">
        <v>1240</v>
      </c>
      <c r="AM161" s="17">
        <v>120389</v>
      </c>
      <c r="AN161" s="17">
        <v>5867</v>
      </c>
      <c r="AO161" s="17">
        <v>2441</v>
      </c>
      <c r="AP161" s="17">
        <v>858.70967741935488</v>
      </c>
      <c r="AQ161" s="17">
        <v>1240</v>
      </c>
      <c r="AR161" s="17">
        <v>171722</v>
      </c>
      <c r="AS161" s="17">
        <v>3853</v>
      </c>
      <c r="AT161" s="17">
        <v>1545</v>
      </c>
      <c r="AU161" s="17">
        <v>1095</v>
      </c>
      <c r="AV161" s="17">
        <v>1240</v>
      </c>
      <c r="AW161" s="17">
        <v>190707</v>
      </c>
      <c r="AX161" s="17">
        <v>8498</v>
      </c>
      <c r="AY161" s="17">
        <v>333</v>
      </c>
      <c r="AZ161" s="17">
        <v>1214.516129032258</v>
      </c>
      <c r="BA161" s="17">
        <v>1240</v>
      </c>
      <c r="BB161" s="17">
        <v>206564</v>
      </c>
      <c r="BC161" s="17">
        <v>7792</v>
      </c>
      <c r="BD161" s="17">
        <v>1185</v>
      </c>
      <c r="BE161" s="17">
        <v>1171.3333333333333</v>
      </c>
      <c r="BF161" s="17">
        <v>1209.3333333333333</v>
      </c>
      <c r="BG161" s="17">
        <v>286039</v>
      </c>
      <c r="BH161" s="17">
        <v>5163</v>
      </c>
      <c r="BI161" s="17">
        <v>1834</v>
      </c>
      <c r="BJ161" s="17">
        <v>1109.6774193548388</v>
      </c>
      <c r="BK161" s="17">
        <v>1200</v>
      </c>
    </row>
    <row r="162" spans="1:63" x14ac:dyDescent="0.35">
      <c r="A162" s="18">
        <v>158</v>
      </c>
      <c r="B162" s="41" t="s">
        <v>232</v>
      </c>
      <c r="C162" s="19" t="s">
        <v>411</v>
      </c>
      <c r="D162" s="17">
        <v>325379</v>
      </c>
      <c r="E162" s="17">
        <v>19317</v>
      </c>
      <c r="F162" s="17">
        <v>0</v>
      </c>
      <c r="G162" s="17">
        <v>666.77419354838707</v>
      </c>
      <c r="H162" s="17">
        <v>1080.8064516129032</v>
      </c>
      <c r="I162" s="17">
        <v>311294</v>
      </c>
      <c r="J162" s="17">
        <v>26995</v>
      </c>
      <c r="K162" s="17">
        <v>0</v>
      </c>
      <c r="L162" s="17">
        <v>685.35714285714289</v>
      </c>
      <c r="M162" s="17">
        <v>1408.5714285714287</v>
      </c>
      <c r="N162" s="17">
        <v>344553</v>
      </c>
      <c r="O162" s="17">
        <v>27778</v>
      </c>
      <c r="P162" s="17">
        <v>0</v>
      </c>
      <c r="Q162" s="17">
        <v>695</v>
      </c>
      <c r="R162" s="17">
        <v>1604.8387096774193</v>
      </c>
      <c r="S162" s="17">
        <v>278715</v>
      </c>
      <c r="T162" s="17">
        <v>16835</v>
      </c>
      <c r="U162" s="17">
        <v>0</v>
      </c>
      <c r="V162" s="17">
        <v>700.5</v>
      </c>
      <c r="W162" s="17">
        <v>1440</v>
      </c>
      <c r="X162" s="17">
        <v>166526</v>
      </c>
      <c r="Y162" s="17">
        <v>17409</v>
      </c>
      <c r="Z162" s="17">
        <v>0</v>
      </c>
      <c r="AA162" s="17">
        <v>799.67741935483866</v>
      </c>
      <c r="AB162" s="17">
        <v>1254.516129032258</v>
      </c>
      <c r="AC162" s="17">
        <v>217249</v>
      </c>
      <c r="AD162" s="17">
        <v>15470</v>
      </c>
      <c r="AE162" s="17">
        <v>0</v>
      </c>
      <c r="AF162" s="17">
        <v>756.33333333333337</v>
      </c>
      <c r="AG162" s="17">
        <v>1251.3333333333333</v>
      </c>
      <c r="AH162" s="17">
        <v>271889</v>
      </c>
      <c r="AI162" s="17">
        <v>12681</v>
      </c>
      <c r="AJ162" s="17">
        <v>0</v>
      </c>
      <c r="AK162" s="17">
        <v>774.19354838709683</v>
      </c>
      <c r="AL162" s="17">
        <v>1262.258064516129</v>
      </c>
      <c r="AM162" s="17">
        <v>121290</v>
      </c>
      <c r="AN162" s="17">
        <v>8643</v>
      </c>
      <c r="AO162" s="17">
        <v>0</v>
      </c>
      <c r="AP162" s="17">
        <v>876.45161290322585</v>
      </c>
      <c r="AQ162" s="17">
        <v>1250</v>
      </c>
      <c r="AR162" s="17">
        <v>168691</v>
      </c>
      <c r="AS162" s="17">
        <v>9177</v>
      </c>
      <c r="AT162" s="17">
        <v>0</v>
      </c>
      <c r="AU162" s="17">
        <v>1145.6666666666667</v>
      </c>
      <c r="AV162" s="17">
        <v>1250</v>
      </c>
      <c r="AW162" s="17">
        <v>225526</v>
      </c>
      <c r="AX162" s="17">
        <v>17810</v>
      </c>
      <c r="AY162" s="17">
        <v>0</v>
      </c>
      <c r="AZ162" s="17">
        <v>1219.3548387096773</v>
      </c>
      <c r="BA162" s="17">
        <v>1241.2903225806451</v>
      </c>
      <c r="BB162" s="17">
        <v>298253</v>
      </c>
      <c r="BC162" s="17">
        <v>22696</v>
      </c>
      <c r="BD162" s="17">
        <v>0</v>
      </c>
      <c r="BE162" s="17">
        <v>1158.6666666666667</v>
      </c>
      <c r="BF162" s="17">
        <v>1212.6666666666667</v>
      </c>
      <c r="BG162" s="17">
        <v>326243</v>
      </c>
      <c r="BH162" s="17">
        <v>26800</v>
      </c>
      <c r="BI162" s="17">
        <v>0</v>
      </c>
      <c r="BJ162" s="17">
        <v>1090.9677419354839</v>
      </c>
      <c r="BK162" s="17">
        <v>1200</v>
      </c>
    </row>
    <row r="163" spans="1:63" x14ac:dyDescent="0.35">
      <c r="A163" s="18">
        <v>159</v>
      </c>
      <c r="B163" s="41" t="s">
        <v>238</v>
      </c>
      <c r="C163" s="19" t="s">
        <v>412</v>
      </c>
      <c r="D163" s="17">
        <v>442136</v>
      </c>
      <c r="E163" s="17">
        <v>75384</v>
      </c>
      <c r="F163" s="17">
        <v>0</v>
      </c>
      <c r="G163" s="17">
        <v>650.80645161290317</v>
      </c>
      <c r="H163" s="17">
        <v>1044.3548387096773</v>
      </c>
      <c r="I163" s="17">
        <v>357851</v>
      </c>
      <c r="J163" s="17">
        <v>62064</v>
      </c>
      <c r="K163" s="17">
        <v>0</v>
      </c>
      <c r="L163" s="17">
        <v>667.67857142857144</v>
      </c>
      <c r="M163" s="17">
        <v>1396.0714285714287</v>
      </c>
      <c r="N163" s="17">
        <v>421384</v>
      </c>
      <c r="O163" s="17">
        <v>56633</v>
      </c>
      <c r="P163" s="17">
        <v>0</v>
      </c>
      <c r="Q163" s="17">
        <v>680.48387096774195</v>
      </c>
      <c r="R163" s="17">
        <v>1566.1290322580646</v>
      </c>
      <c r="S163" s="17">
        <v>511488</v>
      </c>
      <c r="T163" s="17">
        <v>86944</v>
      </c>
      <c r="U163" s="17">
        <v>0</v>
      </c>
      <c r="V163" s="17">
        <v>680</v>
      </c>
      <c r="W163" s="17">
        <v>1339.3333333333333</v>
      </c>
      <c r="X163" s="17">
        <v>425856</v>
      </c>
      <c r="Y163" s="17">
        <v>81399</v>
      </c>
      <c r="Z163" s="17">
        <v>0</v>
      </c>
      <c r="AA163" s="17">
        <v>717.58064516129036</v>
      </c>
      <c r="AB163" s="17">
        <v>1187.0967741935483</v>
      </c>
      <c r="AC163" s="17">
        <v>412041</v>
      </c>
      <c r="AD163" s="17">
        <v>75869</v>
      </c>
      <c r="AE163" s="17">
        <v>0</v>
      </c>
      <c r="AF163" s="17">
        <v>722.33333333333337</v>
      </c>
      <c r="AG163" s="17">
        <v>1182.3333333333333</v>
      </c>
      <c r="AH163" s="17">
        <v>356569</v>
      </c>
      <c r="AI163" s="17">
        <v>58006</v>
      </c>
      <c r="AJ163" s="17">
        <v>0</v>
      </c>
      <c r="AK163" s="17">
        <v>747.58064516129036</v>
      </c>
      <c r="AL163" s="17">
        <v>1199.0322580645161</v>
      </c>
      <c r="AM163" s="17">
        <v>229984</v>
      </c>
      <c r="AN163" s="17">
        <v>41821</v>
      </c>
      <c r="AO163" s="17">
        <v>0</v>
      </c>
      <c r="AP163" s="17">
        <v>835.48387096774195</v>
      </c>
      <c r="AQ163" s="17">
        <v>1200</v>
      </c>
      <c r="AR163" s="17">
        <v>294545</v>
      </c>
      <c r="AS163" s="17">
        <v>50213</v>
      </c>
      <c r="AT163" s="17">
        <v>0</v>
      </c>
      <c r="AU163" s="17">
        <v>1106.1666666666667</v>
      </c>
      <c r="AV163" s="17">
        <v>1200</v>
      </c>
      <c r="AW163" s="17">
        <v>287527</v>
      </c>
      <c r="AX163" s="17">
        <v>56384</v>
      </c>
      <c r="AY163" s="17">
        <v>0</v>
      </c>
      <c r="AZ163" s="17">
        <v>1153.5483870967741</v>
      </c>
      <c r="BA163" s="17">
        <v>1191.2903225806451</v>
      </c>
      <c r="BB163" s="17">
        <v>263955</v>
      </c>
      <c r="BC163" s="17">
        <v>74758</v>
      </c>
      <c r="BD163" s="17">
        <v>0</v>
      </c>
      <c r="BE163" s="17">
        <v>1127.3333333333333</v>
      </c>
      <c r="BF163" s="17">
        <v>1168.6666666666667</v>
      </c>
      <c r="BG163" s="17">
        <v>334049</v>
      </c>
      <c r="BH163" s="17">
        <v>63191</v>
      </c>
      <c r="BI163" s="17">
        <v>0</v>
      </c>
      <c r="BJ163" s="17">
        <v>1081.2903225806451</v>
      </c>
      <c r="BK163" s="17">
        <v>1150</v>
      </c>
    </row>
    <row r="164" spans="1:63" x14ac:dyDescent="0.35">
      <c r="A164" s="18">
        <v>160</v>
      </c>
      <c r="B164" s="41" t="s">
        <v>247</v>
      </c>
      <c r="C164" s="19" t="s">
        <v>413</v>
      </c>
      <c r="D164" s="17">
        <v>187555</v>
      </c>
      <c r="E164" s="17">
        <v>46011</v>
      </c>
      <c r="F164" s="17">
        <v>0</v>
      </c>
      <c r="G164" s="17">
        <v>660</v>
      </c>
      <c r="H164" s="17">
        <v>1066.7741935483871</v>
      </c>
      <c r="I164" s="17">
        <v>217918</v>
      </c>
      <c r="J164" s="17">
        <v>38769</v>
      </c>
      <c r="K164" s="17">
        <v>0</v>
      </c>
      <c r="L164" s="17">
        <v>670.17857142857144</v>
      </c>
      <c r="M164" s="17">
        <v>1406.4285714285713</v>
      </c>
      <c r="N164" s="17">
        <v>220215</v>
      </c>
      <c r="O164" s="17">
        <v>45839</v>
      </c>
      <c r="P164" s="17">
        <v>0</v>
      </c>
      <c r="Q164" s="17">
        <v>695</v>
      </c>
      <c r="R164" s="17">
        <v>1590.3225806451612</v>
      </c>
      <c r="S164" s="17">
        <v>230988</v>
      </c>
      <c r="T164" s="17">
        <v>64071</v>
      </c>
      <c r="U164" s="17">
        <v>0</v>
      </c>
      <c r="V164" s="17">
        <v>695</v>
      </c>
      <c r="W164" s="17">
        <v>1353.6666666666667</v>
      </c>
      <c r="X164" s="17">
        <v>233893</v>
      </c>
      <c r="Y164" s="17">
        <v>46095</v>
      </c>
      <c r="Z164" s="17">
        <v>0</v>
      </c>
      <c r="AA164" s="17">
        <v>755.16129032258061</v>
      </c>
      <c r="AB164" s="17">
        <v>1197.4193548387098</v>
      </c>
      <c r="AC164" s="17">
        <v>192951</v>
      </c>
      <c r="AD164" s="17">
        <v>43018</v>
      </c>
      <c r="AE164" s="17">
        <v>0</v>
      </c>
      <c r="AF164" s="17">
        <v>750</v>
      </c>
      <c r="AG164" s="17">
        <v>1200</v>
      </c>
      <c r="AH164" s="17">
        <v>238140</v>
      </c>
      <c r="AI164" s="17">
        <v>65927</v>
      </c>
      <c r="AJ164" s="17">
        <v>0</v>
      </c>
      <c r="AK164" s="17">
        <v>766.93548387096769</v>
      </c>
      <c r="AL164" s="17">
        <v>1200</v>
      </c>
      <c r="AM164" s="17">
        <v>135002</v>
      </c>
      <c r="AN164" s="17">
        <v>43209</v>
      </c>
      <c r="AO164" s="17">
        <v>0</v>
      </c>
      <c r="AP164" s="17">
        <v>867.09677419354841</v>
      </c>
      <c r="AQ164" s="17">
        <v>1200.6451612903227</v>
      </c>
      <c r="AR164" s="17">
        <v>273676</v>
      </c>
      <c r="AS164" s="17">
        <v>31178</v>
      </c>
      <c r="AT164" s="17">
        <v>0</v>
      </c>
      <c r="AU164" s="17">
        <v>1116.6666666666667</v>
      </c>
      <c r="AV164" s="17">
        <v>1200</v>
      </c>
      <c r="AW164" s="17">
        <v>204484</v>
      </c>
      <c r="AX164" s="17">
        <v>26428</v>
      </c>
      <c r="AY164" s="17">
        <v>0</v>
      </c>
      <c r="AZ164" s="17">
        <v>1162.258064516129</v>
      </c>
      <c r="BA164" s="17">
        <v>1196.1290322580646</v>
      </c>
      <c r="BB164" s="17">
        <v>212349</v>
      </c>
      <c r="BC164" s="17">
        <v>40653</v>
      </c>
      <c r="BD164" s="17">
        <v>0</v>
      </c>
      <c r="BE164" s="17">
        <v>1132.6666666666667</v>
      </c>
      <c r="BF164" s="17">
        <v>1179.3333333333333</v>
      </c>
      <c r="BG164" s="17">
        <v>219068</v>
      </c>
      <c r="BH164" s="17">
        <v>38939</v>
      </c>
      <c r="BI164" s="17">
        <v>0</v>
      </c>
      <c r="BJ164" s="17">
        <v>1088.0645161290322</v>
      </c>
      <c r="BK164" s="17">
        <v>1153.2258064516129</v>
      </c>
    </row>
    <row r="165" spans="1:63" x14ac:dyDescent="0.35">
      <c r="A165" s="18">
        <v>161</v>
      </c>
      <c r="B165" s="41" t="s">
        <v>244</v>
      </c>
      <c r="C165" s="19" t="s">
        <v>263</v>
      </c>
      <c r="D165" s="17">
        <v>221425</v>
      </c>
      <c r="E165" s="17">
        <v>1735</v>
      </c>
      <c r="F165" s="17">
        <v>0</v>
      </c>
      <c r="G165" s="17">
        <v>660</v>
      </c>
      <c r="H165" s="17">
        <v>1073.8709677419354</v>
      </c>
      <c r="I165" s="17">
        <v>252189</v>
      </c>
      <c r="J165" s="17">
        <v>7309</v>
      </c>
      <c r="K165" s="17">
        <v>0</v>
      </c>
      <c r="L165" s="17">
        <v>678.21428571428567</v>
      </c>
      <c r="M165" s="17">
        <v>1399.8214285714287</v>
      </c>
      <c r="N165" s="17">
        <v>302998</v>
      </c>
      <c r="O165" s="17">
        <v>15159</v>
      </c>
      <c r="P165" s="17">
        <v>0</v>
      </c>
      <c r="Q165" s="17">
        <v>685.48387096774195</v>
      </c>
      <c r="R165" s="17">
        <v>1608.0645161290322</v>
      </c>
      <c r="S165" s="17">
        <v>307379</v>
      </c>
      <c r="T165" s="17">
        <v>16788</v>
      </c>
      <c r="U165" s="17">
        <v>0</v>
      </c>
      <c r="V165" s="17">
        <v>698.5</v>
      </c>
      <c r="W165" s="17">
        <v>1409.8333333333333</v>
      </c>
      <c r="X165" s="17">
        <v>496895</v>
      </c>
      <c r="Y165" s="17">
        <v>11194</v>
      </c>
      <c r="Z165" s="17">
        <v>0</v>
      </c>
      <c r="AA165" s="17">
        <v>770</v>
      </c>
      <c r="AB165" s="17">
        <v>1243.2258064516129</v>
      </c>
      <c r="AC165" s="17">
        <v>266701</v>
      </c>
      <c r="AD165" s="17">
        <v>9058</v>
      </c>
      <c r="AE165" s="17">
        <v>0</v>
      </c>
      <c r="AF165" s="17">
        <v>745.33333333333337</v>
      </c>
      <c r="AG165" s="17">
        <v>1224.6666666666667</v>
      </c>
      <c r="AH165" s="17">
        <v>380458</v>
      </c>
      <c r="AI165" s="17">
        <v>7125</v>
      </c>
      <c r="AJ165" s="17">
        <v>0</v>
      </c>
      <c r="AK165" s="17">
        <v>756.12903225806451</v>
      </c>
      <c r="AL165" s="17">
        <v>1220</v>
      </c>
      <c r="AM165" s="17">
        <v>249053</v>
      </c>
      <c r="AN165" s="17">
        <v>5146</v>
      </c>
      <c r="AO165" s="17">
        <v>0</v>
      </c>
      <c r="AP165" s="17">
        <v>859.0322580645161</v>
      </c>
      <c r="AQ165" s="17">
        <v>1220</v>
      </c>
      <c r="AR165" s="17">
        <v>294188</v>
      </c>
      <c r="AS165" s="17">
        <v>5646</v>
      </c>
      <c r="AT165" s="17">
        <v>0</v>
      </c>
      <c r="AU165" s="17">
        <v>1119.3333333333333</v>
      </c>
      <c r="AV165" s="17">
        <v>1220</v>
      </c>
      <c r="AW165" s="17">
        <v>308779</v>
      </c>
      <c r="AX165" s="17">
        <v>5521</v>
      </c>
      <c r="AY165" s="17">
        <v>0</v>
      </c>
      <c r="AZ165" s="17">
        <v>1200</v>
      </c>
      <c r="BA165" s="17">
        <v>1220</v>
      </c>
      <c r="BB165" s="17">
        <v>234349</v>
      </c>
      <c r="BC165" s="17">
        <v>6395</v>
      </c>
      <c r="BD165" s="17">
        <v>0</v>
      </c>
      <c r="BE165" s="17">
        <v>1143.6666666666667</v>
      </c>
      <c r="BF165" s="17">
        <v>1209.3333333333333</v>
      </c>
      <c r="BG165" s="17">
        <v>230389</v>
      </c>
      <c r="BH165" s="17">
        <v>5240</v>
      </c>
      <c r="BI165" s="17">
        <v>0</v>
      </c>
      <c r="BJ165" s="17">
        <v>1082.5806451612902</v>
      </c>
      <c r="BK165" s="17">
        <v>1194.1935483870968</v>
      </c>
    </row>
    <row r="166" spans="1:63" x14ac:dyDescent="0.35">
      <c r="A166" s="18">
        <v>162</v>
      </c>
      <c r="B166" s="41" t="s">
        <v>239</v>
      </c>
      <c r="C166" s="19" t="s">
        <v>414</v>
      </c>
      <c r="D166" s="17">
        <v>212518</v>
      </c>
      <c r="E166" s="17">
        <v>15503</v>
      </c>
      <c r="F166" s="17">
        <v>4743</v>
      </c>
      <c r="G166" s="17">
        <v>660</v>
      </c>
      <c r="H166" s="17">
        <v>1060</v>
      </c>
      <c r="I166" s="17">
        <v>221682</v>
      </c>
      <c r="J166" s="17">
        <v>10071</v>
      </c>
      <c r="K166" s="17">
        <v>10426</v>
      </c>
      <c r="L166" s="17">
        <v>670.17857142857144</v>
      </c>
      <c r="M166" s="17">
        <v>1408.5714285714287</v>
      </c>
      <c r="N166" s="17">
        <v>272424</v>
      </c>
      <c r="O166" s="17">
        <v>12593</v>
      </c>
      <c r="P166" s="17">
        <v>5485</v>
      </c>
      <c r="Q166" s="17">
        <v>695</v>
      </c>
      <c r="R166" s="17">
        <v>1590.3225806451612</v>
      </c>
      <c r="S166" s="17">
        <v>329798</v>
      </c>
      <c r="T166" s="17">
        <v>14941</v>
      </c>
      <c r="U166" s="17">
        <v>2919</v>
      </c>
      <c r="V166" s="17">
        <v>696.16666666666663</v>
      </c>
      <c r="W166" s="17">
        <v>1362</v>
      </c>
      <c r="X166" s="17">
        <v>213858</v>
      </c>
      <c r="Y166" s="17">
        <v>18620</v>
      </c>
      <c r="Z166" s="17">
        <v>203</v>
      </c>
      <c r="AA166" s="17">
        <v>782.90322580645159</v>
      </c>
      <c r="AB166" s="17">
        <v>1212.9032258064517</v>
      </c>
      <c r="AC166" s="17">
        <v>177144</v>
      </c>
      <c r="AD166" s="17">
        <v>14463</v>
      </c>
      <c r="AE166" s="17">
        <v>438</v>
      </c>
      <c r="AF166" s="17">
        <v>752.66666666666663</v>
      </c>
      <c r="AG166" s="17">
        <v>1189.3333333333333</v>
      </c>
      <c r="AH166" s="17">
        <v>299347</v>
      </c>
      <c r="AI166" s="17">
        <v>14950</v>
      </c>
      <c r="AJ166" s="17">
        <v>44</v>
      </c>
      <c r="AK166" s="17">
        <v>751.12903225806451</v>
      </c>
      <c r="AL166" s="17">
        <v>1208.0645161290322</v>
      </c>
      <c r="AM166" s="17">
        <v>153679</v>
      </c>
      <c r="AN166" s="17">
        <v>12623</v>
      </c>
      <c r="AO166" s="17">
        <v>32</v>
      </c>
      <c r="AP166" s="17">
        <v>846.61290322580646</v>
      </c>
      <c r="AQ166" s="17">
        <v>1230</v>
      </c>
      <c r="AR166" s="17">
        <v>158080</v>
      </c>
      <c r="AS166" s="17">
        <v>11602</v>
      </c>
      <c r="AT166" s="17">
        <v>45</v>
      </c>
      <c r="AU166" s="17">
        <v>1109.5</v>
      </c>
      <c r="AV166" s="17">
        <v>1230</v>
      </c>
      <c r="AW166" s="17">
        <v>179414</v>
      </c>
      <c r="AX166" s="17">
        <v>14285</v>
      </c>
      <c r="AY166" s="17">
        <v>201</v>
      </c>
      <c r="AZ166" s="17">
        <v>1179.6774193548388</v>
      </c>
      <c r="BA166" s="17">
        <v>1218.3870967741937</v>
      </c>
      <c r="BB166" s="17">
        <v>200977</v>
      </c>
      <c r="BC166" s="17">
        <v>17287</v>
      </c>
      <c r="BD166" s="17">
        <v>199</v>
      </c>
      <c r="BE166" s="17">
        <v>1138</v>
      </c>
      <c r="BF166" s="17">
        <v>1170.3333333333333</v>
      </c>
      <c r="BG166" s="17">
        <v>302798</v>
      </c>
      <c r="BH166" s="17">
        <v>24488</v>
      </c>
      <c r="BI166" s="17">
        <v>164</v>
      </c>
      <c r="BJ166" s="17">
        <v>1084.516129032258</v>
      </c>
      <c r="BK166" s="17">
        <v>1150</v>
      </c>
    </row>
    <row r="167" spans="1:63" x14ac:dyDescent="0.35">
      <c r="A167" s="18">
        <v>163</v>
      </c>
      <c r="B167" s="41" t="s">
        <v>238</v>
      </c>
      <c r="C167" s="19" t="s">
        <v>415</v>
      </c>
      <c r="D167" s="17">
        <v>251938</v>
      </c>
      <c r="E167" s="17">
        <v>32146</v>
      </c>
      <c r="F167" s="17">
        <v>0</v>
      </c>
      <c r="G167" s="17">
        <v>652.58064516129036</v>
      </c>
      <c r="H167" s="17">
        <v>1065.8064516129032</v>
      </c>
      <c r="I167" s="17">
        <v>272924</v>
      </c>
      <c r="J167" s="17">
        <v>31687</v>
      </c>
      <c r="K167" s="17">
        <v>0</v>
      </c>
      <c r="L167" s="17">
        <v>669.46428571428567</v>
      </c>
      <c r="M167" s="17">
        <v>1406.4285714285713</v>
      </c>
      <c r="N167" s="17">
        <v>307768</v>
      </c>
      <c r="O167" s="17">
        <v>38350</v>
      </c>
      <c r="P167" s="17">
        <v>0</v>
      </c>
      <c r="Q167" s="17">
        <v>695</v>
      </c>
      <c r="R167" s="17">
        <v>1590.3225806451612</v>
      </c>
      <c r="S167" s="17">
        <v>268075</v>
      </c>
      <c r="T167" s="17">
        <v>38992</v>
      </c>
      <c r="U167" s="17">
        <v>0</v>
      </c>
      <c r="V167" s="17">
        <v>695</v>
      </c>
      <c r="W167" s="17">
        <v>1353.6666666666667</v>
      </c>
      <c r="X167" s="17">
        <v>269527</v>
      </c>
      <c r="Y167" s="17">
        <v>31881</v>
      </c>
      <c r="Z167" s="17">
        <v>1</v>
      </c>
      <c r="AA167" s="17">
        <v>741.61290322580646</v>
      </c>
      <c r="AB167" s="17">
        <v>1194.8387096774193</v>
      </c>
      <c r="AC167" s="17">
        <v>239503</v>
      </c>
      <c r="AD167" s="17">
        <v>32460</v>
      </c>
      <c r="AE167" s="17">
        <v>0</v>
      </c>
      <c r="AF167" s="17">
        <v>731.66666666666663</v>
      </c>
      <c r="AG167" s="17">
        <v>1182.3333333333333</v>
      </c>
      <c r="AH167" s="17">
        <v>236831</v>
      </c>
      <c r="AI167" s="17">
        <v>29502</v>
      </c>
      <c r="AJ167" s="17">
        <v>0</v>
      </c>
      <c r="AK167" s="17">
        <v>747.58064516129036</v>
      </c>
      <c r="AL167" s="17">
        <v>1199.0322580645161</v>
      </c>
      <c r="AM167" s="17">
        <v>121555</v>
      </c>
      <c r="AN167" s="17">
        <v>19413</v>
      </c>
      <c r="AO167" s="17">
        <v>0</v>
      </c>
      <c r="AP167" s="17">
        <v>836.45161290322585</v>
      </c>
      <c r="AQ167" s="17">
        <v>1200</v>
      </c>
      <c r="AR167" s="17">
        <v>190715</v>
      </c>
      <c r="AS167" s="17">
        <v>21150</v>
      </c>
      <c r="AT167" s="17">
        <v>0</v>
      </c>
      <c r="AU167" s="17">
        <v>1106.8333333333333</v>
      </c>
      <c r="AV167" s="17">
        <v>1200</v>
      </c>
      <c r="AW167" s="17">
        <v>215412</v>
      </c>
      <c r="AX167" s="17">
        <v>23912</v>
      </c>
      <c r="AY167" s="17">
        <v>0</v>
      </c>
      <c r="AZ167" s="17">
        <v>1161.6129032258063</v>
      </c>
      <c r="BA167" s="17">
        <v>1196.7741935483871</v>
      </c>
      <c r="BB167" s="17">
        <v>235247</v>
      </c>
      <c r="BC167" s="17">
        <v>26545</v>
      </c>
      <c r="BD167" s="17">
        <v>0</v>
      </c>
      <c r="BE167" s="17">
        <v>1132.6666666666667</v>
      </c>
      <c r="BF167" s="17">
        <v>1179.3333333333333</v>
      </c>
      <c r="BG167" s="17">
        <v>211079</v>
      </c>
      <c r="BH167" s="17">
        <v>29786</v>
      </c>
      <c r="BI167" s="17">
        <v>0</v>
      </c>
      <c r="BJ167" s="17">
        <v>1090.6451612903227</v>
      </c>
      <c r="BK167" s="17">
        <v>1153.2258064516129</v>
      </c>
    </row>
    <row r="168" spans="1:63" x14ac:dyDescent="0.35">
      <c r="A168" s="18">
        <v>164</v>
      </c>
      <c r="B168" s="41" t="s">
        <v>243</v>
      </c>
      <c r="C168" s="19" t="s">
        <v>416</v>
      </c>
      <c r="D168" s="17">
        <v>145041</v>
      </c>
      <c r="E168" s="17">
        <v>14404</v>
      </c>
      <c r="F168" s="17">
        <v>0</v>
      </c>
      <c r="G168" s="17">
        <v>652.58064516129036</v>
      </c>
      <c r="H168" s="17">
        <v>1065.8064516129032</v>
      </c>
      <c r="I168" s="17">
        <v>166783</v>
      </c>
      <c r="J168" s="17">
        <v>18915</v>
      </c>
      <c r="K168" s="17">
        <v>0</v>
      </c>
      <c r="L168" s="17">
        <v>669.46428571428567</v>
      </c>
      <c r="M168" s="17">
        <v>1406.4285714285713</v>
      </c>
      <c r="N168" s="17">
        <v>209193</v>
      </c>
      <c r="O168" s="17">
        <v>16651</v>
      </c>
      <c r="P168" s="17">
        <v>0</v>
      </c>
      <c r="Q168" s="17">
        <v>695</v>
      </c>
      <c r="R168" s="17">
        <v>1590.3225806451612</v>
      </c>
      <c r="S168" s="17">
        <v>157257</v>
      </c>
      <c r="T168" s="17">
        <v>16738</v>
      </c>
      <c r="U168" s="17">
        <v>24</v>
      </c>
      <c r="V168" s="17">
        <v>695</v>
      </c>
      <c r="W168" s="17">
        <v>1353.6666666666667</v>
      </c>
      <c r="X168" s="17">
        <v>209477</v>
      </c>
      <c r="Y168" s="17">
        <v>18619</v>
      </c>
      <c r="Z168" s="17">
        <v>894</v>
      </c>
      <c r="AA168" s="17">
        <v>741.61290322580646</v>
      </c>
      <c r="AB168" s="17">
        <v>1197.4193548387098</v>
      </c>
      <c r="AC168" s="17">
        <v>155603</v>
      </c>
      <c r="AD168" s="17">
        <v>17813</v>
      </c>
      <c r="AE168" s="17">
        <v>526</v>
      </c>
      <c r="AF168" s="17">
        <v>731.66666666666663</v>
      </c>
      <c r="AG168" s="17">
        <v>1182.3333333333333</v>
      </c>
      <c r="AH168" s="17">
        <v>157218</v>
      </c>
      <c r="AI168" s="17">
        <v>14527</v>
      </c>
      <c r="AJ168" s="17">
        <v>1351</v>
      </c>
      <c r="AK168" s="17">
        <v>747.58064516129036</v>
      </c>
      <c r="AL168" s="17">
        <v>1199.0322580645161</v>
      </c>
      <c r="AM168" s="17">
        <v>139157</v>
      </c>
      <c r="AN168" s="17">
        <v>9556</v>
      </c>
      <c r="AO168" s="17">
        <v>702</v>
      </c>
      <c r="AP168" s="17">
        <v>837.41935483870964</v>
      </c>
      <c r="AQ168" s="17">
        <v>1200</v>
      </c>
      <c r="AR168" s="17">
        <v>132687</v>
      </c>
      <c r="AS168" s="17">
        <v>9235</v>
      </c>
      <c r="AT168" s="17">
        <v>830</v>
      </c>
      <c r="AU168" s="17">
        <v>1104.8333333333333</v>
      </c>
      <c r="AV168" s="17">
        <v>1200</v>
      </c>
      <c r="AW168" s="17">
        <v>113379</v>
      </c>
      <c r="AX168" s="17">
        <v>12322</v>
      </c>
      <c r="AY168" s="17">
        <v>792</v>
      </c>
      <c r="AZ168" s="17">
        <v>1161.6129032258063</v>
      </c>
      <c r="BA168" s="17">
        <v>1195.8064516129032</v>
      </c>
      <c r="BB168" s="17">
        <v>98983</v>
      </c>
      <c r="BC168" s="17">
        <v>13842</v>
      </c>
      <c r="BD168" s="17">
        <v>231</v>
      </c>
      <c r="BE168" s="17">
        <v>1132.6666666666667</v>
      </c>
      <c r="BF168" s="17">
        <v>1179.3333333333333</v>
      </c>
      <c r="BG168" s="17">
        <v>82384</v>
      </c>
      <c r="BH168" s="17">
        <v>14610</v>
      </c>
      <c r="BI168" s="17">
        <v>404</v>
      </c>
      <c r="BJ168" s="17">
        <v>1090.6451612903227</v>
      </c>
      <c r="BK168" s="17">
        <v>1153.2258064516129</v>
      </c>
    </row>
    <row r="169" spans="1:63" x14ac:dyDescent="0.35">
      <c r="A169" s="18">
        <v>165</v>
      </c>
      <c r="B169" s="41" t="s">
        <v>248</v>
      </c>
      <c r="C169" s="19" t="s">
        <v>417</v>
      </c>
      <c r="D169" s="17">
        <v>177367</v>
      </c>
      <c r="E169" s="17">
        <v>13755</v>
      </c>
      <c r="F169" s="17">
        <v>0</v>
      </c>
      <c r="G169" s="17">
        <v>650.48387096774195</v>
      </c>
      <c r="H169" s="17">
        <v>1055</v>
      </c>
      <c r="I169" s="17">
        <v>167472</v>
      </c>
      <c r="J169" s="17">
        <v>14417</v>
      </c>
      <c r="K169" s="17">
        <v>0</v>
      </c>
      <c r="L169" s="17">
        <v>669.46428571428567</v>
      </c>
      <c r="M169" s="17">
        <v>1406.4285714285713</v>
      </c>
      <c r="N169" s="17">
        <v>162713</v>
      </c>
      <c r="O169" s="17">
        <v>13489</v>
      </c>
      <c r="P169" s="17">
        <v>0</v>
      </c>
      <c r="Q169" s="17">
        <v>695</v>
      </c>
      <c r="R169" s="17">
        <v>1593.5483870967741</v>
      </c>
      <c r="S169" s="17">
        <v>185794</v>
      </c>
      <c r="T169" s="17">
        <v>17289</v>
      </c>
      <c r="U169" s="17">
        <v>0</v>
      </c>
      <c r="V169" s="17">
        <v>695</v>
      </c>
      <c r="W169" s="17">
        <v>1353.6666666666667</v>
      </c>
      <c r="X169" s="17">
        <v>181864</v>
      </c>
      <c r="Y169" s="17">
        <v>19099</v>
      </c>
      <c r="Z169" s="17">
        <v>0</v>
      </c>
      <c r="AA169" s="17">
        <v>742.58064516129036</v>
      </c>
      <c r="AB169" s="17">
        <v>1197.4193548387098</v>
      </c>
      <c r="AC169" s="17">
        <v>155311</v>
      </c>
      <c r="AD169" s="17">
        <v>18172</v>
      </c>
      <c r="AE169" s="17">
        <v>0</v>
      </c>
      <c r="AF169" s="17">
        <v>740.33333333333337</v>
      </c>
      <c r="AG169" s="17">
        <v>1201.3333333333333</v>
      </c>
      <c r="AH169" s="17">
        <v>161456</v>
      </c>
      <c r="AI169" s="17">
        <v>11922</v>
      </c>
      <c r="AJ169" s="17">
        <v>0</v>
      </c>
      <c r="AK169" s="17">
        <v>750.80645161290317</v>
      </c>
      <c r="AL169" s="17">
        <v>1220</v>
      </c>
      <c r="AM169" s="17">
        <v>106023</v>
      </c>
      <c r="AN169" s="17">
        <v>11719</v>
      </c>
      <c r="AO169" s="17">
        <v>0</v>
      </c>
      <c r="AP169" s="17">
        <v>867.41935483870964</v>
      </c>
      <c r="AQ169" s="17">
        <v>1220</v>
      </c>
      <c r="AR169" s="17">
        <v>167795</v>
      </c>
      <c r="AS169" s="17">
        <v>12652</v>
      </c>
      <c r="AT169" s="17">
        <v>0</v>
      </c>
      <c r="AU169" s="17">
        <v>1108.8333333333333</v>
      </c>
      <c r="AV169" s="17">
        <v>1220</v>
      </c>
      <c r="AW169" s="17">
        <v>151129</v>
      </c>
      <c r="AX169" s="17">
        <v>17796</v>
      </c>
      <c r="AY169" s="17">
        <v>0</v>
      </c>
      <c r="AZ169" s="17">
        <v>1150.6451612903227</v>
      </c>
      <c r="BA169" s="17">
        <v>1211.2903225806451</v>
      </c>
      <c r="BB169" s="17">
        <v>137074</v>
      </c>
      <c r="BC169" s="17">
        <v>20206</v>
      </c>
      <c r="BD169" s="17">
        <v>0</v>
      </c>
      <c r="BE169" s="17">
        <v>1138.3333333333333</v>
      </c>
      <c r="BF169" s="17">
        <v>1179.3333333333333</v>
      </c>
      <c r="BG169" s="17">
        <v>138375</v>
      </c>
      <c r="BH169" s="17">
        <v>21984</v>
      </c>
      <c r="BI169" s="17">
        <v>0</v>
      </c>
      <c r="BJ169" s="17">
        <v>1081.6129032258063</v>
      </c>
      <c r="BK169" s="17">
        <v>1153.2258064516129</v>
      </c>
    </row>
    <row r="170" spans="1:63" x14ac:dyDescent="0.35">
      <c r="A170" s="18">
        <v>166</v>
      </c>
      <c r="B170" s="41" t="s">
        <v>246</v>
      </c>
      <c r="C170" s="19" t="s">
        <v>418</v>
      </c>
      <c r="D170" s="17">
        <v>190380</v>
      </c>
      <c r="E170" s="17">
        <v>10271</v>
      </c>
      <c r="F170" s="17">
        <v>0</v>
      </c>
      <c r="G170" s="17">
        <v>635.32258064516134</v>
      </c>
      <c r="H170" s="17">
        <v>1051.9354838709678</v>
      </c>
      <c r="I170" s="17">
        <v>239533</v>
      </c>
      <c r="J170" s="17">
        <v>9159</v>
      </c>
      <c r="K170" s="17">
        <v>0</v>
      </c>
      <c r="L170" s="17">
        <v>660.53571428571433</v>
      </c>
      <c r="M170" s="17">
        <v>1406.4285714285713</v>
      </c>
      <c r="N170" s="17">
        <v>265248</v>
      </c>
      <c r="O170" s="17">
        <v>7421</v>
      </c>
      <c r="P170" s="17">
        <v>0</v>
      </c>
      <c r="Q170" s="17">
        <v>679.0322580645161</v>
      </c>
      <c r="R170" s="17">
        <v>1585.483870967742</v>
      </c>
      <c r="S170" s="17">
        <v>212438</v>
      </c>
      <c r="T170" s="17">
        <v>8979</v>
      </c>
      <c r="U170" s="17">
        <v>0</v>
      </c>
      <c r="V170" s="17">
        <v>690</v>
      </c>
      <c r="W170" s="17">
        <v>1339.3333333333333</v>
      </c>
      <c r="X170" s="17">
        <v>252043</v>
      </c>
      <c r="Y170" s="17">
        <v>6162</v>
      </c>
      <c r="Z170" s="17">
        <v>0</v>
      </c>
      <c r="AA170" s="17">
        <v>728.54838709677415</v>
      </c>
      <c r="AB170" s="17">
        <v>1167.741935483871</v>
      </c>
      <c r="AC170" s="17">
        <v>206353</v>
      </c>
      <c r="AD170" s="17">
        <v>9470</v>
      </c>
      <c r="AE170" s="17">
        <v>0</v>
      </c>
      <c r="AF170" s="17">
        <v>714.66666666666663</v>
      </c>
      <c r="AG170" s="17">
        <v>1141.3333333333333</v>
      </c>
      <c r="AH170" s="17">
        <v>294711</v>
      </c>
      <c r="AI170" s="17">
        <v>7832</v>
      </c>
      <c r="AJ170" s="17">
        <v>0</v>
      </c>
      <c r="AK170" s="17">
        <v>743.22580645161293</v>
      </c>
      <c r="AL170" s="17">
        <v>1187.0967741935483</v>
      </c>
      <c r="AM170" s="17">
        <v>201449</v>
      </c>
      <c r="AN170" s="17">
        <v>7194</v>
      </c>
      <c r="AO170" s="17">
        <v>0</v>
      </c>
      <c r="AP170" s="17">
        <v>841.61290322580646</v>
      </c>
      <c r="AQ170" s="17">
        <v>1190.9677419354839</v>
      </c>
      <c r="AR170" s="17">
        <v>206056</v>
      </c>
      <c r="AS170" s="17">
        <v>6307</v>
      </c>
      <c r="AT170" s="17">
        <v>0</v>
      </c>
      <c r="AU170" s="17">
        <v>1106.8333333333333</v>
      </c>
      <c r="AV170" s="17">
        <v>1190</v>
      </c>
      <c r="AW170" s="17">
        <v>179424</v>
      </c>
      <c r="AX170" s="17">
        <v>7575</v>
      </c>
      <c r="AY170" s="17">
        <v>0</v>
      </c>
      <c r="AZ170" s="17">
        <v>1163.2258064516129</v>
      </c>
      <c r="BA170" s="17">
        <v>1190</v>
      </c>
      <c r="BB170" s="17">
        <v>149859</v>
      </c>
      <c r="BC170" s="17">
        <v>8871</v>
      </c>
      <c r="BD170" s="17">
        <v>0</v>
      </c>
      <c r="BE170" s="17">
        <v>1131.3333333333333</v>
      </c>
      <c r="BF170" s="17">
        <v>1179.3333333333333</v>
      </c>
      <c r="BG170" s="17">
        <v>129156</v>
      </c>
      <c r="BH170" s="17">
        <v>9426</v>
      </c>
      <c r="BI170" s="17">
        <v>0</v>
      </c>
      <c r="BJ170" s="17">
        <v>1075.483870967742</v>
      </c>
      <c r="BK170" s="17">
        <v>1154.516129032258</v>
      </c>
    </row>
    <row r="171" spans="1:63" x14ac:dyDescent="0.35">
      <c r="A171" s="18">
        <v>167</v>
      </c>
      <c r="B171" s="41" t="s">
        <v>239</v>
      </c>
      <c r="C171" s="19" t="s">
        <v>419</v>
      </c>
      <c r="D171" s="17">
        <v>356098</v>
      </c>
      <c r="E171" s="17">
        <v>50570</v>
      </c>
      <c r="F171" s="17">
        <v>2632</v>
      </c>
      <c r="G171" s="17">
        <v>653.70967741935488</v>
      </c>
      <c r="H171" s="17">
        <v>1060.483870967742</v>
      </c>
      <c r="I171" s="17">
        <v>370372</v>
      </c>
      <c r="J171" s="17">
        <v>43077</v>
      </c>
      <c r="K171" s="17">
        <v>2525</v>
      </c>
      <c r="L171" s="17">
        <v>670.17857142857144</v>
      </c>
      <c r="M171" s="17">
        <v>1408.5714285714287</v>
      </c>
      <c r="N171" s="17">
        <v>361203</v>
      </c>
      <c r="O171" s="17">
        <v>35947</v>
      </c>
      <c r="P171" s="17">
        <v>1127</v>
      </c>
      <c r="Q171" s="17">
        <v>695</v>
      </c>
      <c r="R171" s="17">
        <v>1590.3225806451612</v>
      </c>
      <c r="S171" s="17">
        <v>343951</v>
      </c>
      <c r="T171" s="17">
        <v>38978</v>
      </c>
      <c r="U171" s="17">
        <v>1299</v>
      </c>
      <c r="V171" s="17">
        <v>696.16666666666663</v>
      </c>
      <c r="W171" s="17">
        <v>1362</v>
      </c>
      <c r="X171" s="17">
        <v>245788</v>
      </c>
      <c r="Y171" s="17">
        <v>35109</v>
      </c>
      <c r="Z171" s="17">
        <v>1257</v>
      </c>
      <c r="AA171" s="17">
        <v>778.06451612903231</v>
      </c>
      <c r="AB171" s="17">
        <v>1214.516129032258</v>
      </c>
      <c r="AC171" s="17">
        <v>249014</v>
      </c>
      <c r="AD171" s="17">
        <v>30227</v>
      </c>
      <c r="AE171" s="17">
        <v>1537</v>
      </c>
      <c r="AF171" s="17">
        <v>752.66666666666663</v>
      </c>
      <c r="AG171" s="17">
        <v>1189.3333333333333</v>
      </c>
      <c r="AH171" s="17">
        <v>315564</v>
      </c>
      <c r="AI171" s="17">
        <v>34276</v>
      </c>
      <c r="AJ171" s="17">
        <v>3700</v>
      </c>
      <c r="AK171" s="17">
        <v>751.45161290322585</v>
      </c>
      <c r="AL171" s="17">
        <v>1208.0645161290322</v>
      </c>
      <c r="AM171" s="17">
        <v>165828</v>
      </c>
      <c r="AN171" s="17">
        <v>25135</v>
      </c>
      <c r="AO171" s="17">
        <v>4373</v>
      </c>
      <c r="AP171" s="17">
        <v>846.61290322580646</v>
      </c>
      <c r="AQ171" s="17">
        <v>1230</v>
      </c>
      <c r="AR171" s="17">
        <v>177520</v>
      </c>
      <c r="AS171" s="17">
        <v>30029</v>
      </c>
      <c r="AT171" s="17">
        <v>3655</v>
      </c>
      <c r="AU171" s="17">
        <v>1108.6666666666667</v>
      </c>
      <c r="AV171" s="17">
        <v>1230</v>
      </c>
      <c r="AW171" s="17">
        <v>273295</v>
      </c>
      <c r="AX171" s="17">
        <v>31664</v>
      </c>
      <c r="AY171" s="17">
        <v>7077</v>
      </c>
      <c r="AZ171" s="17">
        <v>1179.6774193548388</v>
      </c>
      <c r="BA171" s="17">
        <v>1218.3870967741937</v>
      </c>
      <c r="BB171" s="17">
        <v>272545</v>
      </c>
      <c r="BC171" s="17">
        <v>47418</v>
      </c>
      <c r="BD171" s="17">
        <v>3285</v>
      </c>
      <c r="BE171" s="17">
        <v>1138</v>
      </c>
      <c r="BF171" s="17">
        <v>1170.3333333333333</v>
      </c>
      <c r="BG171" s="17">
        <v>261830</v>
      </c>
      <c r="BH171" s="17">
        <v>43291</v>
      </c>
      <c r="BI171" s="17">
        <v>2904</v>
      </c>
      <c r="BJ171" s="17">
        <v>1084.516129032258</v>
      </c>
      <c r="BK171" s="17">
        <v>1150</v>
      </c>
    </row>
    <row r="172" spans="1:63" x14ac:dyDescent="0.35">
      <c r="A172" s="18">
        <v>168</v>
      </c>
      <c r="B172" s="41" t="s">
        <v>247</v>
      </c>
      <c r="C172" s="19" t="s">
        <v>420</v>
      </c>
      <c r="D172" s="17">
        <v>176255</v>
      </c>
      <c r="E172" s="17">
        <v>12049</v>
      </c>
      <c r="F172" s="17">
        <v>0</v>
      </c>
      <c r="G172" s="17">
        <v>652.25806451612902</v>
      </c>
      <c r="H172" s="17">
        <v>1057.741935483871</v>
      </c>
      <c r="I172" s="17">
        <v>157557</v>
      </c>
      <c r="J172" s="17">
        <v>25857</v>
      </c>
      <c r="K172" s="17">
        <v>0</v>
      </c>
      <c r="L172" s="17">
        <v>669.46428571428567</v>
      </c>
      <c r="M172" s="17">
        <v>1406.4285714285713</v>
      </c>
      <c r="N172" s="17">
        <v>198071</v>
      </c>
      <c r="O172" s="17">
        <v>37289</v>
      </c>
      <c r="P172" s="17">
        <v>0</v>
      </c>
      <c r="Q172" s="17">
        <v>695</v>
      </c>
      <c r="R172" s="17">
        <v>1590.3225806451612</v>
      </c>
      <c r="S172" s="17">
        <v>206872</v>
      </c>
      <c r="T172" s="17">
        <v>58368</v>
      </c>
      <c r="U172" s="17">
        <v>0</v>
      </c>
      <c r="V172" s="17">
        <v>695</v>
      </c>
      <c r="W172" s="17">
        <v>1340.3333333333333</v>
      </c>
      <c r="X172" s="17">
        <v>289195</v>
      </c>
      <c r="Y172" s="17">
        <v>56439</v>
      </c>
      <c r="Z172" s="17">
        <v>0</v>
      </c>
      <c r="AA172" s="17">
        <v>747.41935483870964</v>
      </c>
      <c r="AB172" s="17">
        <v>1197.4193548387098</v>
      </c>
      <c r="AC172" s="17">
        <v>224615</v>
      </c>
      <c r="AD172" s="17">
        <v>56641</v>
      </c>
      <c r="AE172" s="17">
        <v>0</v>
      </c>
      <c r="AF172" s="17">
        <v>738.33333333333337</v>
      </c>
      <c r="AG172" s="17">
        <v>1188.3333333333333</v>
      </c>
      <c r="AH172" s="17">
        <v>274541</v>
      </c>
      <c r="AI172" s="17">
        <v>50248</v>
      </c>
      <c r="AJ172" s="17">
        <v>0</v>
      </c>
      <c r="AK172" s="17">
        <v>760.48387096774195</v>
      </c>
      <c r="AL172" s="17">
        <v>1190</v>
      </c>
      <c r="AM172" s="17">
        <v>198200</v>
      </c>
      <c r="AN172" s="17">
        <v>23382</v>
      </c>
      <c r="AO172" s="17">
        <v>0</v>
      </c>
      <c r="AP172" s="17">
        <v>867.09677419354841</v>
      </c>
      <c r="AQ172" s="17">
        <v>1190.9677419354839</v>
      </c>
      <c r="AR172" s="17">
        <v>269743</v>
      </c>
      <c r="AS172" s="17">
        <v>31506</v>
      </c>
      <c r="AT172" s="17">
        <v>0</v>
      </c>
      <c r="AU172" s="17">
        <v>1117.5</v>
      </c>
      <c r="AV172" s="17">
        <v>1190</v>
      </c>
      <c r="AW172" s="17">
        <v>214436</v>
      </c>
      <c r="AX172" s="17">
        <v>32016</v>
      </c>
      <c r="AY172" s="17">
        <v>0</v>
      </c>
      <c r="AZ172" s="17">
        <v>1162.258064516129</v>
      </c>
      <c r="BA172" s="17">
        <v>1194.8387096774193</v>
      </c>
      <c r="BB172" s="17">
        <v>221436</v>
      </c>
      <c r="BC172" s="17">
        <v>38081</v>
      </c>
      <c r="BD172" s="17">
        <v>0</v>
      </c>
      <c r="BE172" s="17">
        <v>1132.3333333333333</v>
      </c>
      <c r="BF172" s="17">
        <v>1179.3333333333333</v>
      </c>
      <c r="BG172" s="17">
        <v>208730</v>
      </c>
      <c r="BH172" s="17">
        <v>28847</v>
      </c>
      <c r="BI172" s="17">
        <v>0</v>
      </c>
      <c r="BJ172" s="17">
        <v>1087.4193548387098</v>
      </c>
      <c r="BK172" s="17">
        <v>1153.2258064516129</v>
      </c>
    </row>
    <row r="173" spans="1:63" x14ac:dyDescent="0.35">
      <c r="A173" s="18">
        <v>169</v>
      </c>
      <c r="B173" s="41" t="s">
        <v>250</v>
      </c>
      <c r="C173" s="19" t="s">
        <v>264</v>
      </c>
      <c r="D173" s="17">
        <v>0</v>
      </c>
      <c r="E173" s="17">
        <v>0</v>
      </c>
      <c r="F173" s="17">
        <v>0</v>
      </c>
      <c r="G173" s="17" t="e">
        <v>#DIV/0!</v>
      </c>
      <c r="H173" s="17" t="e">
        <v>#DIV/0!</v>
      </c>
      <c r="I173" s="17">
        <v>163237</v>
      </c>
      <c r="J173" s="17">
        <v>30624</v>
      </c>
      <c r="K173" s="17">
        <v>0</v>
      </c>
      <c r="L173" s="17">
        <v>687.75</v>
      </c>
      <c r="M173" s="17">
        <v>1434.5</v>
      </c>
      <c r="N173" s="17">
        <v>262102</v>
      </c>
      <c r="O173" s="17">
        <v>15870</v>
      </c>
      <c r="P173" s="17">
        <v>0</v>
      </c>
      <c r="Q173" s="17">
        <v>703.22580645161293</v>
      </c>
      <c r="R173" s="17">
        <v>1606.1290322580646</v>
      </c>
      <c r="S173" s="17">
        <v>186995</v>
      </c>
      <c r="T173" s="17">
        <v>6536</v>
      </c>
      <c r="U173" s="17">
        <v>0</v>
      </c>
      <c r="V173" s="17">
        <v>722.16666666666663</v>
      </c>
      <c r="W173" s="17">
        <v>1476</v>
      </c>
      <c r="X173" s="17">
        <v>262467</v>
      </c>
      <c r="Y173" s="17">
        <v>10114</v>
      </c>
      <c r="Z173" s="17">
        <v>0</v>
      </c>
      <c r="AA173" s="17">
        <v>822.90322580645159</v>
      </c>
      <c r="AB173" s="17">
        <v>1256.7741935483871</v>
      </c>
      <c r="AC173" s="17">
        <v>244649</v>
      </c>
      <c r="AD173" s="17">
        <v>9856</v>
      </c>
      <c r="AE173" s="17">
        <v>0</v>
      </c>
      <c r="AF173" s="17">
        <v>740.66666666666663</v>
      </c>
      <c r="AG173" s="17">
        <v>1210.3333333333333</v>
      </c>
      <c r="AH173" s="17">
        <v>247259</v>
      </c>
      <c r="AI173" s="17">
        <v>9388</v>
      </c>
      <c r="AJ173" s="17">
        <v>0</v>
      </c>
      <c r="AK173" s="17">
        <v>808.70967741935488</v>
      </c>
      <c r="AL173" s="17">
        <v>1230</v>
      </c>
      <c r="AM173" s="17">
        <v>162540</v>
      </c>
      <c r="AN173" s="17">
        <v>4147</v>
      </c>
      <c r="AO173" s="17">
        <v>0</v>
      </c>
      <c r="AP173" s="17">
        <v>880.64516129032256</v>
      </c>
      <c r="AQ173" s="17">
        <v>1231.6129032258063</v>
      </c>
      <c r="AR173" s="17">
        <v>87927</v>
      </c>
      <c r="AS173" s="17">
        <v>3404</v>
      </c>
      <c r="AT173" s="17">
        <v>0</v>
      </c>
      <c r="AU173" s="17">
        <v>1118.6666666666667</v>
      </c>
      <c r="AV173" s="17">
        <v>1230</v>
      </c>
      <c r="AW173" s="17">
        <v>133641</v>
      </c>
      <c r="AX173" s="17">
        <v>9331</v>
      </c>
      <c r="AY173" s="17">
        <v>0</v>
      </c>
      <c r="AZ173" s="17">
        <v>1199.0322580645161</v>
      </c>
      <c r="BA173" s="17">
        <v>1219.3548387096773</v>
      </c>
      <c r="BB173" s="17">
        <v>139072</v>
      </c>
      <c r="BC173" s="17">
        <v>9816</v>
      </c>
      <c r="BD173" s="17">
        <v>0</v>
      </c>
      <c r="BE173" s="17">
        <v>1156.3333333333333</v>
      </c>
      <c r="BF173" s="17">
        <v>1200.6666666666667</v>
      </c>
      <c r="BG173" s="17">
        <v>110068</v>
      </c>
      <c r="BH173" s="17">
        <v>5020</v>
      </c>
      <c r="BI173" s="17">
        <v>0</v>
      </c>
      <c r="BJ173" s="17">
        <v>1110.3225806451612</v>
      </c>
      <c r="BK173" s="17">
        <v>1200</v>
      </c>
    </row>
    <row r="174" spans="1:63" x14ac:dyDescent="0.35">
      <c r="A174" s="18">
        <v>170</v>
      </c>
      <c r="B174" s="41" t="s">
        <v>234</v>
      </c>
      <c r="C174" s="19" t="s">
        <v>421</v>
      </c>
      <c r="D174" s="17">
        <v>0</v>
      </c>
      <c r="E174" s="17">
        <v>0</v>
      </c>
      <c r="F174" s="17">
        <v>0</v>
      </c>
      <c r="G174" s="17" t="e">
        <v>#DIV/0!</v>
      </c>
      <c r="H174" s="17" t="e">
        <v>#DIV/0!</v>
      </c>
      <c r="I174" s="17">
        <v>0</v>
      </c>
      <c r="J174" s="17">
        <v>0</v>
      </c>
      <c r="K174" s="17">
        <v>0</v>
      </c>
      <c r="L174" s="17" t="e">
        <v>#DIV/0!</v>
      </c>
      <c r="M174" s="17" t="e">
        <v>#DIV/0!</v>
      </c>
      <c r="N174" s="17">
        <v>0</v>
      </c>
      <c r="O174" s="17">
        <v>0</v>
      </c>
      <c r="P174" s="17">
        <v>0</v>
      </c>
      <c r="Q174" s="17" t="e">
        <v>#DIV/0!</v>
      </c>
      <c r="R174" s="17" t="e">
        <v>#DIV/0!</v>
      </c>
      <c r="S174" s="17">
        <v>248365</v>
      </c>
      <c r="T174" s="17">
        <v>9621</v>
      </c>
      <c r="U174" s="17">
        <v>0</v>
      </c>
      <c r="V174" s="17">
        <v>695</v>
      </c>
      <c r="W174" s="17">
        <v>1337.4074074074074</v>
      </c>
      <c r="X174" s="17">
        <v>311957</v>
      </c>
      <c r="Y174" s="17">
        <v>11532</v>
      </c>
      <c r="Z174" s="17">
        <v>0</v>
      </c>
      <c r="AA174" s="17">
        <v>741.61290322580646</v>
      </c>
      <c r="AB174" s="17">
        <v>1197.4193548387098</v>
      </c>
      <c r="AC174" s="17">
        <v>287548</v>
      </c>
      <c r="AD174" s="17">
        <v>9467</v>
      </c>
      <c r="AE174" s="17">
        <v>0</v>
      </c>
      <c r="AF174" s="17">
        <v>732.33333333333337</v>
      </c>
      <c r="AG174" s="17">
        <v>1182.3333333333333</v>
      </c>
      <c r="AH174" s="17">
        <v>269835</v>
      </c>
      <c r="AI174" s="17">
        <v>8661</v>
      </c>
      <c r="AJ174" s="17">
        <v>0</v>
      </c>
      <c r="AK174" s="17">
        <v>761.77419354838707</v>
      </c>
      <c r="AL174" s="17">
        <v>1190</v>
      </c>
      <c r="AM174" s="17">
        <v>136223</v>
      </c>
      <c r="AN174" s="17">
        <v>6605</v>
      </c>
      <c r="AO174" s="17">
        <v>0</v>
      </c>
      <c r="AP174" s="17">
        <v>867.09677419354841</v>
      </c>
      <c r="AQ174" s="17">
        <v>1190</v>
      </c>
      <c r="AR174" s="17">
        <v>206481</v>
      </c>
      <c r="AS174" s="17">
        <v>12059</v>
      </c>
      <c r="AT174" s="17">
        <v>0</v>
      </c>
      <c r="AU174" s="17">
        <v>1117.5</v>
      </c>
      <c r="AV174" s="17">
        <v>1190</v>
      </c>
      <c r="AW174" s="17">
        <v>248188</v>
      </c>
      <c r="AX174" s="17">
        <v>12844</v>
      </c>
      <c r="AY174" s="17">
        <v>0</v>
      </c>
      <c r="AZ174" s="17">
        <v>1161.6129032258063</v>
      </c>
      <c r="BA174" s="17">
        <v>1194.8387096774193</v>
      </c>
      <c r="BB174" s="17">
        <v>244913</v>
      </c>
      <c r="BC174" s="17">
        <v>12303</v>
      </c>
      <c r="BD174" s="17">
        <v>0</v>
      </c>
      <c r="BE174" s="17">
        <v>1132.6666666666667</v>
      </c>
      <c r="BF174" s="17">
        <v>1179.3333333333333</v>
      </c>
      <c r="BG174" s="17">
        <v>249709</v>
      </c>
      <c r="BH174" s="17">
        <v>23562</v>
      </c>
      <c r="BI174" s="17">
        <v>0</v>
      </c>
      <c r="BJ174" s="17">
        <v>1087.4193548387098</v>
      </c>
      <c r="BK174" s="17">
        <v>1153.2258064516129</v>
      </c>
    </row>
    <row r="175" spans="1:63" x14ac:dyDescent="0.35">
      <c r="A175" s="18">
        <v>171</v>
      </c>
      <c r="B175" s="41" t="s">
        <v>237</v>
      </c>
      <c r="C175" s="19" t="s">
        <v>422</v>
      </c>
      <c r="D175" s="17">
        <v>0</v>
      </c>
      <c r="E175" s="17">
        <v>0</v>
      </c>
      <c r="F175" s="17">
        <v>0</v>
      </c>
      <c r="G175" s="17" t="e">
        <v>#DIV/0!</v>
      </c>
      <c r="H175" s="17" t="e">
        <v>#DIV/0!</v>
      </c>
      <c r="I175" s="17">
        <v>0</v>
      </c>
      <c r="J175" s="17">
        <v>0</v>
      </c>
      <c r="K175" s="17">
        <v>0</v>
      </c>
      <c r="L175" s="17" t="e">
        <v>#DIV/0!</v>
      </c>
      <c r="M175" s="17" t="e">
        <v>#DIV/0!</v>
      </c>
      <c r="N175" s="17">
        <v>0</v>
      </c>
      <c r="O175" s="17">
        <v>0</v>
      </c>
      <c r="P175" s="17">
        <v>0</v>
      </c>
      <c r="Q175" s="17" t="e">
        <v>#DIV/0!</v>
      </c>
      <c r="R175" s="17" t="e">
        <v>#DIV/0!</v>
      </c>
      <c r="S175" s="17">
        <v>98989</v>
      </c>
      <c r="T175" s="17">
        <v>5878</v>
      </c>
      <c r="U175" s="17">
        <v>0</v>
      </c>
      <c r="V175" s="17">
        <v>681.42857142857144</v>
      </c>
      <c r="W175" s="17">
        <v>1287.1428571428571</v>
      </c>
      <c r="X175" s="17">
        <v>209085</v>
      </c>
      <c r="Y175" s="17">
        <v>14502</v>
      </c>
      <c r="Z175" s="17">
        <v>0</v>
      </c>
      <c r="AA175" s="17">
        <v>729.67741935483866</v>
      </c>
      <c r="AB175" s="17">
        <v>1194.8387096774193</v>
      </c>
      <c r="AC175" s="17">
        <v>198790</v>
      </c>
      <c r="AD175" s="17">
        <v>15439</v>
      </c>
      <c r="AE175" s="17">
        <v>0</v>
      </c>
      <c r="AF175" s="17">
        <v>736.33333333333337</v>
      </c>
      <c r="AG175" s="17">
        <v>1201.3333333333333</v>
      </c>
      <c r="AH175" s="17">
        <v>225139</v>
      </c>
      <c r="AI175" s="17">
        <v>15210</v>
      </c>
      <c r="AJ175" s="17">
        <v>0</v>
      </c>
      <c r="AK175" s="17">
        <v>749.19354838709683</v>
      </c>
      <c r="AL175" s="17">
        <v>1220</v>
      </c>
      <c r="AM175" s="17">
        <v>115578</v>
      </c>
      <c r="AN175" s="17">
        <v>13032</v>
      </c>
      <c r="AO175" s="17">
        <v>0</v>
      </c>
      <c r="AP175" s="17">
        <v>867.41935483870964</v>
      </c>
      <c r="AQ175" s="17">
        <v>1220</v>
      </c>
      <c r="AR175" s="17">
        <v>162320</v>
      </c>
      <c r="AS175" s="17">
        <v>12975</v>
      </c>
      <c r="AT175" s="17">
        <v>0</v>
      </c>
      <c r="AU175" s="17">
        <v>1108.8333333333333</v>
      </c>
      <c r="AV175" s="17">
        <v>1220</v>
      </c>
      <c r="AW175" s="17">
        <v>213646</v>
      </c>
      <c r="AX175" s="17">
        <v>37765</v>
      </c>
      <c r="AY175" s="17">
        <v>0</v>
      </c>
      <c r="AZ175" s="17">
        <v>1150.6451612903227</v>
      </c>
      <c r="BA175" s="17">
        <v>1211.2903225806451</v>
      </c>
      <c r="BB175" s="17">
        <v>210507</v>
      </c>
      <c r="BC175" s="17">
        <v>32678</v>
      </c>
      <c r="BD175" s="17">
        <v>0</v>
      </c>
      <c r="BE175" s="17">
        <v>1138.3333333333333</v>
      </c>
      <c r="BF175" s="17">
        <v>1179.3333333333333</v>
      </c>
      <c r="BG175" s="17">
        <v>230570</v>
      </c>
      <c r="BH175" s="17">
        <v>22017</v>
      </c>
      <c r="BI175" s="17">
        <v>0</v>
      </c>
      <c r="BJ175" s="17">
        <v>1081.6129032258063</v>
      </c>
      <c r="BK175" s="17">
        <v>1153.2258064516129</v>
      </c>
    </row>
    <row r="176" spans="1:63" x14ac:dyDescent="0.35">
      <c r="A176" s="18">
        <v>172</v>
      </c>
      <c r="B176" s="41" t="s">
        <v>231</v>
      </c>
      <c r="C176" s="19" t="s">
        <v>265</v>
      </c>
      <c r="D176" s="17">
        <v>0</v>
      </c>
      <c r="E176" s="17">
        <v>0</v>
      </c>
      <c r="F176" s="17">
        <v>0</v>
      </c>
      <c r="G176" s="17" t="e">
        <v>#DIV/0!</v>
      </c>
      <c r="H176" s="17" t="e">
        <v>#DIV/0!</v>
      </c>
      <c r="I176" s="17">
        <v>0</v>
      </c>
      <c r="J176" s="17">
        <v>0</v>
      </c>
      <c r="K176" s="17">
        <v>0</v>
      </c>
      <c r="L176" s="17" t="e">
        <v>#DIV/0!</v>
      </c>
      <c r="M176" s="17" t="e">
        <v>#DIV/0!</v>
      </c>
      <c r="N176" s="17">
        <v>0</v>
      </c>
      <c r="O176" s="17">
        <v>0</v>
      </c>
      <c r="P176" s="17">
        <v>0</v>
      </c>
      <c r="Q176" s="17" t="e">
        <v>#DIV/0!</v>
      </c>
      <c r="R176" s="17" t="e">
        <v>#DIV/0!</v>
      </c>
      <c r="S176" s="17">
        <v>0</v>
      </c>
      <c r="T176" s="17">
        <v>0</v>
      </c>
      <c r="U176" s="17">
        <v>0</v>
      </c>
      <c r="V176" s="17" t="e">
        <v>#DIV/0!</v>
      </c>
      <c r="W176" s="17" t="e">
        <v>#DIV/0!</v>
      </c>
      <c r="X176" s="17">
        <v>0</v>
      </c>
      <c r="Y176" s="17">
        <v>0</v>
      </c>
      <c r="Z176" s="17">
        <v>0</v>
      </c>
      <c r="AA176" s="17" t="e">
        <v>#DIV/0!</v>
      </c>
      <c r="AB176" s="17" t="e">
        <v>#DIV/0!</v>
      </c>
      <c r="AC176" s="17">
        <v>48793</v>
      </c>
      <c r="AD176" s="17">
        <v>5987</v>
      </c>
      <c r="AE176" s="17">
        <v>0</v>
      </c>
      <c r="AF176" s="17">
        <v>723.33333333333337</v>
      </c>
      <c r="AG176" s="17">
        <v>1200</v>
      </c>
      <c r="AH176" s="17">
        <v>414471</v>
      </c>
      <c r="AI176" s="17">
        <v>31997</v>
      </c>
      <c r="AJ176" s="17">
        <v>0</v>
      </c>
      <c r="AK176" s="17">
        <v>762.58064516129036</v>
      </c>
      <c r="AL176" s="17">
        <v>1200</v>
      </c>
      <c r="AM176" s="17">
        <v>491606</v>
      </c>
      <c r="AN176" s="17">
        <v>49259</v>
      </c>
      <c r="AO176" s="17">
        <v>0</v>
      </c>
      <c r="AP176" s="17">
        <v>849.67741935483866</v>
      </c>
      <c r="AQ176" s="17">
        <v>1200</v>
      </c>
      <c r="AR176" s="17">
        <v>181828</v>
      </c>
      <c r="AS176" s="17">
        <v>54742</v>
      </c>
      <c r="AT176" s="17">
        <v>0</v>
      </c>
      <c r="AU176" s="17">
        <v>1114</v>
      </c>
      <c r="AV176" s="17">
        <v>1222</v>
      </c>
      <c r="AW176" s="17">
        <v>234681</v>
      </c>
      <c r="AX176" s="17">
        <v>56316</v>
      </c>
      <c r="AY176" s="17">
        <v>0</v>
      </c>
      <c r="AZ176" s="17">
        <v>1190.3225806451612</v>
      </c>
      <c r="BA176" s="17">
        <v>1245.8064516129032</v>
      </c>
      <c r="BB176" s="17">
        <v>301090</v>
      </c>
      <c r="BC176" s="17">
        <v>78899</v>
      </c>
      <c r="BD176" s="17">
        <v>0</v>
      </c>
      <c r="BE176" s="17">
        <v>1130.5</v>
      </c>
      <c r="BF176" s="17">
        <v>1200</v>
      </c>
      <c r="BG176" s="17">
        <v>374864</v>
      </c>
      <c r="BH176" s="17">
        <v>82811</v>
      </c>
      <c r="BI176" s="17">
        <v>0</v>
      </c>
      <c r="BJ176" s="17">
        <v>1069.3548387096773</v>
      </c>
      <c r="BK176" s="17">
        <v>1200</v>
      </c>
    </row>
    <row r="177" spans="1:63" x14ac:dyDescent="0.35">
      <c r="A177" s="18">
        <v>173</v>
      </c>
      <c r="B177" s="41" t="s">
        <v>233</v>
      </c>
      <c r="C177" s="19" t="s">
        <v>423</v>
      </c>
      <c r="D177" s="17">
        <v>0</v>
      </c>
      <c r="E177" s="17">
        <v>0</v>
      </c>
      <c r="F177" s="17">
        <v>0</v>
      </c>
      <c r="G177" s="17" t="e">
        <v>#DIV/0!</v>
      </c>
      <c r="H177" s="17" t="e">
        <v>#DIV/0!</v>
      </c>
      <c r="I177" s="17">
        <v>0</v>
      </c>
      <c r="J177" s="17">
        <v>0</v>
      </c>
      <c r="K177" s="17">
        <v>0</v>
      </c>
      <c r="L177" s="17" t="e">
        <v>#DIV/0!</v>
      </c>
      <c r="M177" s="17" t="e">
        <v>#DIV/0!</v>
      </c>
      <c r="N177" s="17">
        <v>0</v>
      </c>
      <c r="O177" s="17">
        <v>0</v>
      </c>
      <c r="P177" s="17">
        <v>0</v>
      </c>
      <c r="Q177" s="17" t="e">
        <v>#DIV/0!</v>
      </c>
      <c r="R177" s="17" t="e">
        <v>#DIV/0!</v>
      </c>
      <c r="S177" s="17">
        <v>0</v>
      </c>
      <c r="T177" s="17">
        <v>0</v>
      </c>
      <c r="U177" s="17">
        <v>0</v>
      </c>
      <c r="V177" s="17" t="e">
        <v>#DIV/0!</v>
      </c>
      <c r="W177" s="17" t="e">
        <v>#DIV/0!</v>
      </c>
      <c r="X177" s="17">
        <v>0</v>
      </c>
      <c r="Y177" s="17">
        <v>0</v>
      </c>
      <c r="Z177" s="17">
        <v>0</v>
      </c>
      <c r="AA177" s="17" t="e">
        <v>#DIV/0!</v>
      </c>
      <c r="AB177" s="17" t="e">
        <v>#DIV/0!</v>
      </c>
      <c r="AC177" s="17">
        <v>0</v>
      </c>
      <c r="AD177" s="17">
        <v>0</v>
      </c>
      <c r="AE177" s="17">
        <v>0</v>
      </c>
      <c r="AF177" s="17" t="e">
        <v>#DIV/0!</v>
      </c>
      <c r="AG177" s="17" t="e">
        <v>#DIV/0!</v>
      </c>
      <c r="AH177" s="17">
        <v>432494</v>
      </c>
      <c r="AI177" s="17">
        <v>3109</v>
      </c>
      <c r="AJ177" s="17">
        <v>0</v>
      </c>
      <c r="AK177" s="17">
        <v>713.91304347826087</v>
      </c>
      <c r="AL177" s="17">
        <v>1220</v>
      </c>
      <c r="AM177" s="17">
        <v>361217</v>
      </c>
      <c r="AN177" s="17">
        <v>1319</v>
      </c>
      <c r="AO177" s="17">
        <v>0</v>
      </c>
      <c r="AP177" s="17">
        <v>791.29032258064512</v>
      </c>
      <c r="AQ177" s="17">
        <v>1220</v>
      </c>
      <c r="AR177" s="17">
        <v>477772</v>
      </c>
      <c r="AS177" s="17">
        <v>2514</v>
      </c>
      <c r="AT177" s="17">
        <v>0</v>
      </c>
      <c r="AU177" s="17">
        <v>956.66666666666663</v>
      </c>
      <c r="AV177" s="17">
        <v>1220</v>
      </c>
      <c r="AW177" s="17">
        <v>487759</v>
      </c>
      <c r="AX177" s="17">
        <v>4096</v>
      </c>
      <c r="AY177" s="17">
        <v>0</v>
      </c>
      <c r="AZ177" s="17">
        <v>1075.483870967742</v>
      </c>
      <c r="BA177" s="17">
        <v>1214.1935483870968</v>
      </c>
      <c r="BB177" s="17">
        <v>235851</v>
      </c>
      <c r="BC177" s="17">
        <v>8257</v>
      </c>
      <c r="BD177" s="17">
        <v>0</v>
      </c>
      <c r="BE177" s="17">
        <v>1091.3333333333333</v>
      </c>
      <c r="BF177" s="17">
        <v>1185</v>
      </c>
      <c r="BG177" s="17">
        <v>218192</v>
      </c>
      <c r="BH177" s="17">
        <v>9665</v>
      </c>
      <c r="BI177" s="17">
        <v>0</v>
      </c>
      <c r="BJ177" s="17">
        <v>1059.0322580645161</v>
      </c>
      <c r="BK177" s="17">
        <v>1160.9677419354839</v>
      </c>
    </row>
    <row r="178" spans="1:63" x14ac:dyDescent="0.35">
      <c r="A178" s="18">
        <v>174</v>
      </c>
      <c r="B178" s="41" t="s">
        <v>249</v>
      </c>
      <c r="C178" s="19" t="s">
        <v>424</v>
      </c>
      <c r="D178" s="17">
        <v>0</v>
      </c>
      <c r="E178" s="17">
        <v>0</v>
      </c>
      <c r="F178" s="17">
        <v>0</v>
      </c>
      <c r="G178" s="17" t="e">
        <v>#DIV/0!</v>
      </c>
      <c r="H178" s="17" t="e">
        <v>#DIV/0!</v>
      </c>
      <c r="I178" s="17">
        <v>0</v>
      </c>
      <c r="J178" s="17">
        <v>0</v>
      </c>
      <c r="K178" s="17">
        <v>0</v>
      </c>
      <c r="L178" s="17" t="e">
        <v>#DIV/0!</v>
      </c>
      <c r="M178" s="17" t="e">
        <v>#DIV/0!</v>
      </c>
      <c r="N178" s="17">
        <v>0</v>
      </c>
      <c r="O178" s="17">
        <v>0</v>
      </c>
      <c r="P178" s="17">
        <v>0</v>
      </c>
      <c r="Q178" s="17" t="e">
        <v>#DIV/0!</v>
      </c>
      <c r="R178" s="17" t="e">
        <v>#DIV/0!</v>
      </c>
      <c r="S178" s="17">
        <v>0</v>
      </c>
      <c r="T178" s="17">
        <v>0</v>
      </c>
      <c r="U178" s="17">
        <v>0</v>
      </c>
      <c r="V178" s="17" t="e">
        <v>#DIV/0!</v>
      </c>
      <c r="W178" s="17" t="e">
        <v>#DIV/0!</v>
      </c>
      <c r="X178" s="17">
        <v>0</v>
      </c>
      <c r="Y178" s="17">
        <v>0</v>
      </c>
      <c r="Z178" s="17">
        <v>0</v>
      </c>
      <c r="AA178" s="17" t="e">
        <v>#DIV/0!</v>
      </c>
      <c r="AB178" s="17" t="e">
        <v>#DIV/0!</v>
      </c>
      <c r="AC178" s="17">
        <v>0</v>
      </c>
      <c r="AD178" s="17">
        <v>0</v>
      </c>
      <c r="AE178" s="17">
        <v>0</v>
      </c>
      <c r="AF178" s="17" t="e">
        <v>#DIV/0!</v>
      </c>
      <c r="AG178" s="17" t="e">
        <v>#DIV/0!</v>
      </c>
      <c r="AH178" s="17">
        <v>177889</v>
      </c>
      <c r="AI178" s="17">
        <v>1487</v>
      </c>
      <c r="AJ178" s="17">
        <v>0</v>
      </c>
      <c r="AK178" s="17">
        <v>853.33333333333337</v>
      </c>
      <c r="AL178" s="17">
        <v>1255</v>
      </c>
      <c r="AM178" s="17">
        <v>208286</v>
      </c>
      <c r="AN178" s="17">
        <v>1578</v>
      </c>
      <c r="AO178" s="17">
        <v>0</v>
      </c>
      <c r="AP178" s="17">
        <v>901.61290322580646</v>
      </c>
      <c r="AQ178" s="17">
        <v>1255</v>
      </c>
      <c r="AR178" s="17">
        <v>221941</v>
      </c>
      <c r="AS178" s="17">
        <v>395</v>
      </c>
      <c r="AT178" s="17">
        <v>0</v>
      </c>
      <c r="AU178" s="17">
        <v>1074.3333333333333</v>
      </c>
      <c r="AV178" s="17">
        <v>1255</v>
      </c>
      <c r="AW178" s="17">
        <v>227635</v>
      </c>
      <c r="AX178" s="17">
        <v>12794</v>
      </c>
      <c r="AY178" s="17">
        <v>0</v>
      </c>
      <c r="AZ178" s="17">
        <v>1232.258064516129</v>
      </c>
      <c r="BA178" s="17">
        <v>1244.8387096774193</v>
      </c>
      <c r="BB178" s="17">
        <v>303561</v>
      </c>
      <c r="BC178" s="17">
        <v>8469</v>
      </c>
      <c r="BD178" s="17">
        <v>0</v>
      </c>
      <c r="BE178" s="17">
        <v>1141.3333333333333</v>
      </c>
      <c r="BF178" s="17">
        <v>1215.3333333333333</v>
      </c>
      <c r="BG178" s="17">
        <v>242357</v>
      </c>
      <c r="BH178" s="17">
        <v>11293</v>
      </c>
      <c r="BI178" s="17">
        <v>0</v>
      </c>
      <c r="BJ178" s="17">
        <v>1086.7741935483871</v>
      </c>
      <c r="BK178" s="17">
        <v>1200</v>
      </c>
    </row>
    <row r="179" spans="1:63" x14ac:dyDescent="0.35">
      <c r="A179" s="18">
        <v>175</v>
      </c>
      <c r="B179" s="41" t="s">
        <v>251</v>
      </c>
      <c r="C179" s="22" t="s">
        <v>425</v>
      </c>
      <c r="D179" s="17">
        <v>0</v>
      </c>
      <c r="E179" s="17">
        <v>0</v>
      </c>
      <c r="F179" s="17">
        <v>0</v>
      </c>
      <c r="G179" s="17" t="e">
        <v>#DIV/0!</v>
      </c>
      <c r="H179" s="17" t="e">
        <v>#DIV/0!</v>
      </c>
      <c r="I179" s="17">
        <v>0</v>
      </c>
      <c r="J179" s="17">
        <v>0</v>
      </c>
      <c r="K179" s="17">
        <v>0</v>
      </c>
      <c r="L179" s="17" t="e">
        <v>#DIV/0!</v>
      </c>
      <c r="M179" s="17" t="e">
        <v>#DIV/0!</v>
      </c>
      <c r="N179" s="17">
        <v>0</v>
      </c>
      <c r="O179" s="17">
        <v>0</v>
      </c>
      <c r="P179" s="17">
        <v>0</v>
      </c>
      <c r="Q179" s="17" t="e">
        <v>#DIV/0!</v>
      </c>
      <c r="R179" s="17" t="e">
        <v>#DIV/0!</v>
      </c>
      <c r="S179" s="17">
        <v>0</v>
      </c>
      <c r="T179" s="17">
        <v>0</v>
      </c>
      <c r="U179" s="17">
        <v>0</v>
      </c>
      <c r="V179" s="17" t="e">
        <v>#DIV/0!</v>
      </c>
      <c r="W179" s="17" t="e">
        <v>#DIV/0!</v>
      </c>
      <c r="X179" s="17">
        <v>0</v>
      </c>
      <c r="Y179" s="17">
        <v>0</v>
      </c>
      <c r="Z179" s="17">
        <v>0</v>
      </c>
      <c r="AA179" s="17" t="e">
        <v>#DIV/0!</v>
      </c>
      <c r="AB179" s="17" t="e">
        <v>#DIV/0!</v>
      </c>
      <c r="AC179" s="17">
        <v>0</v>
      </c>
      <c r="AD179" s="17">
        <v>0</v>
      </c>
      <c r="AE179" s="17">
        <v>0</v>
      </c>
      <c r="AF179" s="17" t="e">
        <v>#DIV/0!</v>
      </c>
      <c r="AG179" s="17" t="e">
        <v>#DIV/0!</v>
      </c>
      <c r="AH179" s="17">
        <v>0</v>
      </c>
      <c r="AI179" s="17">
        <v>0</v>
      </c>
      <c r="AJ179" s="17">
        <v>0</v>
      </c>
      <c r="AK179" s="17" t="e">
        <v>#DIV/0!</v>
      </c>
      <c r="AL179" s="17" t="e">
        <v>#DIV/0!</v>
      </c>
      <c r="AM179" s="17">
        <v>0</v>
      </c>
      <c r="AN179" s="17">
        <v>0</v>
      </c>
      <c r="AO179" s="17">
        <v>0</v>
      </c>
      <c r="AP179" s="17" t="e">
        <v>#DIV/0!</v>
      </c>
      <c r="AQ179" s="17" t="e">
        <v>#DIV/0!</v>
      </c>
      <c r="AR179" s="17">
        <v>0</v>
      </c>
      <c r="AS179" s="17">
        <v>0</v>
      </c>
      <c r="AT179" s="17">
        <v>0</v>
      </c>
      <c r="AU179" s="17" t="e">
        <v>#DIV/0!</v>
      </c>
      <c r="AV179" s="17" t="e">
        <v>#DIV/0!</v>
      </c>
      <c r="AW179" s="17">
        <v>36547</v>
      </c>
      <c r="AX179" s="17">
        <v>4476</v>
      </c>
      <c r="AY179" s="17">
        <v>0</v>
      </c>
      <c r="AZ179" s="17">
        <v>1200</v>
      </c>
      <c r="BA179" s="17">
        <v>1220</v>
      </c>
      <c r="BB179" s="17">
        <v>194412</v>
      </c>
      <c r="BC179" s="17">
        <v>34075</v>
      </c>
      <c r="BD179" s="17">
        <v>0</v>
      </c>
      <c r="BE179" s="17">
        <v>1157.3333333333333</v>
      </c>
      <c r="BF179" s="17">
        <v>1212.6666666666667</v>
      </c>
      <c r="BG179" s="17">
        <v>224109</v>
      </c>
      <c r="BH179" s="17">
        <v>35080</v>
      </c>
      <c r="BI179" s="17">
        <v>0</v>
      </c>
      <c r="BJ179" s="17">
        <v>1100.3225806451612</v>
      </c>
      <c r="BK179" s="17">
        <v>1200.6451612903227</v>
      </c>
    </row>
    <row r="180" spans="1:63" x14ac:dyDescent="0.35">
      <c r="A180" s="18">
        <v>176</v>
      </c>
      <c r="B180" s="41" t="s">
        <v>243</v>
      </c>
      <c r="C180" s="19" t="s">
        <v>426</v>
      </c>
      <c r="D180" s="17">
        <v>0</v>
      </c>
      <c r="E180" s="17">
        <v>0</v>
      </c>
      <c r="F180" s="17">
        <v>0</v>
      </c>
      <c r="G180" s="17" t="e">
        <v>#DIV/0!</v>
      </c>
      <c r="H180" s="17" t="e">
        <v>#DIV/0!</v>
      </c>
      <c r="I180" s="17">
        <v>0</v>
      </c>
      <c r="J180" s="17">
        <v>0</v>
      </c>
      <c r="K180" s="17">
        <v>0</v>
      </c>
      <c r="L180" s="17" t="e">
        <v>#DIV/0!</v>
      </c>
      <c r="M180" s="17" t="e">
        <v>#DIV/0!</v>
      </c>
      <c r="N180" s="17">
        <v>0</v>
      </c>
      <c r="O180" s="17">
        <v>0</v>
      </c>
      <c r="P180" s="17">
        <v>0</v>
      </c>
      <c r="Q180" s="17" t="e">
        <v>#DIV/0!</v>
      </c>
      <c r="R180" s="17" t="e">
        <v>#DIV/0!</v>
      </c>
      <c r="S180" s="17">
        <v>0</v>
      </c>
      <c r="T180" s="17">
        <v>0</v>
      </c>
      <c r="U180" s="17">
        <v>0</v>
      </c>
      <c r="V180" s="17" t="e">
        <v>#DIV/0!</v>
      </c>
      <c r="W180" s="17" t="e">
        <v>#DIV/0!</v>
      </c>
      <c r="X180" s="17">
        <v>0</v>
      </c>
      <c r="Y180" s="17">
        <v>0</v>
      </c>
      <c r="Z180" s="17">
        <v>0</v>
      </c>
      <c r="AA180" s="17" t="e">
        <v>#DIV/0!</v>
      </c>
      <c r="AB180" s="17" t="e">
        <v>#DIV/0!</v>
      </c>
      <c r="AC180" s="17">
        <v>0</v>
      </c>
      <c r="AD180" s="17">
        <v>0</v>
      </c>
      <c r="AE180" s="17">
        <v>0</v>
      </c>
      <c r="AF180" s="17" t="e">
        <v>#DIV/0!</v>
      </c>
      <c r="AG180" s="17" t="e">
        <v>#DIV/0!</v>
      </c>
      <c r="AH180" s="17">
        <v>0</v>
      </c>
      <c r="AI180" s="17">
        <v>0</v>
      </c>
      <c r="AJ180" s="17">
        <v>0</v>
      </c>
      <c r="AK180" s="17" t="e">
        <v>#DIV/0!</v>
      </c>
      <c r="AL180" s="17" t="e">
        <v>#DIV/0!</v>
      </c>
      <c r="AM180" s="17">
        <v>0</v>
      </c>
      <c r="AN180" s="17">
        <v>0</v>
      </c>
      <c r="AO180" s="17">
        <v>0</v>
      </c>
      <c r="AP180" s="17" t="e">
        <v>#DIV/0!</v>
      </c>
      <c r="AQ180" s="17" t="e">
        <v>#DIV/0!</v>
      </c>
      <c r="AR180" s="17">
        <v>0</v>
      </c>
      <c r="AS180" s="17">
        <v>0</v>
      </c>
      <c r="AT180" s="17">
        <v>0</v>
      </c>
      <c r="AU180" s="17" t="e">
        <v>#DIV/0!</v>
      </c>
      <c r="AV180" s="17" t="e">
        <v>#DIV/0!</v>
      </c>
      <c r="AW180" s="17">
        <v>0</v>
      </c>
      <c r="AX180" s="17">
        <v>0</v>
      </c>
      <c r="AY180" s="17">
        <v>0</v>
      </c>
      <c r="AZ180" s="17" t="e">
        <v>#DIV/0!</v>
      </c>
      <c r="BA180" s="17" t="e">
        <v>#DIV/0!</v>
      </c>
      <c r="BB180" s="17">
        <v>109547</v>
      </c>
      <c r="BC180" s="17">
        <v>9610</v>
      </c>
      <c r="BD180" s="17">
        <v>0</v>
      </c>
      <c r="BE180" s="17">
        <v>1129.3103448275863</v>
      </c>
      <c r="BF180" s="17">
        <v>1178.9655172413793</v>
      </c>
      <c r="BG180" s="17">
        <v>140062</v>
      </c>
      <c r="BH180" s="17">
        <v>11096</v>
      </c>
      <c r="BI180" s="17">
        <v>0</v>
      </c>
      <c r="BJ180" s="17">
        <v>1086.1290322580646</v>
      </c>
      <c r="BK180" s="17">
        <v>1153.2258064516129</v>
      </c>
    </row>
    <row r="181" spans="1:63" x14ac:dyDescent="0.35">
      <c r="A181" s="18">
        <v>177</v>
      </c>
      <c r="B181" s="41" t="s">
        <v>239</v>
      </c>
      <c r="C181" s="19" t="s">
        <v>427</v>
      </c>
      <c r="D181" s="17">
        <v>0</v>
      </c>
      <c r="E181" s="17">
        <v>0</v>
      </c>
      <c r="F181" s="17">
        <v>0</v>
      </c>
      <c r="G181" s="17" t="e">
        <v>#DIV/0!</v>
      </c>
      <c r="H181" s="17" t="e">
        <v>#DIV/0!</v>
      </c>
      <c r="I181" s="17">
        <v>0</v>
      </c>
      <c r="J181" s="17">
        <v>0</v>
      </c>
      <c r="K181" s="17">
        <v>0</v>
      </c>
      <c r="L181" s="17" t="e">
        <v>#DIV/0!</v>
      </c>
      <c r="M181" s="17" t="e">
        <v>#DIV/0!</v>
      </c>
      <c r="N181" s="17">
        <v>0</v>
      </c>
      <c r="O181" s="17">
        <v>0</v>
      </c>
      <c r="P181" s="17">
        <v>0</v>
      </c>
      <c r="Q181" s="17" t="e">
        <v>#DIV/0!</v>
      </c>
      <c r="R181" s="17" t="e">
        <v>#DIV/0!</v>
      </c>
      <c r="S181" s="17">
        <v>0</v>
      </c>
      <c r="T181" s="17">
        <v>0</v>
      </c>
      <c r="U181" s="17">
        <v>0</v>
      </c>
      <c r="V181" s="17" t="e">
        <v>#DIV/0!</v>
      </c>
      <c r="W181" s="17" t="e">
        <v>#DIV/0!</v>
      </c>
      <c r="X181" s="17">
        <v>0</v>
      </c>
      <c r="Y181" s="17">
        <v>0</v>
      </c>
      <c r="Z181" s="17">
        <v>0</v>
      </c>
      <c r="AA181" s="17" t="e">
        <v>#DIV/0!</v>
      </c>
      <c r="AB181" s="17" t="e">
        <v>#DIV/0!</v>
      </c>
      <c r="AC181" s="17">
        <v>0</v>
      </c>
      <c r="AD181" s="17">
        <v>0</v>
      </c>
      <c r="AE181" s="17">
        <v>0</v>
      </c>
      <c r="AF181" s="17" t="e">
        <v>#DIV/0!</v>
      </c>
      <c r="AG181" s="17" t="e">
        <v>#DIV/0!</v>
      </c>
      <c r="AH181" s="17">
        <v>0</v>
      </c>
      <c r="AI181" s="17">
        <v>0</v>
      </c>
      <c r="AJ181" s="17">
        <v>0</v>
      </c>
      <c r="AK181" s="17" t="e">
        <v>#DIV/0!</v>
      </c>
      <c r="AL181" s="17" t="e">
        <v>#DIV/0!</v>
      </c>
      <c r="AM181" s="17">
        <v>0</v>
      </c>
      <c r="AN181" s="17">
        <v>0</v>
      </c>
      <c r="AO181" s="17">
        <v>0</v>
      </c>
      <c r="AP181" s="17" t="e">
        <v>#DIV/0!</v>
      </c>
      <c r="AQ181" s="17" t="e">
        <v>#DIV/0!</v>
      </c>
      <c r="AR181" s="17">
        <v>0</v>
      </c>
      <c r="AS181" s="17">
        <v>0</v>
      </c>
      <c r="AT181" s="17">
        <v>0</v>
      </c>
      <c r="AU181" s="17" t="e">
        <v>#DIV/0!</v>
      </c>
      <c r="AV181" s="17" t="e">
        <v>#DIV/0!</v>
      </c>
      <c r="AW181" s="17">
        <v>0</v>
      </c>
      <c r="AX181" s="17">
        <v>0</v>
      </c>
      <c r="AY181" s="17">
        <v>0</v>
      </c>
      <c r="AZ181" s="17" t="e">
        <v>#DIV/0!</v>
      </c>
      <c r="BA181" s="17" t="e">
        <v>#DIV/0!</v>
      </c>
      <c r="BB181" s="17">
        <v>12131</v>
      </c>
      <c r="BC181" s="17">
        <v>1177</v>
      </c>
      <c r="BD181" s="17">
        <v>0</v>
      </c>
      <c r="BE181" s="17">
        <v>1102</v>
      </c>
      <c r="BF181" s="17">
        <v>1150</v>
      </c>
      <c r="BG181" s="17">
        <v>104443</v>
      </c>
      <c r="BH181" s="17">
        <v>18303</v>
      </c>
      <c r="BI181" s="17">
        <v>0</v>
      </c>
      <c r="BJ181" s="17">
        <v>1084.516129032258</v>
      </c>
      <c r="BK181" s="17">
        <v>1150</v>
      </c>
    </row>
    <row r="182" spans="1:63" x14ac:dyDescent="0.35">
      <c r="A182" s="18">
        <v>178</v>
      </c>
      <c r="B182" s="41" t="s">
        <v>237</v>
      </c>
      <c r="C182" s="19" t="s">
        <v>428</v>
      </c>
      <c r="D182" s="17">
        <v>0</v>
      </c>
      <c r="E182" s="17">
        <v>0</v>
      </c>
      <c r="F182" s="17">
        <v>0</v>
      </c>
      <c r="G182" s="17" t="e">
        <v>#DIV/0!</v>
      </c>
      <c r="H182" s="17" t="e">
        <v>#DIV/0!</v>
      </c>
      <c r="I182" s="17">
        <v>0</v>
      </c>
      <c r="J182" s="17">
        <v>0</v>
      </c>
      <c r="K182" s="17">
        <v>0</v>
      </c>
      <c r="L182" s="17" t="e">
        <v>#DIV/0!</v>
      </c>
      <c r="M182" s="17" t="e">
        <v>#DIV/0!</v>
      </c>
      <c r="N182" s="17">
        <v>0</v>
      </c>
      <c r="O182" s="17">
        <v>0</v>
      </c>
      <c r="P182" s="17">
        <v>0</v>
      </c>
      <c r="Q182" s="17" t="e">
        <v>#DIV/0!</v>
      </c>
      <c r="R182" s="17" t="e">
        <v>#DIV/0!</v>
      </c>
      <c r="S182" s="17">
        <v>0</v>
      </c>
      <c r="T182" s="17">
        <v>0</v>
      </c>
      <c r="U182" s="17">
        <v>0</v>
      </c>
      <c r="V182" s="17" t="e">
        <v>#DIV/0!</v>
      </c>
      <c r="W182" s="17" t="e">
        <v>#DIV/0!</v>
      </c>
      <c r="X182" s="17">
        <v>0</v>
      </c>
      <c r="Y182" s="17">
        <v>0</v>
      </c>
      <c r="Z182" s="17">
        <v>0</v>
      </c>
      <c r="AA182" s="17" t="e">
        <v>#DIV/0!</v>
      </c>
      <c r="AB182" s="17" t="e">
        <v>#DIV/0!</v>
      </c>
      <c r="AC182" s="17">
        <v>0</v>
      </c>
      <c r="AD182" s="17">
        <v>0</v>
      </c>
      <c r="AE182" s="17">
        <v>0</v>
      </c>
      <c r="AF182" s="17" t="e">
        <v>#DIV/0!</v>
      </c>
      <c r="AG182" s="17" t="e">
        <v>#DIV/0!</v>
      </c>
      <c r="AH182" s="17">
        <v>0</v>
      </c>
      <c r="AI182" s="17">
        <v>0</v>
      </c>
      <c r="AJ182" s="17">
        <v>0</v>
      </c>
      <c r="AK182" s="17" t="e">
        <v>#DIV/0!</v>
      </c>
      <c r="AL182" s="17" t="e">
        <v>#DIV/0!</v>
      </c>
      <c r="AM182" s="17">
        <v>0</v>
      </c>
      <c r="AN182" s="17">
        <v>0</v>
      </c>
      <c r="AO182" s="17">
        <v>0</v>
      </c>
      <c r="AP182" s="17" t="e">
        <v>#DIV/0!</v>
      </c>
      <c r="AQ182" s="17" t="e">
        <v>#DIV/0!</v>
      </c>
      <c r="AR182" s="17">
        <v>0</v>
      </c>
      <c r="AS182" s="17">
        <v>0</v>
      </c>
      <c r="AT182" s="17">
        <v>0</v>
      </c>
      <c r="AU182" s="17" t="e">
        <v>#DIV/0!</v>
      </c>
      <c r="AV182" s="17" t="e">
        <v>#DIV/0!</v>
      </c>
      <c r="AW182" s="17">
        <v>0</v>
      </c>
      <c r="AX182" s="17">
        <v>0</v>
      </c>
      <c r="AY182" s="17">
        <v>0</v>
      </c>
      <c r="AZ182" s="17" t="e">
        <v>#DIV/0!</v>
      </c>
      <c r="BA182" s="17" t="e">
        <v>#DIV/0!</v>
      </c>
      <c r="BB182" s="17">
        <v>6402</v>
      </c>
      <c r="BC182" s="17">
        <v>103</v>
      </c>
      <c r="BD182" s="17">
        <v>0</v>
      </c>
      <c r="BE182" s="17">
        <v>1120</v>
      </c>
      <c r="BF182" s="17">
        <v>1170</v>
      </c>
      <c r="BG182" s="17">
        <v>124383</v>
      </c>
      <c r="BH182" s="17">
        <v>4154</v>
      </c>
      <c r="BI182" s="17">
        <v>0</v>
      </c>
      <c r="BJ182" s="17">
        <v>1074.8387096774193</v>
      </c>
      <c r="BK182" s="17">
        <v>1153.2258064516129</v>
      </c>
    </row>
    <row r="183" spans="1:63" x14ac:dyDescent="0.35">
      <c r="A183" s="18">
        <v>179</v>
      </c>
      <c r="B183" s="56" t="s">
        <v>234</v>
      </c>
      <c r="C183" s="19" t="s">
        <v>429</v>
      </c>
      <c r="D183" s="17">
        <v>0</v>
      </c>
      <c r="E183" s="17">
        <v>0</v>
      </c>
      <c r="F183" s="17">
        <v>0</v>
      </c>
      <c r="G183" s="17" t="e">
        <v>#DIV/0!</v>
      </c>
      <c r="H183" s="17" t="e">
        <v>#DIV/0!</v>
      </c>
      <c r="I183" s="17">
        <v>0</v>
      </c>
      <c r="J183" s="17">
        <v>0</v>
      </c>
      <c r="K183" s="17">
        <v>0</v>
      </c>
      <c r="L183" s="17" t="e">
        <v>#DIV/0!</v>
      </c>
      <c r="M183" s="17" t="e">
        <v>#DIV/0!</v>
      </c>
      <c r="N183" s="17">
        <v>0</v>
      </c>
      <c r="O183" s="17">
        <v>0</v>
      </c>
      <c r="P183" s="17">
        <v>0</v>
      </c>
      <c r="Q183" s="17" t="e">
        <v>#DIV/0!</v>
      </c>
      <c r="R183" s="17" t="e">
        <v>#DIV/0!</v>
      </c>
      <c r="S183" s="17">
        <v>0</v>
      </c>
      <c r="T183" s="17">
        <v>0</v>
      </c>
      <c r="U183" s="17">
        <v>0</v>
      </c>
      <c r="V183" s="17" t="e">
        <v>#DIV/0!</v>
      </c>
      <c r="W183" s="17" t="e">
        <v>#DIV/0!</v>
      </c>
      <c r="X183" s="17">
        <v>0</v>
      </c>
      <c r="Y183" s="17">
        <v>0</v>
      </c>
      <c r="Z183" s="17">
        <v>0</v>
      </c>
      <c r="AA183" s="17" t="e">
        <v>#DIV/0!</v>
      </c>
      <c r="AB183" s="17" t="e">
        <v>#DIV/0!</v>
      </c>
      <c r="AC183" s="17">
        <v>0</v>
      </c>
      <c r="AD183" s="17">
        <v>0</v>
      </c>
      <c r="AE183" s="17">
        <v>0</v>
      </c>
      <c r="AF183" s="17" t="e">
        <v>#DIV/0!</v>
      </c>
      <c r="AG183" s="17" t="e">
        <v>#DIV/0!</v>
      </c>
      <c r="AH183" s="17">
        <v>0</v>
      </c>
      <c r="AI183" s="17">
        <v>0</v>
      </c>
      <c r="AJ183" s="17">
        <v>0</v>
      </c>
      <c r="AK183" s="17" t="e">
        <v>#DIV/0!</v>
      </c>
      <c r="AL183" s="17" t="e">
        <v>#DIV/0!</v>
      </c>
      <c r="AM183" s="17">
        <v>0</v>
      </c>
      <c r="AN183" s="17">
        <v>0</v>
      </c>
      <c r="AO183" s="17">
        <v>0</v>
      </c>
      <c r="AP183" s="17" t="e">
        <v>#DIV/0!</v>
      </c>
      <c r="AQ183" s="17" t="e">
        <v>#DIV/0!</v>
      </c>
      <c r="AR183" s="17">
        <v>0</v>
      </c>
      <c r="AS183" s="17">
        <v>0</v>
      </c>
      <c r="AT183" s="17">
        <v>0</v>
      </c>
      <c r="AU183" s="17" t="e">
        <v>#DIV/0!</v>
      </c>
      <c r="AV183" s="17" t="e">
        <v>#DIV/0!</v>
      </c>
      <c r="AW183" s="17">
        <v>0</v>
      </c>
      <c r="AX183" s="17">
        <v>0</v>
      </c>
      <c r="AY183" s="17">
        <v>0</v>
      </c>
      <c r="AZ183" s="17" t="e">
        <v>#DIV/0!</v>
      </c>
      <c r="BA183" s="17" t="e">
        <v>#DIV/0!</v>
      </c>
      <c r="BB183" s="17">
        <v>0</v>
      </c>
      <c r="BC183" s="17">
        <v>0</v>
      </c>
      <c r="BD183" s="17">
        <v>0</v>
      </c>
      <c r="BE183" s="17" t="e">
        <v>#DIV/0!</v>
      </c>
      <c r="BF183" s="17" t="e">
        <v>#DIV/0!</v>
      </c>
      <c r="BG183" s="17">
        <v>155665</v>
      </c>
      <c r="BH183" s="17">
        <v>11227</v>
      </c>
      <c r="BI183" s="17">
        <v>0</v>
      </c>
      <c r="BJ183" s="17">
        <v>1083.8461538461538</v>
      </c>
      <c r="BK183" s="17">
        <v>1150</v>
      </c>
    </row>
  </sheetData>
  <mergeCells count="12">
    <mergeCell ref="BG3:BK3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1D1B-D1B1-4532-AC8D-03E30D6170F7}">
  <dimension ref="A1:H13"/>
  <sheetViews>
    <sheetView workbookViewId="0">
      <selection activeCell="G22" sqref="G22"/>
    </sheetView>
  </sheetViews>
  <sheetFormatPr defaultRowHeight="14.5" x14ac:dyDescent="0.35"/>
  <cols>
    <col min="1" max="1" width="4" customWidth="1"/>
    <col min="2" max="2" width="8.81640625" bestFit="1" customWidth="1"/>
    <col min="3" max="3" width="10.1796875" bestFit="1" customWidth="1"/>
    <col min="4" max="4" width="13.90625" bestFit="1" customWidth="1"/>
    <col min="5" max="5" width="13.36328125" bestFit="1" customWidth="1"/>
    <col min="6" max="6" width="13.6328125" bestFit="1" customWidth="1"/>
    <col min="7" max="7" width="16.54296875" bestFit="1" customWidth="1"/>
    <col min="8" max="8" width="14.7265625" bestFit="1" customWidth="1"/>
  </cols>
  <sheetData>
    <row r="1" spans="1:8" x14ac:dyDescent="0.35">
      <c r="A1" s="23" t="s">
        <v>2</v>
      </c>
      <c r="B1" s="23" t="s">
        <v>200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201</v>
      </c>
    </row>
    <row r="2" spans="1:8" x14ac:dyDescent="0.35">
      <c r="A2" s="24">
        <v>1</v>
      </c>
      <c r="B2" s="25">
        <v>45292</v>
      </c>
      <c r="C2" s="26">
        <f>SUM('2024 MOM Station Sale'!D5:D172)</f>
        <v>44646728</v>
      </c>
      <c r="D2" s="26">
        <f>SUM('2024 MOM Station Sale'!E5:E172)</f>
        <v>5662264</v>
      </c>
      <c r="E2" s="26">
        <f>SUM('2024 MOM Station Sale'!F5:F172)</f>
        <v>103215</v>
      </c>
      <c r="F2" s="26">
        <f>AVERAGE('2024 MOM Station Sale'!G5:G172)</f>
        <v>654.04569892473251</v>
      </c>
      <c r="G2" s="26">
        <f>AVERAGE('2024 MOM Station Sale'!H5:H172)</f>
        <v>1066.0535714285716</v>
      </c>
      <c r="H2" s="24">
        <f>COUNTA('2024 MOM Station Sale'!C5:C172)</f>
        <v>168</v>
      </c>
    </row>
    <row r="3" spans="1:8" x14ac:dyDescent="0.35">
      <c r="A3" s="24">
        <f>A2+1</f>
        <v>2</v>
      </c>
      <c r="B3" s="25">
        <v>45323</v>
      </c>
      <c r="C3" s="26">
        <f>SUM('2024 MOM Station Sale'!I5:I173)</f>
        <v>45182760</v>
      </c>
      <c r="D3" s="26">
        <f>SUM('2024 MOM Station Sale'!J5:J173)</f>
        <v>5641699</v>
      </c>
      <c r="E3" s="26">
        <f>SUM('2024 MOM Station Sale'!K5:K173)</f>
        <v>119927</v>
      </c>
      <c r="F3" s="26">
        <f>AVERAGE('2024 MOM Station Sale'!L5:L173)</f>
        <v>670.12299239222307</v>
      </c>
      <c r="G3" s="26">
        <f>AVERAGE('2024 MOM Station Sale'!M5:M173)</f>
        <v>1396.9473795435338</v>
      </c>
      <c r="H3" s="24">
        <f>COUNTA('2024 MOM Station Sale'!C5:C173)</f>
        <v>169</v>
      </c>
    </row>
    <row r="4" spans="1:8" x14ac:dyDescent="0.35">
      <c r="A4" s="24">
        <f t="shared" ref="A4:A13" si="0">A3+1</f>
        <v>3</v>
      </c>
      <c r="B4" s="25">
        <v>45352</v>
      </c>
      <c r="C4" s="26">
        <f>SUM('2024 MOM Station Sale'!N5:N173)</f>
        <v>45726064</v>
      </c>
      <c r="D4" s="26">
        <f>SUM('2024 MOM Station Sale'!O5:O173)</f>
        <v>5392415</v>
      </c>
      <c r="E4" s="26">
        <f>SUM('2024 MOM Station Sale'!P5:P173)</f>
        <v>124007</v>
      </c>
      <c r="F4" s="26">
        <f>AVERAGE('2024 MOM Station Sale'!Q5:Q173)</f>
        <v>687.70605077304822</v>
      </c>
      <c r="G4" s="27">
        <f>AVERAGE('2024 MOM Station Sale'!R5:R173)</f>
        <v>1592.1015460965818</v>
      </c>
      <c r="H4" s="24">
        <f>COUNTA('2024 MOM Station Sale'!C5:C173)</f>
        <v>169</v>
      </c>
    </row>
    <row r="5" spans="1:8" x14ac:dyDescent="0.35">
      <c r="A5" s="24">
        <f t="shared" si="0"/>
        <v>4</v>
      </c>
      <c r="B5" s="25">
        <v>45383</v>
      </c>
      <c r="C5" s="26">
        <f>SUM('2024 MOM Station Sale'!S5:S175)</f>
        <v>50154114</v>
      </c>
      <c r="D5" s="28">
        <f>SUM('2024 MOM Station Sale'!T5:T175)</f>
        <v>6069933</v>
      </c>
      <c r="E5" s="28">
        <f>SUM('2024 MOM Station Sale'!U5:U175)</f>
        <v>103636</v>
      </c>
      <c r="F5" s="26">
        <f>AVERAGE('2024 MOM Station Sale'!V5:V175)</f>
        <v>690.67950431634654</v>
      </c>
      <c r="G5" s="27">
        <f>AVERAGE('2024 MOM Station Sale'!W5:W175)</f>
        <v>1382.1357715275847</v>
      </c>
      <c r="H5" s="24">
        <f>COUNTA('2024 MOM Station Sale'!E5:E175)</f>
        <v>171</v>
      </c>
    </row>
    <row r="6" spans="1:8" x14ac:dyDescent="0.35">
      <c r="A6" s="24">
        <f t="shared" si="0"/>
        <v>5</v>
      </c>
      <c r="B6" s="25">
        <v>45413</v>
      </c>
      <c r="C6" s="26">
        <f>SUM('2024 MOM Station Sale'!X5:X175)</f>
        <v>45996285</v>
      </c>
      <c r="D6" s="26">
        <f>SUM('2024 MOM Station Sale'!Y5:Y175)</f>
        <v>5735188</v>
      </c>
      <c r="E6" s="28">
        <f>SUM('2024 MOM Station Sale'!Z5:Z175)</f>
        <v>140255</v>
      </c>
      <c r="F6" s="26">
        <f>AVERAGE('2024 MOM Station Sale'!AA5:AA175)</f>
        <v>756.96057347670171</v>
      </c>
      <c r="G6" s="27">
        <f>AVERAGE('2024 MOM Station Sale'!AB5:AB175)</f>
        <v>1217.3467270326348</v>
      </c>
      <c r="H6" s="24">
        <f>COUNTA('2024 MOM Station Sale'!AA5:AA175)</f>
        <v>171</v>
      </c>
    </row>
    <row r="7" spans="1:8" x14ac:dyDescent="0.35">
      <c r="A7" s="24">
        <f t="shared" si="0"/>
        <v>6</v>
      </c>
      <c r="B7" s="25">
        <v>45444</v>
      </c>
      <c r="C7" s="26">
        <f>SUM('2024 MOM Station Sale'!AC5:AC176)</f>
        <v>42594588</v>
      </c>
      <c r="D7" s="26">
        <f>SUM('2024 MOM Station Sale'!AD5:AD176)</f>
        <v>5141686</v>
      </c>
      <c r="E7" s="28">
        <f>SUM('2024 MOM Station Sale'!AE5:AE176)</f>
        <v>97487</v>
      </c>
      <c r="F7" s="26">
        <f>AVERAGE('2024 MOM Station Sale'!AF5:AF176)</f>
        <v>727.59302325581336</v>
      </c>
      <c r="G7" s="27">
        <f>AVERAGE('2024 MOM Station Sale'!AG5:AG176)</f>
        <v>1206.0678294573665</v>
      </c>
      <c r="H7" s="24">
        <f>COUNTA('2024 MOM Station Sale'!AF5:AF176)</f>
        <v>172</v>
      </c>
    </row>
    <row r="8" spans="1:8" x14ac:dyDescent="0.35">
      <c r="A8" s="24">
        <f t="shared" si="0"/>
        <v>7</v>
      </c>
      <c r="B8" s="25">
        <v>45474</v>
      </c>
      <c r="C8" s="26">
        <f>SUM('2024 MOM Station Sale'!AH5:AH178)</f>
        <v>52243943</v>
      </c>
      <c r="D8" s="28">
        <f>SUM('2024 MOM Station Sale'!AI5:AI178)</f>
        <v>4489107</v>
      </c>
      <c r="E8" s="28">
        <f>SUM('2024 MOM Station Sale'!AJ5:AJ178)</f>
        <v>111872</v>
      </c>
      <c r="F8" s="26">
        <f>AVERAGE('2024 MOM Station Sale'!AK5:AK178)</f>
        <v>752.22295841326672</v>
      </c>
      <c r="G8" s="27">
        <f>AVERAGE('2024 MOM Station Sale'!AL5:AL178)</f>
        <v>1219.2732665925098</v>
      </c>
      <c r="H8" s="24">
        <f>COUNTA('2024 MOM Station Sale'!AL5:AL178)</f>
        <v>174</v>
      </c>
    </row>
    <row r="9" spans="1:8" x14ac:dyDescent="0.35">
      <c r="A9" s="24">
        <f t="shared" si="0"/>
        <v>8</v>
      </c>
      <c r="B9" s="25">
        <v>45505</v>
      </c>
      <c r="C9" s="26">
        <f>SUM('2024 MOM Station Sale'!AM5:AM178)</f>
        <v>33425135</v>
      </c>
      <c r="D9" s="28">
        <f>SUM('2024 MOM Station Sale'!AN5:AN178)</f>
        <v>3434663</v>
      </c>
      <c r="E9" s="28">
        <f>SUM('2024 MOM Station Sale'!AO5:AO178)</f>
        <v>93376</v>
      </c>
      <c r="F9" s="26">
        <f>AVERAGE('2024 MOM Station Sale'!AP5:AP178)</f>
        <v>843.82832777159842</v>
      </c>
      <c r="G9" s="27">
        <f>AVERAGE('2024 MOM Station Sale'!AQ5:AQ178)</f>
        <v>1220.1659251019651</v>
      </c>
      <c r="H9" s="24">
        <f>COUNTA('2024 MOM Station Sale'!AQ5:AQ178)</f>
        <v>174</v>
      </c>
    </row>
    <row r="10" spans="1:8" x14ac:dyDescent="0.35">
      <c r="A10" s="24">
        <f t="shared" si="0"/>
        <v>9</v>
      </c>
      <c r="B10" s="25">
        <v>45536</v>
      </c>
      <c r="C10" s="26">
        <f>SUM('2024 MOM Station Sale'!AR5:AR178)</f>
        <v>37426911</v>
      </c>
      <c r="D10" s="28">
        <f>SUM('2024 MOM Station Sale'!AS5:AS178)</f>
        <v>3907594</v>
      </c>
      <c r="E10" s="28">
        <f>SUM('2024 MOM Station Sale'!AT5:AT178)</f>
        <v>84315</v>
      </c>
      <c r="F10" s="26">
        <f>AVERAGE('2024 MOM Station Sale'!AU5:AU178)</f>
        <v>1089.477011494253</v>
      </c>
      <c r="G10" s="27">
        <f>AVERAGE('2024 MOM Station Sale'!AV5:AV178)</f>
        <v>1218.7289272030653</v>
      </c>
      <c r="H10" s="24">
        <f>COUNTA('2024 MOM Station Sale'!AV5:AV178)</f>
        <v>174</v>
      </c>
    </row>
    <row r="11" spans="1:8" x14ac:dyDescent="0.35">
      <c r="A11" s="24">
        <f t="shared" si="0"/>
        <v>10</v>
      </c>
      <c r="B11" s="25">
        <v>45566</v>
      </c>
      <c r="C11" s="26">
        <f>SUM('2024 MOM Station Sale'!AW5:AW179)</f>
        <v>41613504</v>
      </c>
      <c r="D11" s="28">
        <f>SUM('2024 MOM Station Sale'!AX5:AX179)</f>
        <v>4741775</v>
      </c>
      <c r="E11" s="28">
        <f>SUM('2024 MOM Station Sale'!AY5:AY179)</f>
        <v>118597</v>
      </c>
      <c r="F11" s="26">
        <f>AVERAGE('2024 MOM Station Sale'!AZ5:AZ179)</f>
        <v>1165.2016589861753</v>
      </c>
      <c r="G11" s="27">
        <f>AVERAGE('2024 MOM Station Sale'!BA5:BA179)</f>
        <v>1214.4709677419346</v>
      </c>
      <c r="H11" s="24">
        <f>COUNTA('2024 MOM Station Sale'!AZ5:AZ179)</f>
        <v>175</v>
      </c>
    </row>
    <row r="12" spans="1:8" x14ac:dyDescent="0.35">
      <c r="A12" s="24">
        <f t="shared" si="0"/>
        <v>11</v>
      </c>
      <c r="B12" s="25">
        <v>45597</v>
      </c>
      <c r="C12" s="26">
        <f>SUM('2024 MOM Station Sale'!BB5:BB182)</f>
        <v>37948798</v>
      </c>
      <c r="D12" s="28">
        <f>SUM('2024 MOM Station Sale'!BC5:BC182)</f>
        <v>5698963</v>
      </c>
      <c r="E12" s="28">
        <f>SUM('2024 MOM Station Sale'!BD5:BD182)</f>
        <v>87180</v>
      </c>
      <c r="F12" s="26">
        <f>AVERAGE('2024 MOM Station Sale'!BE5:BE182)</f>
        <v>1133.9446274053994</v>
      </c>
      <c r="G12" s="27">
        <f>AVERAGE('2024 MOM Station Sale'!BF5:BF182)</f>
        <v>1189.2411920444292</v>
      </c>
      <c r="H12" s="24">
        <f>COUNTA('2024 MOM Station Sale'!BF5:BF182)</f>
        <v>178</v>
      </c>
    </row>
    <row r="13" spans="1:8" x14ac:dyDescent="0.35">
      <c r="A13" s="24">
        <f t="shared" si="0"/>
        <v>12</v>
      </c>
      <c r="B13" s="25">
        <v>45627</v>
      </c>
      <c r="C13" s="26">
        <f>SUM('2024 MOM Station Sale'!BG5:BG183)</f>
        <v>39144717</v>
      </c>
      <c r="D13" s="28">
        <f>SUM('2024 MOM Station Sale'!BH5:BH183)</f>
        <v>5259672</v>
      </c>
      <c r="E13" s="28">
        <f>SUM('2024 MOM Station Sale'!BI5:BI183)</f>
        <v>81387</v>
      </c>
      <c r="F13" s="26">
        <f>AVERAGE('2024 MOM Station Sale'!BJ5:BJ183)</f>
        <v>1084.4511138528085</v>
      </c>
      <c r="G13" s="27">
        <f>AVERAGE('2024 MOM Station Sale'!BK5:BK183)</f>
        <v>1170.1283114074599</v>
      </c>
      <c r="H13" s="24">
        <f>COUNTA('2024 MOM Station Sale'!BK5:BK183)</f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5AA0-8576-42C5-9DB9-C0B6EE6A343A}">
  <dimension ref="A1:BK3040"/>
  <sheetViews>
    <sheetView zoomScale="80" zoomScaleNormal="80" workbookViewId="0">
      <selection activeCell="J188" sqref="J188"/>
    </sheetView>
  </sheetViews>
  <sheetFormatPr defaultColWidth="9.08984375" defaultRowHeight="14.5" x14ac:dyDescent="0.35"/>
  <cols>
    <col min="1" max="1" width="5.08984375" style="33" bestFit="1" customWidth="1"/>
    <col min="2" max="2" width="25.36328125" style="30" bestFit="1" customWidth="1"/>
    <col min="3" max="3" width="30.6328125" style="30" customWidth="1"/>
    <col min="4" max="6" width="12.08984375" style="54" customWidth="1"/>
    <col min="7" max="7" width="17.36328125" style="54" bestFit="1" customWidth="1"/>
    <col min="8" max="8" width="17.453125" style="54" bestFit="1" customWidth="1"/>
    <col min="9" max="11" width="12.08984375" style="54" customWidth="1"/>
    <col min="12" max="12" width="17.36328125" style="54" bestFit="1" customWidth="1"/>
    <col min="13" max="13" width="17.453125" style="54" bestFit="1" customWidth="1"/>
    <col min="14" max="16" width="12.08984375" style="54" customWidth="1"/>
    <col min="17" max="17" width="17.36328125" style="54" bestFit="1" customWidth="1"/>
    <col min="18" max="18" width="17.453125" style="54" bestFit="1" customWidth="1"/>
    <col min="19" max="21" width="12.08984375" style="54" customWidth="1"/>
    <col min="22" max="22" width="17.36328125" style="54" bestFit="1" customWidth="1"/>
    <col min="23" max="23" width="17.453125" style="54" bestFit="1" customWidth="1"/>
    <col min="24" max="26" width="12.08984375" style="54" customWidth="1"/>
    <col min="27" max="27" width="17.36328125" style="54" bestFit="1" customWidth="1"/>
    <col min="28" max="28" width="17.453125" style="54" bestFit="1" customWidth="1"/>
    <col min="29" max="31" width="12.08984375" style="54" customWidth="1"/>
    <col min="32" max="32" width="17.36328125" style="54" bestFit="1" customWidth="1"/>
    <col min="33" max="33" width="17.453125" style="54" bestFit="1" customWidth="1"/>
    <col min="34" max="34" width="12.90625" style="54" customWidth="1"/>
    <col min="35" max="35" width="12.54296875" style="54" customWidth="1"/>
    <col min="36" max="36" width="12.08984375" style="54" customWidth="1"/>
    <col min="37" max="37" width="17.36328125" style="54" bestFit="1" customWidth="1"/>
    <col min="38" max="38" width="17.453125" style="54" bestFit="1" customWidth="1"/>
    <col min="39" max="41" width="12.08984375" style="54" customWidth="1"/>
    <col min="42" max="42" width="17.36328125" style="54" bestFit="1" customWidth="1"/>
    <col min="43" max="43" width="17.453125" style="54" bestFit="1" customWidth="1"/>
    <col min="44" max="46" width="12.08984375" style="54" customWidth="1"/>
    <col min="47" max="47" width="17.36328125" style="54" bestFit="1" customWidth="1"/>
    <col min="48" max="48" width="17.453125" style="54" bestFit="1" customWidth="1"/>
    <col min="49" max="51" width="12.08984375" style="54" customWidth="1"/>
    <col min="52" max="52" width="17.36328125" style="54" bestFit="1" customWidth="1"/>
    <col min="53" max="53" width="17.453125" style="54" bestFit="1" customWidth="1"/>
    <col min="54" max="56" width="12.08984375" style="54" customWidth="1"/>
    <col min="57" max="57" width="17.36328125" style="54" bestFit="1" customWidth="1"/>
    <col min="58" max="58" width="17.453125" style="54" bestFit="1" customWidth="1"/>
    <col min="59" max="61" width="12.08984375" style="54" customWidth="1"/>
    <col min="62" max="62" width="17.36328125" style="55" bestFit="1" customWidth="1"/>
    <col min="63" max="63" width="17.453125" style="55" bestFit="1" customWidth="1"/>
    <col min="64" max="64" width="9.08984375" style="30"/>
    <col min="65" max="65" width="11.81640625" style="30" bestFit="1" customWidth="1"/>
    <col min="66" max="16384" width="9.08984375" style="30"/>
  </cols>
  <sheetData>
    <row r="1" spans="1:63" ht="17.25" customHeight="1" x14ac:dyDescent="0.3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ht="15" thickBot="1" x14ac:dyDescent="0.4">
      <c r="A2" s="1" t="s">
        <v>202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s="33" customFormat="1" ht="17.25" customHeight="1" thickBot="1" x14ac:dyDescent="0.4">
      <c r="A3" s="4" t="s">
        <v>2</v>
      </c>
      <c r="B3" s="5" t="s">
        <v>252</v>
      </c>
      <c r="C3" s="5" t="s">
        <v>3</v>
      </c>
      <c r="D3" s="57" t="s">
        <v>203</v>
      </c>
      <c r="E3" s="58"/>
      <c r="F3" s="60"/>
      <c r="G3" s="29"/>
      <c r="H3" s="29"/>
      <c r="I3" s="63" t="s">
        <v>204</v>
      </c>
      <c r="J3" s="58"/>
      <c r="K3" s="60"/>
      <c r="L3" s="29"/>
      <c r="M3" s="29"/>
      <c r="N3" s="57" t="s">
        <v>205</v>
      </c>
      <c r="O3" s="58"/>
      <c r="P3" s="60"/>
      <c r="Q3" s="29"/>
      <c r="R3" s="29"/>
      <c r="S3" s="57" t="s">
        <v>206</v>
      </c>
      <c r="T3" s="58"/>
      <c r="U3" s="60"/>
      <c r="V3" s="29"/>
      <c r="W3" s="29"/>
      <c r="X3" s="57" t="s">
        <v>207</v>
      </c>
      <c r="Y3" s="58"/>
      <c r="Z3" s="60"/>
      <c r="AA3" s="29"/>
      <c r="AB3" s="29"/>
      <c r="AC3" s="57" t="s">
        <v>208</v>
      </c>
      <c r="AD3" s="58"/>
      <c r="AE3" s="60"/>
      <c r="AF3" s="29"/>
      <c r="AG3" s="29"/>
      <c r="AH3" s="57" t="s">
        <v>209</v>
      </c>
      <c r="AI3" s="58"/>
      <c r="AJ3" s="60"/>
      <c r="AK3" s="29"/>
      <c r="AL3" s="29"/>
      <c r="AM3" s="57" t="s">
        <v>210</v>
      </c>
      <c r="AN3" s="58"/>
      <c r="AO3" s="60"/>
      <c r="AP3" s="29"/>
      <c r="AQ3" s="29"/>
      <c r="AR3" s="57" t="s">
        <v>211</v>
      </c>
      <c r="AS3" s="58"/>
      <c r="AT3" s="60"/>
      <c r="AU3" s="29"/>
      <c r="AV3" s="29"/>
      <c r="AW3" s="57" t="s">
        <v>212</v>
      </c>
      <c r="AX3" s="58"/>
      <c r="AY3" s="60"/>
      <c r="AZ3" s="29"/>
      <c r="BA3" s="29"/>
      <c r="BB3" s="57" t="s">
        <v>213</v>
      </c>
      <c r="BC3" s="58"/>
      <c r="BD3" s="60"/>
      <c r="BE3" s="29"/>
      <c r="BF3" s="29"/>
      <c r="BG3" s="57" t="s">
        <v>214</v>
      </c>
      <c r="BH3" s="58"/>
      <c r="BI3" s="59"/>
      <c r="BJ3" s="31"/>
      <c r="BK3" s="32"/>
    </row>
    <row r="4" spans="1:63" s="33" customFormat="1" x14ac:dyDescent="0.35">
      <c r="A4" s="6"/>
      <c r="B4" s="34"/>
      <c r="C4" s="35"/>
      <c r="D4" s="9" t="s">
        <v>16</v>
      </c>
      <c r="E4" s="10" t="s">
        <v>17</v>
      </c>
      <c r="F4" s="11" t="s">
        <v>18</v>
      </c>
      <c r="G4" s="36" t="s">
        <v>19</v>
      </c>
      <c r="H4" s="37" t="s">
        <v>20</v>
      </c>
      <c r="I4" s="13" t="s">
        <v>16</v>
      </c>
      <c r="J4" s="10" t="s">
        <v>17</v>
      </c>
      <c r="K4" s="11" t="s">
        <v>18</v>
      </c>
      <c r="L4" s="36" t="s">
        <v>19</v>
      </c>
      <c r="M4" s="37" t="s">
        <v>20</v>
      </c>
      <c r="N4" s="9" t="s">
        <v>16</v>
      </c>
      <c r="O4" s="10" t="s">
        <v>215</v>
      </c>
      <c r="P4" s="11" t="s">
        <v>18</v>
      </c>
      <c r="Q4" s="36" t="s">
        <v>19</v>
      </c>
      <c r="R4" s="37" t="s">
        <v>20</v>
      </c>
      <c r="S4" s="9" t="s">
        <v>16</v>
      </c>
      <c r="T4" s="10" t="s">
        <v>215</v>
      </c>
      <c r="U4" s="11" t="s">
        <v>18</v>
      </c>
      <c r="V4" s="36" t="s">
        <v>19</v>
      </c>
      <c r="W4" s="37" t="s">
        <v>20</v>
      </c>
      <c r="X4" s="9" t="s">
        <v>16</v>
      </c>
      <c r="Y4" s="10" t="s">
        <v>215</v>
      </c>
      <c r="Z4" s="11" t="s">
        <v>18</v>
      </c>
      <c r="AA4" s="36" t="s">
        <v>19</v>
      </c>
      <c r="AB4" s="37" t="s">
        <v>20</v>
      </c>
      <c r="AC4" s="9" t="s">
        <v>16</v>
      </c>
      <c r="AD4" s="10" t="s">
        <v>215</v>
      </c>
      <c r="AE4" s="11" t="s">
        <v>18</v>
      </c>
      <c r="AF4" s="36" t="s">
        <v>19</v>
      </c>
      <c r="AG4" s="37" t="s">
        <v>20</v>
      </c>
      <c r="AH4" s="9" t="s">
        <v>16</v>
      </c>
      <c r="AI4" s="10" t="s">
        <v>215</v>
      </c>
      <c r="AJ4" s="11" t="s">
        <v>18</v>
      </c>
      <c r="AK4" s="36" t="s">
        <v>19</v>
      </c>
      <c r="AL4" s="37" t="s">
        <v>20</v>
      </c>
      <c r="AM4" s="9" t="s">
        <v>16</v>
      </c>
      <c r="AN4" s="10" t="s">
        <v>17</v>
      </c>
      <c r="AO4" s="11" t="s">
        <v>18</v>
      </c>
      <c r="AP4" s="36" t="s">
        <v>19</v>
      </c>
      <c r="AQ4" s="37" t="s">
        <v>20</v>
      </c>
      <c r="AR4" s="9" t="s">
        <v>16</v>
      </c>
      <c r="AS4" s="10" t="s">
        <v>17</v>
      </c>
      <c r="AT4" s="11" t="s">
        <v>18</v>
      </c>
      <c r="AU4" s="36" t="s">
        <v>19</v>
      </c>
      <c r="AV4" s="37" t="s">
        <v>20</v>
      </c>
      <c r="AW4" s="9" t="s">
        <v>16</v>
      </c>
      <c r="AX4" s="10" t="s">
        <v>17</v>
      </c>
      <c r="AY4" s="11" t="s">
        <v>18</v>
      </c>
      <c r="AZ4" s="36" t="s">
        <v>19</v>
      </c>
      <c r="BA4" s="37" t="s">
        <v>20</v>
      </c>
      <c r="BB4" s="9" t="s">
        <v>16</v>
      </c>
      <c r="BC4" s="10" t="s">
        <v>17</v>
      </c>
      <c r="BD4" s="11" t="s">
        <v>18</v>
      </c>
      <c r="BE4" s="36" t="s">
        <v>19</v>
      </c>
      <c r="BF4" s="37" t="s">
        <v>20</v>
      </c>
      <c r="BG4" s="9" t="s">
        <v>16</v>
      </c>
      <c r="BH4" s="10" t="s">
        <v>17</v>
      </c>
      <c r="BI4" s="38" t="s">
        <v>18</v>
      </c>
      <c r="BJ4" s="39" t="s">
        <v>19</v>
      </c>
      <c r="BK4" s="40" t="s">
        <v>20</v>
      </c>
    </row>
    <row r="5" spans="1:63" x14ac:dyDescent="0.35">
      <c r="A5" s="41">
        <v>1</v>
      </c>
      <c r="B5" s="41" t="s">
        <v>231</v>
      </c>
      <c r="C5" s="42" t="s">
        <v>21</v>
      </c>
      <c r="D5" s="17">
        <v>205727</v>
      </c>
      <c r="E5" s="17">
        <v>24315</v>
      </c>
      <c r="F5" s="17">
        <v>1478</v>
      </c>
      <c r="G5" s="17">
        <v>1013.5483870967741</v>
      </c>
      <c r="H5" s="17">
        <v>1163.8709677419354</v>
      </c>
      <c r="I5" s="17">
        <v>172977</v>
      </c>
      <c r="J5" s="17">
        <v>16314</v>
      </c>
      <c r="K5" s="17">
        <v>0</v>
      </c>
      <c r="L5" s="17">
        <v>1001.0714285714286</v>
      </c>
      <c r="M5" s="17">
        <v>1156.4285714285713</v>
      </c>
      <c r="N5" s="17">
        <v>190999</v>
      </c>
      <c r="O5" s="17">
        <v>42951</v>
      </c>
      <c r="P5" s="17">
        <v>1186</v>
      </c>
      <c r="Q5" s="17">
        <v>942.58064516129036</v>
      </c>
      <c r="R5" s="17">
        <v>1150</v>
      </c>
      <c r="S5" s="17">
        <v>193089</v>
      </c>
      <c r="T5" s="17">
        <v>14846</v>
      </c>
      <c r="U5" s="17">
        <v>1269</v>
      </c>
      <c r="V5" s="17">
        <v>944</v>
      </c>
      <c r="W5" s="17">
        <v>1145</v>
      </c>
      <c r="X5" s="17">
        <v>230659</v>
      </c>
      <c r="Y5" s="17">
        <v>20592</v>
      </c>
      <c r="Z5" s="17">
        <v>3249</v>
      </c>
      <c r="AA5" s="17">
        <v>909.35483870967744</v>
      </c>
      <c r="AB5" s="17">
        <v>1092.5806451612902</v>
      </c>
      <c r="AC5" s="17">
        <v>221380</v>
      </c>
      <c r="AD5" s="17">
        <v>12119</v>
      </c>
      <c r="AE5" s="17">
        <v>5498</v>
      </c>
      <c r="AF5" s="17">
        <v>920.5</v>
      </c>
      <c r="AG5" s="17">
        <v>1075.3333333333333</v>
      </c>
      <c r="AH5" s="17">
        <v>206906</v>
      </c>
      <c r="AI5" s="17">
        <v>13298</v>
      </c>
      <c r="AJ5" s="17">
        <v>2139</v>
      </c>
      <c r="AK5" s="17">
        <v>918.70967741935488</v>
      </c>
      <c r="AL5" s="17">
        <v>1093.2258064516129</v>
      </c>
      <c r="AM5" s="17">
        <v>193333</v>
      </c>
      <c r="AN5" s="17">
        <v>15790</v>
      </c>
      <c r="AO5" s="17">
        <v>1388</v>
      </c>
      <c r="AP5" s="17">
        <v>910</v>
      </c>
      <c r="AQ5" s="17">
        <v>1107.0967741935483</v>
      </c>
      <c r="AR5" s="17">
        <v>159743</v>
      </c>
      <c r="AS5" s="17">
        <v>13598</v>
      </c>
      <c r="AT5" s="17">
        <v>0</v>
      </c>
      <c r="AU5" s="17">
        <v>897</v>
      </c>
      <c r="AV5" s="17">
        <v>1090</v>
      </c>
      <c r="AW5" s="17">
        <v>170965</v>
      </c>
      <c r="AX5" s="17">
        <v>15593</v>
      </c>
      <c r="AY5" s="17">
        <v>0</v>
      </c>
      <c r="AZ5" s="17">
        <v>912.58064516129036</v>
      </c>
      <c r="BA5" s="17">
        <v>1087.4193548387098</v>
      </c>
      <c r="BB5" s="17">
        <v>178044</v>
      </c>
      <c r="BC5" s="17">
        <v>15444</v>
      </c>
      <c r="BD5" s="17">
        <v>0</v>
      </c>
      <c r="BE5" s="17">
        <v>920</v>
      </c>
      <c r="BF5" s="17">
        <v>1074</v>
      </c>
      <c r="BG5" s="17">
        <v>186963</v>
      </c>
      <c r="BH5" s="17">
        <v>17356</v>
      </c>
      <c r="BI5" s="17">
        <v>0</v>
      </c>
      <c r="BJ5" s="17">
        <v>892.25806451612902</v>
      </c>
      <c r="BK5" s="17">
        <v>1050.9677419354839</v>
      </c>
    </row>
    <row r="6" spans="1:63" x14ac:dyDescent="0.35">
      <c r="A6" s="41">
        <v>2</v>
      </c>
      <c r="B6" s="41" t="s">
        <v>232</v>
      </c>
      <c r="C6" s="43" t="s">
        <v>22</v>
      </c>
      <c r="D6" s="17">
        <v>124314</v>
      </c>
      <c r="E6" s="17">
        <v>7586</v>
      </c>
      <c r="F6" s="17">
        <v>280</v>
      </c>
      <c r="G6" s="17">
        <v>1031.2903225806451</v>
      </c>
      <c r="H6" s="17">
        <v>1170</v>
      </c>
      <c r="I6" s="17">
        <v>87898</v>
      </c>
      <c r="J6" s="17">
        <v>5687</v>
      </c>
      <c r="K6" s="17">
        <v>165</v>
      </c>
      <c r="L6" s="17">
        <v>1012.1428571428571</v>
      </c>
      <c r="M6" s="17">
        <v>1170</v>
      </c>
      <c r="N6" s="17">
        <v>88175</v>
      </c>
      <c r="O6" s="17">
        <v>4165</v>
      </c>
      <c r="P6" s="17">
        <v>562</v>
      </c>
      <c r="Q6" s="17">
        <v>956.77419354838707</v>
      </c>
      <c r="R6" s="17">
        <v>1159.0322580645161</v>
      </c>
      <c r="S6" s="17">
        <v>79515</v>
      </c>
      <c r="T6" s="17">
        <v>6135</v>
      </c>
      <c r="U6" s="17">
        <v>93</v>
      </c>
      <c r="V6" s="17">
        <v>953.33333333333337</v>
      </c>
      <c r="W6" s="17">
        <v>1145</v>
      </c>
      <c r="X6" s="17">
        <v>83096</v>
      </c>
      <c r="Y6" s="17">
        <v>5765</v>
      </c>
      <c r="Z6" s="17">
        <v>109</v>
      </c>
      <c r="AA6" s="17">
        <v>924.51612903225805</v>
      </c>
      <c r="AB6" s="17">
        <v>1100</v>
      </c>
      <c r="AC6" s="17">
        <v>65979</v>
      </c>
      <c r="AD6" s="17">
        <v>6852</v>
      </c>
      <c r="AE6" s="17">
        <v>107</v>
      </c>
      <c r="AF6" s="17">
        <v>931.33333333333337</v>
      </c>
      <c r="AG6" s="17">
        <v>1100.6666666666667</v>
      </c>
      <c r="AH6" s="17">
        <v>84880</v>
      </c>
      <c r="AI6" s="17">
        <v>5422</v>
      </c>
      <c r="AJ6" s="17">
        <v>148</v>
      </c>
      <c r="AK6" s="17">
        <v>930.32258064516134</v>
      </c>
      <c r="AL6" s="17">
        <v>1104.516129032258</v>
      </c>
      <c r="AM6" s="17">
        <v>74811</v>
      </c>
      <c r="AN6" s="17">
        <v>4948</v>
      </c>
      <c r="AO6" s="17">
        <v>138</v>
      </c>
      <c r="AP6" s="17">
        <v>913.22580645161293</v>
      </c>
      <c r="AQ6" s="17">
        <v>1110.6451612903227</v>
      </c>
      <c r="AR6" s="17">
        <v>78825</v>
      </c>
      <c r="AS6" s="17">
        <v>6937</v>
      </c>
      <c r="AT6" s="17">
        <v>193</v>
      </c>
      <c r="AU6" s="17">
        <v>881.33333333333337</v>
      </c>
      <c r="AV6" s="17">
        <v>1090</v>
      </c>
      <c r="AW6" s="17">
        <v>82168</v>
      </c>
      <c r="AX6" s="17">
        <v>9441</v>
      </c>
      <c r="AY6" s="17">
        <v>112</v>
      </c>
      <c r="AZ6" s="17">
        <v>923.22580645161293</v>
      </c>
      <c r="BA6" s="17">
        <v>1087.0967741935483</v>
      </c>
      <c r="BB6" s="17">
        <v>64162</v>
      </c>
      <c r="BC6" s="17">
        <v>4861</v>
      </c>
      <c r="BD6" s="17">
        <v>520</v>
      </c>
      <c r="BE6" s="17">
        <v>940</v>
      </c>
      <c r="BF6" s="17">
        <v>1067.3333333333333</v>
      </c>
      <c r="BG6" s="17">
        <v>96521</v>
      </c>
      <c r="BH6" s="17">
        <v>8629</v>
      </c>
      <c r="BI6" s="17">
        <v>520</v>
      </c>
      <c r="BJ6" s="17">
        <v>896.45161290322585</v>
      </c>
      <c r="BK6" s="17">
        <v>1052.5806451612902</v>
      </c>
    </row>
    <row r="7" spans="1:63" x14ac:dyDescent="0.35">
      <c r="A7" s="41">
        <v>3</v>
      </c>
      <c r="B7" s="41" t="s">
        <v>232</v>
      </c>
      <c r="C7" s="43" t="s">
        <v>23</v>
      </c>
      <c r="D7" s="17">
        <v>296645</v>
      </c>
      <c r="E7" s="17">
        <v>24598</v>
      </c>
      <c r="F7" s="17">
        <v>310</v>
      </c>
      <c r="G7" s="17">
        <v>1031.2903225806451</v>
      </c>
      <c r="H7" s="17">
        <v>1170</v>
      </c>
      <c r="I7" s="17">
        <v>252950</v>
      </c>
      <c r="J7" s="17">
        <v>14833</v>
      </c>
      <c r="K7" s="17">
        <v>176</v>
      </c>
      <c r="L7" s="17">
        <v>1012.1428571428571</v>
      </c>
      <c r="M7" s="17">
        <v>1170</v>
      </c>
      <c r="N7" s="17">
        <v>333730</v>
      </c>
      <c r="O7" s="17">
        <v>17464</v>
      </c>
      <c r="P7" s="17">
        <v>222</v>
      </c>
      <c r="Q7" s="17">
        <v>956.77419354838707</v>
      </c>
      <c r="R7" s="17">
        <v>1159.0322580645161</v>
      </c>
      <c r="S7" s="17">
        <v>317875</v>
      </c>
      <c r="T7" s="17">
        <v>21188</v>
      </c>
      <c r="U7" s="17">
        <v>297</v>
      </c>
      <c r="V7" s="17">
        <v>953.33333333333337</v>
      </c>
      <c r="W7" s="17">
        <v>1145</v>
      </c>
      <c r="X7" s="17">
        <v>292914</v>
      </c>
      <c r="Y7" s="17">
        <v>21189</v>
      </c>
      <c r="Z7" s="17">
        <v>124</v>
      </c>
      <c r="AA7" s="17">
        <v>928.70967741935488</v>
      </c>
      <c r="AB7" s="17">
        <v>1100</v>
      </c>
      <c r="AC7" s="17">
        <v>288334</v>
      </c>
      <c r="AD7" s="17">
        <v>24269</v>
      </c>
      <c r="AE7" s="17">
        <v>70</v>
      </c>
      <c r="AF7" s="17">
        <v>931.33333333333337</v>
      </c>
      <c r="AG7" s="17">
        <v>1100.6666666666667</v>
      </c>
      <c r="AH7" s="17">
        <v>325571</v>
      </c>
      <c r="AI7" s="17">
        <v>19462</v>
      </c>
      <c r="AJ7" s="17">
        <v>255</v>
      </c>
      <c r="AK7" s="17">
        <v>930.32258064516134</v>
      </c>
      <c r="AL7" s="17">
        <v>1104.516129032258</v>
      </c>
      <c r="AM7" s="17">
        <v>320647</v>
      </c>
      <c r="AN7" s="17">
        <v>23579</v>
      </c>
      <c r="AO7" s="17">
        <v>327</v>
      </c>
      <c r="AP7" s="17">
        <v>913.22580645161293</v>
      </c>
      <c r="AQ7" s="17">
        <v>1110.6451612903227</v>
      </c>
      <c r="AR7" s="17">
        <v>284348</v>
      </c>
      <c r="AS7" s="17">
        <v>26476</v>
      </c>
      <c r="AT7" s="17">
        <v>368</v>
      </c>
      <c r="AU7" s="17">
        <v>881.33333333333337</v>
      </c>
      <c r="AV7" s="17">
        <v>1090</v>
      </c>
      <c r="AW7" s="17">
        <v>323139</v>
      </c>
      <c r="AX7" s="17">
        <v>18719</v>
      </c>
      <c r="AY7" s="17">
        <v>400</v>
      </c>
      <c r="AZ7" s="17">
        <v>923.22580645161293</v>
      </c>
      <c r="BA7" s="17">
        <v>1087.0967741935483</v>
      </c>
      <c r="BB7" s="17">
        <v>298283</v>
      </c>
      <c r="BC7" s="17">
        <v>22116</v>
      </c>
      <c r="BD7" s="17">
        <v>328</v>
      </c>
      <c r="BE7" s="17">
        <v>940</v>
      </c>
      <c r="BF7" s="17">
        <v>1067.3333333333333</v>
      </c>
      <c r="BG7" s="17">
        <v>345128</v>
      </c>
      <c r="BH7" s="17">
        <v>21452</v>
      </c>
      <c r="BI7" s="17">
        <v>381</v>
      </c>
      <c r="BJ7" s="17">
        <v>895.80645161290317</v>
      </c>
      <c r="BK7" s="17">
        <v>1052.9032258064517</v>
      </c>
    </row>
    <row r="8" spans="1:63" x14ac:dyDescent="0.35">
      <c r="A8" s="41">
        <v>4</v>
      </c>
      <c r="B8" s="41" t="s">
        <v>232</v>
      </c>
      <c r="C8" s="43" t="s">
        <v>24</v>
      </c>
      <c r="D8" s="17">
        <v>135894</v>
      </c>
      <c r="E8" s="17">
        <v>11268</v>
      </c>
      <c r="F8" s="17">
        <v>520</v>
      </c>
      <c r="G8" s="17">
        <v>1032.9032258064517</v>
      </c>
      <c r="H8" s="17">
        <v>1190</v>
      </c>
      <c r="I8" s="17">
        <v>91417</v>
      </c>
      <c r="J8" s="17">
        <v>7771</v>
      </c>
      <c r="K8" s="17">
        <v>211</v>
      </c>
      <c r="L8" s="17">
        <v>998.57142857142856</v>
      </c>
      <c r="M8" s="17">
        <v>1186.7857142857142</v>
      </c>
      <c r="N8" s="17">
        <v>76578</v>
      </c>
      <c r="O8" s="17">
        <v>14218</v>
      </c>
      <c r="P8" s="17">
        <v>296</v>
      </c>
      <c r="Q8" s="17">
        <v>950.64516129032256</v>
      </c>
      <c r="R8" s="17">
        <v>1162.5806451612902</v>
      </c>
      <c r="S8" s="17">
        <v>108355</v>
      </c>
      <c r="T8" s="17">
        <v>13446</v>
      </c>
      <c r="U8" s="17">
        <v>273</v>
      </c>
      <c r="V8" s="17">
        <v>948.33333333333337</v>
      </c>
      <c r="W8" s="17">
        <v>1150</v>
      </c>
      <c r="X8" s="17">
        <v>106454</v>
      </c>
      <c r="Y8" s="17">
        <v>12545</v>
      </c>
      <c r="Z8" s="17">
        <v>21</v>
      </c>
      <c r="AA8" s="17">
        <v>919.67741935483866</v>
      </c>
      <c r="AB8" s="17">
        <v>1130</v>
      </c>
      <c r="AC8" s="17">
        <v>95398</v>
      </c>
      <c r="AD8" s="17">
        <v>9573</v>
      </c>
      <c r="AE8" s="17">
        <v>141</v>
      </c>
      <c r="AF8" s="17">
        <v>921.33333333333337</v>
      </c>
      <c r="AG8" s="17">
        <v>1100.6666666666667</v>
      </c>
      <c r="AH8" s="17">
        <v>71621</v>
      </c>
      <c r="AI8" s="17">
        <v>9543</v>
      </c>
      <c r="AJ8" s="17">
        <v>328</v>
      </c>
      <c r="AK8" s="17">
        <v>926.45161290322585</v>
      </c>
      <c r="AL8" s="17">
        <v>1104.516129032258</v>
      </c>
      <c r="AM8" s="17">
        <v>69452</v>
      </c>
      <c r="AN8" s="17">
        <v>7322</v>
      </c>
      <c r="AO8" s="17">
        <v>350</v>
      </c>
      <c r="AP8" s="17">
        <v>912.25806451612902</v>
      </c>
      <c r="AQ8" s="17">
        <v>1111.2903225806451</v>
      </c>
      <c r="AR8" s="17">
        <v>74144</v>
      </c>
      <c r="AS8" s="17">
        <v>8269</v>
      </c>
      <c r="AT8" s="17">
        <v>364</v>
      </c>
      <c r="AU8" s="17">
        <v>890.66666666666663</v>
      </c>
      <c r="AV8" s="17">
        <v>1099.6666666666667</v>
      </c>
      <c r="AW8" s="17">
        <v>81299</v>
      </c>
      <c r="AX8" s="17">
        <v>6574</v>
      </c>
      <c r="AY8" s="17">
        <v>307</v>
      </c>
      <c r="AZ8" s="17">
        <v>922.90322580645159</v>
      </c>
      <c r="BA8" s="17">
        <v>1094.1935483870968</v>
      </c>
      <c r="BB8" s="17">
        <v>81432</v>
      </c>
      <c r="BC8" s="17">
        <v>6029</v>
      </c>
      <c r="BD8" s="17">
        <v>262</v>
      </c>
      <c r="BE8" s="17">
        <v>930</v>
      </c>
      <c r="BF8" s="17">
        <v>1078.6666666666667</v>
      </c>
      <c r="BG8" s="17">
        <v>132873</v>
      </c>
      <c r="BH8" s="17">
        <v>12290</v>
      </c>
      <c r="BI8" s="17">
        <v>378</v>
      </c>
      <c r="BJ8" s="17">
        <v>895.48387096774195</v>
      </c>
      <c r="BK8" s="17">
        <v>1065.483870967742</v>
      </c>
    </row>
    <row r="9" spans="1:63" x14ac:dyDescent="0.35">
      <c r="A9" s="41">
        <v>5</v>
      </c>
      <c r="B9" s="41" t="s">
        <v>233</v>
      </c>
      <c r="C9" s="42" t="s">
        <v>25</v>
      </c>
      <c r="D9" s="17">
        <v>255385</v>
      </c>
      <c r="E9" s="17">
        <v>70182</v>
      </c>
      <c r="F9" s="17">
        <v>850</v>
      </c>
      <c r="G9" s="17">
        <v>990</v>
      </c>
      <c r="H9" s="17">
        <v>1150.9677419354839</v>
      </c>
      <c r="I9" s="17">
        <v>264753</v>
      </c>
      <c r="J9" s="17">
        <v>65713</v>
      </c>
      <c r="K9" s="17">
        <v>816</v>
      </c>
      <c r="L9" s="17">
        <v>972.39285714285711</v>
      </c>
      <c r="M9" s="17">
        <v>1149.6428571428571</v>
      </c>
      <c r="N9" s="17">
        <v>312854</v>
      </c>
      <c r="O9" s="17">
        <v>62739</v>
      </c>
      <c r="P9" s="17">
        <v>1178</v>
      </c>
      <c r="Q9" s="17">
        <v>899.67741935483866</v>
      </c>
      <c r="R9" s="17">
        <v>1128.7096774193549</v>
      </c>
      <c r="S9" s="17">
        <v>334379</v>
      </c>
      <c r="T9" s="17">
        <v>59716</v>
      </c>
      <c r="U9" s="17">
        <v>906</v>
      </c>
      <c r="V9" s="17">
        <v>918.83333333333337</v>
      </c>
      <c r="W9" s="17">
        <v>1120</v>
      </c>
      <c r="X9" s="17">
        <v>346595</v>
      </c>
      <c r="Y9" s="17">
        <v>49682</v>
      </c>
      <c r="Z9" s="17">
        <v>1627</v>
      </c>
      <c r="AA9" s="17">
        <v>888.22580645161293</v>
      </c>
      <c r="AB9" s="17">
        <v>1109.3548387096773</v>
      </c>
      <c r="AC9" s="17">
        <v>310764</v>
      </c>
      <c r="AD9" s="17">
        <v>38527</v>
      </c>
      <c r="AE9" s="17">
        <v>1125</v>
      </c>
      <c r="AF9" s="17">
        <v>900.33333333333337</v>
      </c>
      <c r="AG9" s="17">
        <v>1074</v>
      </c>
      <c r="AH9" s="17">
        <v>298739</v>
      </c>
      <c r="AI9" s="17">
        <v>42696</v>
      </c>
      <c r="AJ9" s="17">
        <v>1486</v>
      </c>
      <c r="AK9" s="17">
        <v>899.06451612903231</v>
      </c>
      <c r="AL9" s="17">
        <v>1091.6129032258063</v>
      </c>
      <c r="AM9" s="17">
        <v>276671</v>
      </c>
      <c r="AN9" s="17">
        <v>30827</v>
      </c>
      <c r="AO9" s="17">
        <v>1675</v>
      </c>
      <c r="AP9" s="17">
        <v>887.58064516129036</v>
      </c>
      <c r="AQ9" s="17">
        <v>1095.1612903225807</v>
      </c>
      <c r="AR9" s="17">
        <v>328467</v>
      </c>
      <c r="AS9" s="17">
        <v>42601</v>
      </c>
      <c r="AT9" s="17">
        <v>1433</v>
      </c>
      <c r="AU9" s="17">
        <v>870.66666666666663</v>
      </c>
      <c r="AV9" s="17">
        <v>1050</v>
      </c>
      <c r="AW9" s="17">
        <v>359293</v>
      </c>
      <c r="AX9" s="17">
        <v>48545</v>
      </c>
      <c r="AY9" s="17">
        <v>1488</v>
      </c>
      <c r="AZ9" s="17">
        <v>903.38709677419354</v>
      </c>
      <c r="BA9" s="17">
        <v>1047.741935483871</v>
      </c>
      <c r="BB9" s="17">
        <v>375475</v>
      </c>
      <c r="BC9" s="17">
        <v>50864</v>
      </c>
      <c r="BD9" s="17">
        <v>1359</v>
      </c>
      <c r="BE9" s="17">
        <v>921.26666666666665</v>
      </c>
      <c r="BF9" s="17">
        <v>1039.3333333333333</v>
      </c>
      <c r="BG9" s="17">
        <v>400927</v>
      </c>
      <c r="BH9" s="17">
        <v>45545</v>
      </c>
      <c r="BI9" s="17">
        <v>1358</v>
      </c>
      <c r="BJ9" s="17">
        <v>899.0322580645161</v>
      </c>
      <c r="BK9" s="17">
        <v>1029.6774193548388</v>
      </c>
    </row>
    <row r="10" spans="1:63" x14ac:dyDescent="0.35">
      <c r="A10" s="41">
        <v>6</v>
      </c>
      <c r="B10" s="41" t="s">
        <v>234</v>
      </c>
      <c r="C10" s="43" t="s">
        <v>26</v>
      </c>
      <c r="D10" s="17">
        <v>182115</v>
      </c>
      <c r="E10" s="17">
        <v>19233</v>
      </c>
      <c r="F10" s="17">
        <v>0</v>
      </c>
      <c r="G10" s="17">
        <v>1008.8709677419355</v>
      </c>
      <c r="H10" s="17">
        <v>1150</v>
      </c>
      <c r="I10" s="17">
        <v>188525</v>
      </c>
      <c r="J10" s="17">
        <v>19649</v>
      </c>
      <c r="K10" s="17">
        <v>0</v>
      </c>
      <c r="L10" s="17">
        <v>998.75</v>
      </c>
      <c r="M10" s="17">
        <v>1144.2857142857142</v>
      </c>
      <c r="N10" s="17">
        <v>203037</v>
      </c>
      <c r="O10" s="17">
        <v>20463</v>
      </c>
      <c r="P10" s="17">
        <v>0</v>
      </c>
      <c r="Q10" s="17">
        <v>938.87096774193549</v>
      </c>
      <c r="R10" s="17">
        <v>1130</v>
      </c>
      <c r="S10" s="17">
        <v>197729</v>
      </c>
      <c r="T10" s="17">
        <v>13956</v>
      </c>
      <c r="U10" s="17">
        <v>0</v>
      </c>
      <c r="V10" s="17">
        <v>945.33333333333337</v>
      </c>
      <c r="W10" s="17">
        <v>1111.6666666666667</v>
      </c>
      <c r="X10" s="17">
        <v>200112</v>
      </c>
      <c r="Y10" s="17">
        <v>14543</v>
      </c>
      <c r="Z10" s="17">
        <v>0</v>
      </c>
      <c r="AA10" s="17">
        <v>913.22580645161293</v>
      </c>
      <c r="AB10" s="17">
        <v>1072.9032258064517</v>
      </c>
      <c r="AC10" s="17">
        <v>162139</v>
      </c>
      <c r="AD10" s="17">
        <v>15548</v>
      </c>
      <c r="AE10" s="17">
        <v>0</v>
      </c>
      <c r="AF10" s="17">
        <v>921.33333333333337</v>
      </c>
      <c r="AG10" s="17">
        <v>1073</v>
      </c>
      <c r="AH10" s="17">
        <v>160352</v>
      </c>
      <c r="AI10" s="17">
        <v>19087</v>
      </c>
      <c r="AJ10" s="17">
        <v>0</v>
      </c>
      <c r="AK10" s="17">
        <v>922.25806451612902</v>
      </c>
      <c r="AL10" s="17">
        <v>1082.258064516129</v>
      </c>
      <c r="AM10" s="17">
        <v>155624</v>
      </c>
      <c r="AN10" s="17">
        <v>16833</v>
      </c>
      <c r="AO10" s="17">
        <v>0</v>
      </c>
      <c r="AP10" s="17">
        <v>910.32258064516134</v>
      </c>
      <c r="AQ10" s="17">
        <v>1107.4193548387098</v>
      </c>
      <c r="AR10" s="17">
        <v>172777</v>
      </c>
      <c r="AS10" s="17">
        <v>18715</v>
      </c>
      <c r="AT10" s="17">
        <v>0</v>
      </c>
      <c r="AU10" s="17">
        <v>893.66666666666663</v>
      </c>
      <c r="AV10" s="17">
        <v>1100</v>
      </c>
      <c r="AW10" s="17">
        <v>173051</v>
      </c>
      <c r="AX10" s="17">
        <v>18918</v>
      </c>
      <c r="AY10" s="17">
        <v>0</v>
      </c>
      <c r="AZ10" s="17">
        <v>915.16129032258061</v>
      </c>
      <c r="BA10" s="17">
        <v>1088.0645161290322</v>
      </c>
      <c r="BB10" s="17">
        <v>177378</v>
      </c>
      <c r="BC10" s="17">
        <v>16249</v>
      </c>
      <c r="BD10" s="17">
        <v>0</v>
      </c>
      <c r="BE10" s="17">
        <v>919.5</v>
      </c>
      <c r="BF10" s="17">
        <v>1062.6666666666667</v>
      </c>
      <c r="BG10" s="17">
        <v>173091</v>
      </c>
      <c r="BH10" s="17">
        <v>16262</v>
      </c>
      <c r="BI10" s="17">
        <v>0</v>
      </c>
      <c r="BJ10" s="17">
        <v>900.48387096774195</v>
      </c>
      <c r="BK10" s="17">
        <v>1039.6774193548388</v>
      </c>
    </row>
    <row r="11" spans="1:63" x14ac:dyDescent="0.35">
      <c r="A11" s="41">
        <v>7</v>
      </c>
      <c r="B11" s="41" t="s">
        <v>235</v>
      </c>
      <c r="C11" s="43" t="s">
        <v>27</v>
      </c>
      <c r="D11" s="17">
        <v>480413</v>
      </c>
      <c r="E11" s="17">
        <v>33941</v>
      </c>
      <c r="F11" s="17">
        <v>0</v>
      </c>
      <c r="G11" s="17">
        <v>1000</v>
      </c>
      <c r="H11" s="17">
        <v>1180.3225806451612</v>
      </c>
      <c r="I11" s="17">
        <v>472614</v>
      </c>
      <c r="J11" s="17">
        <v>31142</v>
      </c>
      <c r="K11" s="17">
        <v>0</v>
      </c>
      <c r="L11" s="17">
        <v>989.28571428571433</v>
      </c>
      <c r="M11" s="17">
        <v>1173.9285714285713</v>
      </c>
      <c r="N11" s="17">
        <v>472924</v>
      </c>
      <c r="O11" s="17">
        <v>51852</v>
      </c>
      <c r="P11" s="17">
        <v>0</v>
      </c>
      <c r="Q11" s="17">
        <v>945.80645161290317</v>
      </c>
      <c r="R11" s="17">
        <v>1170</v>
      </c>
      <c r="S11" s="17">
        <v>445730</v>
      </c>
      <c r="T11" s="17">
        <v>37117</v>
      </c>
      <c r="U11" s="17">
        <v>0</v>
      </c>
      <c r="V11" s="17">
        <v>950.66666666666663</v>
      </c>
      <c r="W11" s="17">
        <v>1159</v>
      </c>
      <c r="X11" s="17">
        <v>401100</v>
      </c>
      <c r="Y11" s="17">
        <v>33007</v>
      </c>
      <c r="Z11" s="17">
        <v>0</v>
      </c>
      <c r="AA11" s="17">
        <v>920</v>
      </c>
      <c r="AB11" s="17">
        <v>1133.8709677419354</v>
      </c>
      <c r="AC11" s="17">
        <v>361691</v>
      </c>
      <c r="AD11" s="17">
        <v>23938</v>
      </c>
      <c r="AE11" s="17">
        <v>0</v>
      </c>
      <c r="AF11" s="17">
        <v>920.66666666666663</v>
      </c>
      <c r="AG11" s="17">
        <v>1130</v>
      </c>
      <c r="AH11" s="17">
        <v>376009</v>
      </c>
      <c r="AI11" s="17">
        <v>22820</v>
      </c>
      <c r="AJ11" s="17">
        <v>0</v>
      </c>
      <c r="AK11" s="17">
        <v>917.58064516129036</v>
      </c>
      <c r="AL11" s="17">
        <v>1106.7741935483871</v>
      </c>
      <c r="AM11" s="17">
        <v>391195</v>
      </c>
      <c r="AN11" s="17">
        <v>24604</v>
      </c>
      <c r="AO11" s="17">
        <v>0</v>
      </c>
      <c r="AP11" s="17">
        <v>914.35483870967744</v>
      </c>
      <c r="AQ11" s="17">
        <v>1123.2258064516129</v>
      </c>
      <c r="AR11" s="17">
        <v>444478</v>
      </c>
      <c r="AS11" s="17">
        <v>35373</v>
      </c>
      <c r="AT11" s="17">
        <v>0</v>
      </c>
      <c r="AU11" s="17">
        <v>901.66666666666663</v>
      </c>
      <c r="AV11" s="17">
        <v>1100</v>
      </c>
      <c r="AW11" s="17">
        <v>548707</v>
      </c>
      <c r="AX11" s="17">
        <v>34590</v>
      </c>
      <c r="AY11" s="17">
        <v>0</v>
      </c>
      <c r="AZ11" s="17">
        <v>935.80645161290317</v>
      </c>
      <c r="BA11" s="17">
        <v>1087.741935483871</v>
      </c>
      <c r="BB11" s="17">
        <v>437770</v>
      </c>
      <c r="BC11" s="17">
        <v>28823</v>
      </c>
      <c r="BD11" s="17">
        <v>0</v>
      </c>
      <c r="BE11" s="17">
        <v>944.83333333333337</v>
      </c>
      <c r="BF11" s="17">
        <v>1047.3333333333333</v>
      </c>
      <c r="BG11" s="17">
        <v>383897</v>
      </c>
      <c r="BH11" s="17">
        <v>34226</v>
      </c>
      <c r="BI11" s="17">
        <v>0</v>
      </c>
      <c r="BJ11" s="17">
        <v>917.58064516129036</v>
      </c>
      <c r="BK11" s="17">
        <v>1040</v>
      </c>
    </row>
    <row r="12" spans="1:63" x14ac:dyDescent="0.35">
      <c r="A12" s="41">
        <v>8</v>
      </c>
      <c r="B12" s="41" t="s">
        <v>235</v>
      </c>
      <c r="C12" s="43" t="s">
        <v>28</v>
      </c>
      <c r="D12" s="17">
        <v>256265</v>
      </c>
      <c r="E12" s="17">
        <v>11668</v>
      </c>
      <c r="F12" s="17">
        <v>0</v>
      </c>
      <c r="G12" s="17">
        <v>1000</v>
      </c>
      <c r="H12" s="17">
        <v>1180.3225806451612</v>
      </c>
      <c r="I12" s="17">
        <v>255518</v>
      </c>
      <c r="J12" s="17">
        <v>14877</v>
      </c>
      <c r="K12" s="17">
        <v>0</v>
      </c>
      <c r="L12" s="17">
        <v>989.28571428571433</v>
      </c>
      <c r="M12" s="17">
        <v>1173.9285714285713</v>
      </c>
      <c r="N12" s="17">
        <v>322007</v>
      </c>
      <c r="O12" s="17">
        <v>13269</v>
      </c>
      <c r="P12" s="17">
        <v>0</v>
      </c>
      <c r="Q12" s="17">
        <v>945.80645161290317</v>
      </c>
      <c r="R12" s="17">
        <v>1170</v>
      </c>
      <c r="S12" s="17">
        <v>316682</v>
      </c>
      <c r="T12" s="17">
        <v>12422</v>
      </c>
      <c r="U12" s="17">
        <v>0</v>
      </c>
      <c r="V12" s="17">
        <v>950.66666666666663</v>
      </c>
      <c r="W12" s="17">
        <v>1159</v>
      </c>
      <c r="X12" s="17">
        <v>324385</v>
      </c>
      <c r="Y12" s="17">
        <v>16057</v>
      </c>
      <c r="Z12" s="17">
        <v>0</v>
      </c>
      <c r="AA12" s="17">
        <v>920</v>
      </c>
      <c r="AB12" s="17">
        <v>1133.8709677419354</v>
      </c>
      <c r="AC12" s="17">
        <v>277811</v>
      </c>
      <c r="AD12" s="17">
        <v>10649</v>
      </c>
      <c r="AE12" s="17">
        <v>0</v>
      </c>
      <c r="AF12" s="17">
        <v>920.66666666666663</v>
      </c>
      <c r="AG12" s="17">
        <v>1130</v>
      </c>
      <c r="AH12" s="17">
        <v>262801</v>
      </c>
      <c r="AI12" s="17">
        <v>12073</v>
      </c>
      <c r="AJ12" s="17">
        <v>0</v>
      </c>
      <c r="AK12" s="17">
        <v>917.58064516129036</v>
      </c>
      <c r="AL12" s="17">
        <v>1106.7741935483871</v>
      </c>
      <c r="AM12" s="17">
        <v>269521</v>
      </c>
      <c r="AN12" s="17">
        <v>10583</v>
      </c>
      <c r="AO12" s="17">
        <v>0</v>
      </c>
      <c r="AP12" s="17">
        <v>914.0322580645161</v>
      </c>
      <c r="AQ12" s="17">
        <v>1116.7741935483871</v>
      </c>
      <c r="AR12" s="17">
        <v>239282</v>
      </c>
      <c r="AS12" s="17">
        <v>12857</v>
      </c>
      <c r="AT12" s="17">
        <v>0</v>
      </c>
      <c r="AU12" s="17">
        <v>896.66666666666663</v>
      </c>
      <c r="AV12" s="17">
        <v>1100</v>
      </c>
      <c r="AW12" s="17">
        <v>372219</v>
      </c>
      <c r="AX12" s="17">
        <v>10873</v>
      </c>
      <c r="AY12" s="17">
        <v>0</v>
      </c>
      <c r="AZ12" s="17">
        <v>933.54838709677415</v>
      </c>
      <c r="BA12" s="17">
        <v>1087.4193548387098</v>
      </c>
      <c r="BB12" s="17">
        <v>261972</v>
      </c>
      <c r="BC12" s="17">
        <v>10458</v>
      </c>
      <c r="BD12" s="17">
        <v>0</v>
      </c>
      <c r="BE12" s="17">
        <v>943</v>
      </c>
      <c r="BF12" s="17">
        <v>1047.6666666666667</v>
      </c>
      <c r="BG12" s="17">
        <v>228818</v>
      </c>
      <c r="BH12" s="17">
        <v>9320</v>
      </c>
      <c r="BI12" s="17">
        <v>0</v>
      </c>
      <c r="BJ12" s="17">
        <v>917.58064516129036</v>
      </c>
      <c r="BK12" s="17">
        <v>1040</v>
      </c>
    </row>
    <row r="13" spans="1:63" x14ac:dyDescent="0.35">
      <c r="A13" s="41">
        <v>9</v>
      </c>
      <c r="B13" s="41" t="s">
        <v>236</v>
      </c>
      <c r="C13" s="43" t="s">
        <v>29</v>
      </c>
      <c r="D13" s="17">
        <v>67297</v>
      </c>
      <c r="E13" s="17">
        <v>5392</v>
      </c>
      <c r="F13" s="17">
        <v>0</v>
      </c>
      <c r="G13" s="17">
        <v>990.9677419354839</v>
      </c>
      <c r="H13" s="17">
        <v>1140.6451612903227</v>
      </c>
      <c r="I13" s="17">
        <v>59390</v>
      </c>
      <c r="J13" s="17">
        <v>10018</v>
      </c>
      <c r="K13" s="17">
        <v>0</v>
      </c>
      <c r="L13" s="17">
        <v>984.85714285714289</v>
      </c>
      <c r="M13" s="17">
        <v>1140</v>
      </c>
      <c r="N13" s="17">
        <v>54547</v>
      </c>
      <c r="O13" s="17">
        <v>10837</v>
      </c>
      <c r="P13" s="17">
        <v>0</v>
      </c>
      <c r="Q13" s="17">
        <v>910.32258064516134</v>
      </c>
      <c r="R13" s="17">
        <v>1127.9032258064517</v>
      </c>
      <c r="S13" s="17">
        <v>64673</v>
      </c>
      <c r="T13" s="17">
        <v>8299</v>
      </c>
      <c r="U13" s="17">
        <v>0</v>
      </c>
      <c r="V13" s="17">
        <v>921.33333333333337</v>
      </c>
      <c r="W13" s="17">
        <v>1115.6666666666667</v>
      </c>
      <c r="X13" s="17">
        <v>69295</v>
      </c>
      <c r="Y13" s="17">
        <v>5329</v>
      </c>
      <c r="Z13" s="17">
        <v>0</v>
      </c>
      <c r="AA13" s="17">
        <v>887.09677419354841</v>
      </c>
      <c r="AB13" s="17">
        <v>1052.5806451612902</v>
      </c>
      <c r="AC13" s="17">
        <v>64788</v>
      </c>
      <c r="AD13" s="17">
        <v>5407</v>
      </c>
      <c r="AE13" s="17">
        <v>0</v>
      </c>
      <c r="AF13" s="17">
        <v>897.16666666666663</v>
      </c>
      <c r="AG13" s="17">
        <v>1050.5</v>
      </c>
      <c r="AH13" s="17">
        <v>57947</v>
      </c>
      <c r="AI13" s="17">
        <v>5160</v>
      </c>
      <c r="AJ13" s="17">
        <v>0</v>
      </c>
      <c r="AK13" s="17">
        <v>897.90322580645159</v>
      </c>
      <c r="AL13" s="17">
        <v>1069.8387096774193</v>
      </c>
      <c r="AM13" s="17">
        <v>64346</v>
      </c>
      <c r="AN13" s="17">
        <v>5390</v>
      </c>
      <c r="AO13" s="17">
        <v>0</v>
      </c>
      <c r="AP13" s="17">
        <v>883.38709677419354</v>
      </c>
      <c r="AQ13" s="17">
        <v>1083.8709677419354</v>
      </c>
      <c r="AR13" s="17">
        <v>71399</v>
      </c>
      <c r="AS13" s="17">
        <v>5796</v>
      </c>
      <c r="AT13" s="17">
        <v>0</v>
      </c>
      <c r="AU13" s="17">
        <v>875.16666666666663</v>
      </c>
      <c r="AV13" s="17">
        <v>1049.3333333333333</v>
      </c>
      <c r="AW13" s="17">
        <v>81004</v>
      </c>
      <c r="AX13" s="17">
        <v>5179</v>
      </c>
      <c r="AY13" s="17">
        <v>0</v>
      </c>
      <c r="AZ13" s="17">
        <v>902.90322580645159</v>
      </c>
      <c r="BA13" s="17">
        <v>1042.5806451612902</v>
      </c>
      <c r="BB13" s="17">
        <v>51856</v>
      </c>
      <c r="BC13" s="17">
        <v>5099</v>
      </c>
      <c r="BD13" s="17">
        <v>0</v>
      </c>
      <c r="BE13" s="17">
        <v>910.83333333333337</v>
      </c>
      <c r="BF13" s="17">
        <v>1021.3333333333334</v>
      </c>
      <c r="BG13" s="17">
        <v>54346</v>
      </c>
      <c r="BH13" s="17">
        <v>4815</v>
      </c>
      <c r="BI13" s="17">
        <v>0</v>
      </c>
      <c r="BJ13" s="17">
        <v>900.93548387096769</v>
      </c>
      <c r="BK13" s="17">
        <v>1008.3870967741935</v>
      </c>
    </row>
    <row r="14" spans="1:63" x14ac:dyDescent="0.35">
      <c r="A14" s="41">
        <v>10</v>
      </c>
      <c r="B14" s="41" t="s">
        <v>237</v>
      </c>
      <c r="C14" s="43" t="s">
        <v>30</v>
      </c>
      <c r="D14" s="17">
        <v>127647</v>
      </c>
      <c r="E14" s="17">
        <v>21072</v>
      </c>
      <c r="F14" s="17">
        <v>0</v>
      </c>
      <c r="G14" s="17">
        <v>1005.9677419354839</v>
      </c>
      <c r="H14" s="17">
        <v>1150</v>
      </c>
      <c r="I14" s="17">
        <v>119217</v>
      </c>
      <c r="J14" s="17">
        <v>14092</v>
      </c>
      <c r="K14" s="17">
        <v>0</v>
      </c>
      <c r="L14" s="17">
        <v>992.32142857142856</v>
      </c>
      <c r="M14" s="17">
        <v>1150</v>
      </c>
      <c r="N14" s="17">
        <v>137086</v>
      </c>
      <c r="O14" s="17">
        <v>16447</v>
      </c>
      <c r="P14" s="17">
        <v>0</v>
      </c>
      <c r="Q14" s="17">
        <v>936.29032258064512</v>
      </c>
      <c r="R14" s="17">
        <v>1150</v>
      </c>
      <c r="S14" s="17">
        <v>171344</v>
      </c>
      <c r="T14" s="17">
        <v>15035</v>
      </c>
      <c r="U14" s="17">
        <v>0</v>
      </c>
      <c r="V14" s="17">
        <v>944.33333333333337</v>
      </c>
      <c r="W14" s="17">
        <v>1135</v>
      </c>
      <c r="X14" s="17">
        <v>164773</v>
      </c>
      <c r="Y14" s="17">
        <v>15330</v>
      </c>
      <c r="Z14" s="17">
        <v>0</v>
      </c>
      <c r="AA14" s="17">
        <v>913.22580645161293</v>
      </c>
      <c r="AB14" s="17">
        <v>1087.4193548387098</v>
      </c>
      <c r="AC14" s="17">
        <v>169035</v>
      </c>
      <c r="AD14" s="17">
        <v>21294</v>
      </c>
      <c r="AE14" s="17">
        <v>0</v>
      </c>
      <c r="AF14" s="17">
        <v>924.83333333333337</v>
      </c>
      <c r="AG14" s="17">
        <v>1079.3333333333333</v>
      </c>
      <c r="AH14" s="17">
        <v>166764</v>
      </c>
      <c r="AI14" s="17">
        <v>24468</v>
      </c>
      <c r="AJ14" s="17">
        <v>0</v>
      </c>
      <c r="AK14" s="17">
        <v>920.64516129032256</v>
      </c>
      <c r="AL14" s="17">
        <v>1090</v>
      </c>
      <c r="AM14" s="17">
        <v>169182</v>
      </c>
      <c r="AN14" s="17">
        <v>26790</v>
      </c>
      <c r="AO14" s="17">
        <v>0</v>
      </c>
      <c r="AP14" s="17">
        <v>910</v>
      </c>
      <c r="AQ14" s="17">
        <v>1109.3548387096773</v>
      </c>
      <c r="AR14" s="17">
        <v>171304</v>
      </c>
      <c r="AS14" s="17">
        <v>21111</v>
      </c>
      <c r="AT14" s="17">
        <v>0</v>
      </c>
      <c r="AU14" s="17">
        <v>892</v>
      </c>
      <c r="AV14" s="17">
        <v>1100</v>
      </c>
      <c r="AW14" s="17">
        <v>172360</v>
      </c>
      <c r="AX14" s="17">
        <v>21932</v>
      </c>
      <c r="AY14" s="17">
        <v>0</v>
      </c>
      <c r="AZ14" s="17">
        <v>913.22580645161293</v>
      </c>
      <c r="BA14" s="17">
        <v>1088.0645161290322</v>
      </c>
      <c r="BB14" s="17">
        <v>191983</v>
      </c>
      <c r="BC14" s="17">
        <v>22958</v>
      </c>
      <c r="BD14" s="17">
        <v>0</v>
      </c>
      <c r="BE14" s="17">
        <v>918.33333333333337</v>
      </c>
      <c r="BF14" s="17">
        <v>1063.3333333333333</v>
      </c>
      <c r="BG14" s="17">
        <v>196315</v>
      </c>
      <c r="BH14" s="17">
        <v>27421</v>
      </c>
      <c r="BI14" s="17">
        <v>0</v>
      </c>
      <c r="BJ14" s="17">
        <v>895.32258064516134</v>
      </c>
      <c r="BK14" s="17">
        <v>1044.8387096774193</v>
      </c>
    </row>
    <row r="15" spans="1:63" x14ac:dyDescent="0.35">
      <c r="A15" s="41">
        <v>11</v>
      </c>
      <c r="B15" s="41" t="s">
        <v>237</v>
      </c>
      <c r="C15" s="43" t="s">
        <v>31</v>
      </c>
      <c r="D15" s="17">
        <v>194345</v>
      </c>
      <c r="E15" s="17">
        <v>15076</v>
      </c>
      <c r="F15" s="17">
        <v>0</v>
      </c>
      <c r="G15" s="17">
        <v>1006.7741935483871</v>
      </c>
      <c r="H15" s="17">
        <v>1150</v>
      </c>
      <c r="I15" s="17">
        <v>165096</v>
      </c>
      <c r="J15" s="17">
        <v>14819</v>
      </c>
      <c r="K15" s="17">
        <v>0</v>
      </c>
      <c r="L15" s="17">
        <v>1000.1785714285714</v>
      </c>
      <c r="M15" s="17">
        <v>1150</v>
      </c>
      <c r="N15" s="17">
        <v>200533</v>
      </c>
      <c r="O15" s="17">
        <v>13603</v>
      </c>
      <c r="P15" s="17">
        <v>0</v>
      </c>
      <c r="Q15" s="17">
        <v>941.45161290322585</v>
      </c>
      <c r="R15" s="17">
        <v>1150</v>
      </c>
      <c r="S15" s="17">
        <v>216418</v>
      </c>
      <c r="T15" s="17">
        <v>11129</v>
      </c>
      <c r="U15" s="17">
        <v>0</v>
      </c>
      <c r="V15" s="17">
        <v>944.33333333333337</v>
      </c>
      <c r="W15" s="17">
        <v>1135</v>
      </c>
      <c r="X15" s="17">
        <v>220698</v>
      </c>
      <c r="Y15" s="17">
        <v>11197</v>
      </c>
      <c r="Z15" s="17">
        <v>0</v>
      </c>
      <c r="AA15" s="17">
        <v>913.22580645161293</v>
      </c>
      <c r="AB15" s="17">
        <v>1087.4193548387098</v>
      </c>
      <c r="AC15" s="17">
        <v>210609</v>
      </c>
      <c r="AD15" s="17">
        <v>8009</v>
      </c>
      <c r="AE15" s="17">
        <v>0</v>
      </c>
      <c r="AF15" s="17">
        <v>924.83333333333337</v>
      </c>
      <c r="AG15" s="17">
        <v>1079.3333333333333</v>
      </c>
      <c r="AH15" s="17">
        <v>194115</v>
      </c>
      <c r="AI15" s="17">
        <v>7443</v>
      </c>
      <c r="AJ15" s="17">
        <v>0</v>
      </c>
      <c r="AK15" s="17">
        <v>920.64516129032256</v>
      </c>
      <c r="AL15" s="17">
        <v>1090</v>
      </c>
      <c r="AM15" s="17">
        <v>193469</v>
      </c>
      <c r="AN15" s="17">
        <v>7262</v>
      </c>
      <c r="AO15" s="17">
        <v>0</v>
      </c>
      <c r="AP15" s="17">
        <v>910</v>
      </c>
      <c r="AQ15" s="17">
        <v>1109.3548387096773</v>
      </c>
      <c r="AR15" s="17">
        <v>206741</v>
      </c>
      <c r="AS15" s="17">
        <v>4669</v>
      </c>
      <c r="AT15" s="17">
        <v>0</v>
      </c>
      <c r="AU15" s="17">
        <v>892</v>
      </c>
      <c r="AV15" s="17">
        <v>1100</v>
      </c>
      <c r="AW15" s="17">
        <v>203035</v>
      </c>
      <c r="AX15" s="17">
        <v>7464</v>
      </c>
      <c r="AY15" s="17">
        <v>0</v>
      </c>
      <c r="AZ15" s="17">
        <v>913.22580645161293</v>
      </c>
      <c r="BA15" s="17">
        <v>1088.0645161290322</v>
      </c>
      <c r="BB15" s="17">
        <v>212139</v>
      </c>
      <c r="BC15" s="17">
        <v>7011</v>
      </c>
      <c r="BD15" s="17">
        <v>0</v>
      </c>
      <c r="BE15" s="17">
        <v>919.33333333333337</v>
      </c>
      <c r="BF15" s="17">
        <v>1063.3333333333333</v>
      </c>
      <c r="BG15" s="17">
        <v>228412</v>
      </c>
      <c r="BH15" s="17">
        <v>11296</v>
      </c>
      <c r="BI15" s="17">
        <v>0</v>
      </c>
      <c r="BJ15" s="17">
        <v>895.32258064516134</v>
      </c>
      <c r="BK15" s="17">
        <v>1044.8387096774193</v>
      </c>
    </row>
    <row r="16" spans="1:63" x14ac:dyDescent="0.35">
      <c r="A16" s="41">
        <v>12</v>
      </c>
      <c r="B16" s="41" t="s">
        <v>234</v>
      </c>
      <c r="C16" s="42" t="s">
        <v>32</v>
      </c>
      <c r="D16" s="17">
        <v>236641</v>
      </c>
      <c r="E16" s="17">
        <v>49961</v>
      </c>
      <c r="F16" s="17">
        <v>750</v>
      </c>
      <c r="G16" s="17">
        <v>1018.0645161290323</v>
      </c>
      <c r="H16" s="17">
        <v>1150</v>
      </c>
      <c r="I16" s="17">
        <v>265672</v>
      </c>
      <c r="J16" s="17">
        <v>57593</v>
      </c>
      <c r="K16" s="17">
        <v>721</v>
      </c>
      <c r="L16" s="17">
        <v>1001.4285714285714</v>
      </c>
      <c r="M16" s="17">
        <v>1144.2857142857142</v>
      </c>
      <c r="N16" s="17">
        <v>281376</v>
      </c>
      <c r="O16" s="17">
        <v>55982</v>
      </c>
      <c r="P16" s="17">
        <v>831</v>
      </c>
      <c r="Q16" s="17">
        <v>939.51612903225805</v>
      </c>
      <c r="R16" s="17">
        <v>1130</v>
      </c>
      <c r="S16" s="17">
        <v>285435</v>
      </c>
      <c r="T16" s="17">
        <v>63321</v>
      </c>
      <c r="U16" s="17">
        <v>1580</v>
      </c>
      <c r="V16" s="17">
        <v>946.66666666666663</v>
      </c>
      <c r="W16" s="17">
        <v>1112.8333333333333</v>
      </c>
      <c r="X16" s="17">
        <v>282070</v>
      </c>
      <c r="Y16" s="17">
        <v>58492</v>
      </c>
      <c r="Z16" s="17">
        <v>1250</v>
      </c>
      <c r="AA16" s="17">
        <v>915.80645161290317</v>
      </c>
      <c r="AB16" s="17">
        <v>1078.7096774193549</v>
      </c>
      <c r="AC16" s="17">
        <v>248816</v>
      </c>
      <c r="AD16" s="17">
        <v>49434</v>
      </c>
      <c r="AE16" s="17">
        <v>1056</v>
      </c>
      <c r="AF16" s="17">
        <v>926.16666666666663</v>
      </c>
      <c r="AG16" s="17">
        <v>1073</v>
      </c>
      <c r="AH16" s="17">
        <v>242347</v>
      </c>
      <c r="AI16" s="17">
        <v>46393</v>
      </c>
      <c r="AJ16" s="17">
        <v>1558</v>
      </c>
      <c r="AK16" s="17">
        <v>924.19354838709683</v>
      </c>
      <c r="AL16" s="17">
        <v>1090</v>
      </c>
      <c r="AM16" s="17">
        <v>255542</v>
      </c>
      <c r="AN16" s="17">
        <v>46481</v>
      </c>
      <c r="AO16" s="17">
        <v>1206</v>
      </c>
      <c r="AP16" s="17">
        <v>910.32258064516134</v>
      </c>
      <c r="AQ16" s="17">
        <v>1107.741935483871</v>
      </c>
      <c r="AR16" s="17">
        <v>247875</v>
      </c>
      <c r="AS16" s="17">
        <v>47227</v>
      </c>
      <c r="AT16" s="17">
        <v>1215</v>
      </c>
      <c r="AU16" s="17">
        <v>893</v>
      </c>
      <c r="AV16" s="17">
        <v>1100</v>
      </c>
      <c r="AW16" s="17">
        <v>292517</v>
      </c>
      <c r="AX16" s="17">
        <v>61062</v>
      </c>
      <c r="AY16" s="17">
        <v>1626</v>
      </c>
      <c r="AZ16" s="17">
        <v>915.16129032258061</v>
      </c>
      <c r="BA16" s="17">
        <v>1087.0967741935483</v>
      </c>
      <c r="BB16" s="17">
        <v>293866</v>
      </c>
      <c r="BC16" s="17">
        <v>60413</v>
      </c>
      <c r="BD16" s="17">
        <v>1618</v>
      </c>
      <c r="BE16" s="17">
        <v>920</v>
      </c>
      <c r="BF16" s="17">
        <v>1062.6666666666667</v>
      </c>
      <c r="BG16" s="17">
        <v>317382</v>
      </c>
      <c r="BH16" s="17">
        <v>51147</v>
      </c>
      <c r="BI16" s="17">
        <v>1062</v>
      </c>
      <c r="BJ16" s="17">
        <v>900.64516129032256</v>
      </c>
      <c r="BK16" s="17">
        <v>1039.0322580645161</v>
      </c>
    </row>
    <row r="17" spans="1:63" x14ac:dyDescent="0.35">
      <c r="A17" s="41">
        <v>13</v>
      </c>
      <c r="B17" s="41" t="s">
        <v>234</v>
      </c>
      <c r="C17" s="42" t="s">
        <v>33</v>
      </c>
      <c r="D17" s="17">
        <v>203439</v>
      </c>
      <c r="E17" s="17">
        <v>53164</v>
      </c>
      <c r="F17" s="17">
        <v>218</v>
      </c>
      <c r="G17" s="17">
        <v>1018.2258064516129</v>
      </c>
      <c r="H17" s="17">
        <v>1150</v>
      </c>
      <c r="I17" s="17">
        <v>198833</v>
      </c>
      <c r="J17" s="17">
        <v>60988</v>
      </c>
      <c r="K17" s="17">
        <v>152</v>
      </c>
      <c r="L17" s="17">
        <v>1001.4285714285714</v>
      </c>
      <c r="M17" s="17">
        <v>1144.2857142857142</v>
      </c>
      <c r="N17" s="17">
        <v>228524</v>
      </c>
      <c r="O17" s="17">
        <v>66906</v>
      </c>
      <c r="P17" s="17">
        <v>243</v>
      </c>
      <c r="Q17" s="17">
        <v>939.51612903225805</v>
      </c>
      <c r="R17" s="17">
        <v>1130</v>
      </c>
      <c r="S17" s="17">
        <v>236624</v>
      </c>
      <c r="T17" s="17">
        <v>73720</v>
      </c>
      <c r="U17" s="17">
        <v>1105</v>
      </c>
      <c r="V17" s="17">
        <v>946.66666666666663</v>
      </c>
      <c r="W17" s="17">
        <v>1112.8333333333333</v>
      </c>
      <c r="X17" s="17">
        <v>225574</v>
      </c>
      <c r="Y17" s="17">
        <v>90537</v>
      </c>
      <c r="Z17" s="17">
        <v>224</v>
      </c>
      <c r="AA17" s="17">
        <v>915.80645161290317</v>
      </c>
      <c r="AB17" s="17">
        <v>1078.7096774193549</v>
      </c>
      <c r="AC17" s="17">
        <v>207086</v>
      </c>
      <c r="AD17" s="17">
        <v>80620</v>
      </c>
      <c r="AE17" s="17">
        <v>385</v>
      </c>
      <c r="AF17" s="17">
        <v>926.16666666666663</v>
      </c>
      <c r="AG17" s="17">
        <v>1073</v>
      </c>
      <c r="AH17" s="17">
        <v>192602</v>
      </c>
      <c r="AI17" s="17">
        <v>60392</v>
      </c>
      <c r="AJ17" s="17">
        <v>653</v>
      </c>
      <c r="AK17" s="17">
        <v>924.19354838709683</v>
      </c>
      <c r="AL17" s="17">
        <v>1090</v>
      </c>
      <c r="AM17" s="17">
        <v>209300</v>
      </c>
      <c r="AN17" s="17">
        <v>57977</v>
      </c>
      <c r="AO17" s="17">
        <v>36</v>
      </c>
      <c r="AP17" s="17">
        <v>910.32258064516134</v>
      </c>
      <c r="AQ17" s="17">
        <v>1107.741935483871</v>
      </c>
      <c r="AR17" s="17">
        <v>206418</v>
      </c>
      <c r="AS17" s="17">
        <v>56195</v>
      </c>
      <c r="AT17" s="17">
        <v>0</v>
      </c>
      <c r="AU17" s="17">
        <v>893</v>
      </c>
      <c r="AV17" s="17">
        <v>1100</v>
      </c>
      <c r="AW17" s="17">
        <v>212451</v>
      </c>
      <c r="AX17" s="17">
        <v>50354</v>
      </c>
      <c r="AY17" s="17">
        <v>0</v>
      </c>
      <c r="AZ17" s="17">
        <v>915.16129032258061</v>
      </c>
      <c r="BA17" s="17">
        <v>1087.0967741935483</v>
      </c>
      <c r="BB17" s="17">
        <v>190690</v>
      </c>
      <c r="BC17" s="17">
        <v>48803</v>
      </c>
      <c r="BD17" s="17">
        <v>0</v>
      </c>
      <c r="BE17" s="17">
        <v>920</v>
      </c>
      <c r="BF17" s="17">
        <v>1062.6666666666667</v>
      </c>
      <c r="BG17" s="17">
        <v>205533</v>
      </c>
      <c r="BH17" s="17">
        <v>45505</v>
      </c>
      <c r="BI17" s="17">
        <v>0</v>
      </c>
      <c r="BJ17" s="17">
        <v>900.64516129032256</v>
      </c>
      <c r="BK17" s="17">
        <v>1039.0322580645161</v>
      </c>
    </row>
    <row r="18" spans="1:63" x14ac:dyDescent="0.35">
      <c r="A18" s="41">
        <v>14</v>
      </c>
      <c r="B18" s="41" t="s">
        <v>234</v>
      </c>
      <c r="C18" s="43" t="s">
        <v>34</v>
      </c>
      <c r="D18" s="17">
        <v>220171</v>
      </c>
      <c r="E18" s="17">
        <v>27886</v>
      </c>
      <c r="F18" s="17">
        <v>0</v>
      </c>
      <c r="G18" s="17">
        <v>1018.2258064516129</v>
      </c>
      <c r="H18" s="17">
        <v>1150</v>
      </c>
      <c r="I18" s="17">
        <v>208496</v>
      </c>
      <c r="J18" s="17">
        <v>30375</v>
      </c>
      <c r="K18" s="17">
        <v>0</v>
      </c>
      <c r="L18" s="17">
        <v>1001.4285714285714</v>
      </c>
      <c r="M18" s="17">
        <v>1144.2857142857142</v>
      </c>
      <c r="N18" s="17">
        <v>255046</v>
      </c>
      <c r="O18" s="17">
        <v>26763</v>
      </c>
      <c r="P18" s="17">
        <v>0</v>
      </c>
      <c r="Q18" s="17">
        <v>939.51612903225805</v>
      </c>
      <c r="R18" s="17">
        <v>1130</v>
      </c>
      <c r="S18" s="17">
        <v>259148</v>
      </c>
      <c r="T18" s="17">
        <v>37876</v>
      </c>
      <c r="U18" s="17">
        <v>0</v>
      </c>
      <c r="V18" s="17">
        <v>946.66666666666663</v>
      </c>
      <c r="W18" s="17">
        <v>1112.8333333333333</v>
      </c>
      <c r="X18" s="17">
        <v>260055</v>
      </c>
      <c r="Y18" s="17">
        <v>34491</v>
      </c>
      <c r="Z18" s="17">
        <v>0</v>
      </c>
      <c r="AA18" s="17">
        <v>915.80645161290317</v>
      </c>
      <c r="AB18" s="17">
        <v>1078.7096774193549</v>
      </c>
      <c r="AC18" s="17">
        <v>228819</v>
      </c>
      <c r="AD18" s="17">
        <v>27487</v>
      </c>
      <c r="AE18" s="17">
        <v>0</v>
      </c>
      <c r="AF18" s="17">
        <v>926.16666666666663</v>
      </c>
      <c r="AG18" s="17">
        <v>1073</v>
      </c>
      <c r="AH18" s="17">
        <v>194978</v>
      </c>
      <c r="AI18" s="17">
        <v>21319</v>
      </c>
      <c r="AJ18" s="17">
        <v>0</v>
      </c>
      <c r="AK18" s="17">
        <v>924.19354838709683</v>
      </c>
      <c r="AL18" s="17">
        <v>1090</v>
      </c>
      <c r="AM18" s="17">
        <v>209949</v>
      </c>
      <c r="AN18" s="17">
        <v>28264</v>
      </c>
      <c r="AO18" s="17">
        <v>0</v>
      </c>
      <c r="AP18" s="17">
        <v>910.32258064516134</v>
      </c>
      <c r="AQ18" s="17">
        <v>1107.741935483871</v>
      </c>
      <c r="AR18" s="17">
        <v>192533</v>
      </c>
      <c r="AS18" s="17">
        <v>21428</v>
      </c>
      <c r="AT18" s="17">
        <v>0</v>
      </c>
      <c r="AU18" s="17">
        <v>893</v>
      </c>
      <c r="AV18" s="17">
        <v>1100</v>
      </c>
      <c r="AW18" s="17">
        <v>232653</v>
      </c>
      <c r="AX18" s="17">
        <v>21837</v>
      </c>
      <c r="AY18" s="17">
        <v>0</v>
      </c>
      <c r="AZ18" s="17">
        <v>915.16129032258061</v>
      </c>
      <c r="BA18" s="17">
        <v>1087.0967741935483</v>
      </c>
      <c r="BB18" s="17">
        <v>221239</v>
      </c>
      <c r="BC18" s="17">
        <v>24642</v>
      </c>
      <c r="BD18" s="17">
        <v>0</v>
      </c>
      <c r="BE18" s="17">
        <v>920</v>
      </c>
      <c r="BF18" s="17">
        <v>1062.6666666666667</v>
      </c>
      <c r="BG18" s="17">
        <v>254263</v>
      </c>
      <c r="BH18" s="17">
        <v>27949</v>
      </c>
      <c r="BI18" s="17">
        <v>0</v>
      </c>
      <c r="BJ18" s="17">
        <v>900.64516129032256</v>
      </c>
      <c r="BK18" s="17">
        <v>1039.0322580645161</v>
      </c>
    </row>
    <row r="19" spans="1:63" x14ac:dyDescent="0.35">
      <c r="A19" s="41">
        <v>15</v>
      </c>
      <c r="B19" s="41" t="s">
        <v>234</v>
      </c>
      <c r="C19" s="43" t="s">
        <v>35</v>
      </c>
      <c r="D19" s="17">
        <v>259828</v>
      </c>
      <c r="E19" s="17">
        <v>27244</v>
      </c>
      <c r="F19" s="17">
        <v>0</v>
      </c>
      <c r="G19" s="17">
        <v>1018.2258064516129</v>
      </c>
      <c r="H19" s="17">
        <v>1150</v>
      </c>
      <c r="I19" s="17">
        <v>264433</v>
      </c>
      <c r="J19" s="17">
        <v>22565</v>
      </c>
      <c r="K19" s="17">
        <v>0</v>
      </c>
      <c r="L19" s="17">
        <v>1001.4285714285714</v>
      </c>
      <c r="M19" s="17">
        <v>1144.2857142857142</v>
      </c>
      <c r="N19" s="17">
        <v>276068</v>
      </c>
      <c r="O19" s="17">
        <v>46610</v>
      </c>
      <c r="P19" s="17">
        <v>0</v>
      </c>
      <c r="Q19" s="17">
        <v>939.51612903225805</v>
      </c>
      <c r="R19" s="17">
        <v>1130</v>
      </c>
      <c r="S19" s="17">
        <v>284943</v>
      </c>
      <c r="T19" s="17">
        <v>51738</v>
      </c>
      <c r="U19" s="17">
        <v>0</v>
      </c>
      <c r="V19" s="17">
        <v>946.66666666666663</v>
      </c>
      <c r="W19" s="17">
        <v>1112.8333333333333</v>
      </c>
      <c r="X19" s="17">
        <v>263382</v>
      </c>
      <c r="Y19" s="17">
        <v>36694</v>
      </c>
      <c r="Z19" s="17">
        <v>84</v>
      </c>
      <c r="AA19" s="17">
        <v>915.80645161290317</v>
      </c>
      <c r="AB19" s="17">
        <v>1078.7096774193549</v>
      </c>
      <c r="AC19" s="17">
        <v>243512</v>
      </c>
      <c r="AD19" s="17">
        <v>37995</v>
      </c>
      <c r="AE19" s="17">
        <v>140</v>
      </c>
      <c r="AF19" s="17">
        <v>926.16666666666663</v>
      </c>
      <c r="AG19" s="17">
        <v>1073</v>
      </c>
      <c r="AH19" s="17">
        <v>217081</v>
      </c>
      <c r="AI19" s="17">
        <v>20930</v>
      </c>
      <c r="AJ19" s="17">
        <v>196</v>
      </c>
      <c r="AK19" s="17">
        <v>924.19354838709683</v>
      </c>
      <c r="AL19" s="17">
        <v>1090</v>
      </c>
      <c r="AM19" s="17">
        <v>229875</v>
      </c>
      <c r="AN19" s="17">
        <v>23187</v>
      </c>
      <c r="AO19" s="17">
        <v>277</v>
      </c>
      <c r="AP19" s="17">
        <v>910.32258064516134</v>
      </c>
      <c r="AQ19" s="17">
        <v>1107.741935483871</v>
      </c>
      <c r="AR19" s="17">
        <v>229186</v>
      </c>
      <c r="AS19" s="17">
        <v>20538</v>
      </c>
      <c r="AT19" s="17">
        <v>197</v>
      </c>
      <c r="AU19" s="17">
        <v>893</v>
      </c>
      <c r="AV19" s="17">
        <v>1100</v>
      </c>
      <c r="AW19" s="17">
        <v>287429</v>
      </c>
      <c r="AX19" s="17">
        <v>23238</v>
      </c>
      <c r="AY19" s="17">
        <v>1230</v>
      </c>
      <c r="AZ19" s="17">
        <v>915.16129032258061</v>
      </c>
      <c r="BA19" s="17">
        <v>1087.0967741935483</v>
      </c>
      <c r="BB19" s="17">
        <v>258795</v>
      </c>
      <c r="BC19" s="17">
        <v>21623</v>
      </c>
      <c r="BD19" s="17">
        <v>155</v>
      </c>
      <c r="BE19" s="17">
        <v>920</v>
      </c>
      <c r="BF19" s="17">
        <v>1062.6666666666667</v>
      </c>
      <c r="BG19" s="17">
        <v>299809</v>
      </c>
      <c r="BH19" s="17">
        <v>23972</v>
      </c>
      <c r="BI19" s="17">
        <v>289</v>
      </c>
      <c r="BJ19" s="17">
        <v>900.64516129032256</v>
      </c>
      <c r="BK19" s="17">
        <v>1039.0322580645161</v>
      </c>
    </row>
    <row r="20" spans="1:63" x14ac:dyDescent="0.35">
      <c r="A20" s="41">
        <v>16</v>
      </c>
      <c r="B20" s="41" t="s">
        <v>238</v>
      </c>
      <c r="C20" s="42" t="s">
        <v>36</v>
      </c>
      <c r="D20" s="17">
        <v>181922</v>
      </c>
      <c r="E20" s="17">
        <v>39218</v>
      </c>
      <c r="F20" s="17">
        <v>0</v>
      </c>
      <c r="G20" s="17">
        <v>1030.9677419354839</v>
      </c>
      <c r="H20" s="17">
        <v>1150</v>
      </c>
      <c r="I20" s="17">
        <v>173225</v>
      </c>
      <c r="J20" s="17">
        <v>34624</v>
      </c>
      <c r="K20" s="17">
        <v>0</v>
      </c>
      <c r="L20" s="17">
        <v>1004.4642857142857</v>
      </c>
      <c r="M20" s="17">
        <v>1148.5714285714287</v>
      </c>
      <c r="N20" s="17">
        <v>194367</v>
      </c>
      <c r="O20" s="17">
        <v>42551</v>
      </c>
      <c r="P20" s="17">
        <v>0</v>
      </c>
      <c r="Q20" s="17">
        <v>951.29032258064512</v>
      </c>
      <c r="R20" s="17">
        <v>1131.2903225806451</v>
      </c>
      <c r="S20" s="17">
        <v>164159</v>
      </c>
      <c r="T20" s="17">
        <v>31953</v>
      </c>
      <c r="U20" s="17">
        <v>0</v>
      </c>
      <c r="V20" s="17">
        <v>946.66666666666663</v>
      </c>
      <c r="W20" s="17">
        <v>1112.8333333333333</v>
      </c>
      <c r="X20" s="17">
        <v>161200</v>
      </c>
      <c r="Y20" s="17">
        <v>29366</v>
      </c>
      <c r="Z20" s="17">
        <v>0</v>
      </c>
      <c r="AA20" s="17">
        <v>915.80645161290317</v>
      </c>
      <c r="AB20" s="17">
        <v>1078.7096774193549</v>
      </c>
      <c r="AC20" s="17">
        <v>147078</v>
      </c>
      <c r="AD20" s="17">
        <v>28315</v>
      </c>
      <c r="AE20" s="17">
        <v>0</v>
      </c>
      <c r="AF20" s="17">
        <v>926.16666666666663</v>
      </c>
      <c r="AG20" s="17">
        <v>1073</v>
      </c>
      <c r="AH20" s="17">
        <v>158789</v>
      </c>
      <c r="AI20" s="17">
        <v>23045</v>
      </c>
      <c r="AJ20" s="17">
        <v>0</v>
      </c>
      <c r="AK20" s="17">
        <v>925.48387096774195</v>
      </c>
      <c r="AL20" s="17">
        <v>1090</v>
      </c>
      <c r="AM20" s="17">
        <v>165644</v>
      </c>
      <c r="AN20" s="17">
        <v>21735</v>
      </c>
      <c r="AO20" s="17">
        <v>0</v>
      </c>
      <c r="AP20" s="17">
        <v>916.61290322580646</v>
      </c>
      <c r="AQ20" s="17">
        <v>1106.1290322580646</v>
      </c>
      <c r="AR20" s="17">
        <v>164195</v>
      </c>
      <c r="AS20" s="17">
        <v>17322</v>
      </c>
      <c r="AT20" s="17">
        <v>0</v>
      </c>
      <c r="AU20" s="17">
        <v>900.33333333333337</v>
      </c>
      <c r="AV20" s="17">
        <v>1100</v>
      </c>
      <c r="AW20" s="17">
        <v>165185</v>
      </c>
      <c r="AX20" s="17">
        <v>17531</v>
      </c>
      <c r="AY20" s="17">
        <v>0</v>
      </c>
      <c r="AZ20" s="17">
        <v>916.45161290322585</v>
      </c>
      <c r="BA20" s="17">
        <v>1094.1935483870968</v>
      </c>
      <c r="BB20" s="17">
        <v>186517</v>
      </c>
      <c r="BC20" s="17">
        <v>17574</v>
      </c>
      <c r="BD20" s="17">
        <v>0</v>
      </c>
      <c r="BE20" s="17">
        <v>921.66666666666663</v>
      </c>
      <c r="BF20" s="17">
        <v>1075.6666666666667</v>
      </c>
      <c r="BG20" s="17">
        <v>163787</v>
      </c>
      <c r="BH20" s="17">
        <v>27723</v>
      </c>
      <c r="BI20" s="17">
        <v>0</v>
      </c>
      <c r="BJ20" s="17">
        <v>900.48387096774195</v>
      </c>
      <c r="BK20" s="17">
        <v>1048.0645161290322</v>
      </c>
    </row>
    <row r="21" spans="1:63" x14ac:dyDescent="0.35">
      <c r="A21" s="41">
        <v>17</v>
      </c>
      <c r="B21" s="41" t="s">
        <v>238</v>
      </c>
      <c r="C21" s="44" t="s">
        <v>37</v>
      </c>
      <c r="D21" s="17">
        <v>328107</v>
      </c>
      <c r="E21" s="17">
        <v>103626</v>
      </c>
      <c r="F21" s="17">
        <v>0</v>
      </c>
      <c r="G21" s="17">
        <v>1014.516129032258</v>
      </c>
      <c r="H21" s="17">
        <v>1150</v>
      </c>
      <c r="I21" s="17">
        <v>191765</v>
      </c>
      <c r="J21" s="17">
        <v>84035</v>
      </c>
      <c r="K21" s="17">
        <v>0</v>
      </c>
      <c r="L21" s="17">
        <v>1000.7142857142857</v>
      </c>
      <c r="M21" s="17">
        <v>1143.5714285714287</v>
      </c>
      <c r="N21" s="17">
        <v>189402</v>
      </c>
      <c r="O21" s="17">
        <v>72199</v>
      </c>
      <c r="P21" s="17">
        <v>0</v>
      </c>
      <c r="Q21" s="17">
        <v>935.48387096774195</v>
      </c>
      <c r="R21" s="17">
        <v>1121.9354838709678</v>
      </c>
      <c r="S21" s="17">
        <v>248566</v>
      </c>
      <c r="T21" s="17">
        <v>75524</v>
      </c>
      <c r="U21" s="17">
        <v>0</v>
      </c>
      <c r="V21" s="17">
        <v>944</v>
      </c>
      <c r="W21" s="17">
        <v>1104.8333333333333</v>
      </c>
      <c r="X21" s="17">
        <v>173165</v>
      </c>
      <c r="Y21" s="17">
        <v>59970</v>
      </c>
      <c r="Z21" s="17">
        <v>0</v>
      </c>
      <c r="AA21" s="17">
        <v>910</v>
      </c>
      <c r="AB21" s="17">
        <v>1068.3870967741937</v>
      </c>
      <c r="AC21" s="17">
        <v>152689</v>
      </c>
      <c r="AD21" s="17">
        <v>58238</v>
      </c>
      <c r="AE21" s="17">
        <v>0</v>
      </c>
      <c r="AF21" s="17">
        <v>920.5</v>
      </c>
      <c r="AG21" s="17">
        <v>1061.6666666666667</v>
      </c>
      <c r="AH21" s="17">
        <v>154958</v>
      </c>
      <c r="AI21" s="17">
        <v>56116</v>
      </c>
      <c r="AJ21" s="17">
        <v>0</v>
      </c>
      <c r="AK21" s="17">
        <v>915.16129032258061</v>
      </c>
      <c r="AL21" s="17">
        <v>1082.258064516129</v>
      </c>
      <c r="AM21" s="17">
        <v>167301</v>
      </c>
      <c r="AN21" s="17">
        <v>56679</v>
      </c>
      <c r="AO21" s="17">
        <v>0</v>
      </c>
      <c r="AP21" s="17">
        <v>911.12903225806451</v>
      </c>
      <c r="AQ21" s="17">
        <v>1098.7096774193549</v>
      </c>
      <c r="AR21" s="17">
        <v>150861</v>
      </c>
      <c r="AS21" s="17">
        <v>57101</v>
      </c>
      <c r="AT21" s="17">
        <v>0</v>
      </c>
      <c r="AU21" s="17">
        <v>893.33333333333337</v>
      </c>
      <c r="AV21" s="17">
        <v>1079</v>
      </c>
      <c r="AW21" s="17">
        <v>149486</v>
      </c>
      <c r="AX21" s="17">
        <v>58860</v>
      </c>
      <c r="AY21" s="17">
        <v>0</v>
      </c>
      <c r="AZ21" s="17">
        <v>913.54838709677415</v>
      </c>
      <c r="BA21" s="17">
        <v>1067.4193548387098</v>
      </c>
      <c r="BB21" s="17">
        <v>163279</v>
      </c>
      <c r="BC21" s="17">
        <v>61116</v>
      </c>
      <c r="BD21" s="17">
        <v>0</v>
      </c>
      <c r="BE21" s="17">
        <v>919.33333333333337</v>
      </c>
      <c r="BF21" s="17">
        <v>1046.3333333333333</v>
      </c>
      <c r="BG21" s="17">
        <v>291843</v>
      </c>
      <c r="BH21" s="17">
        <v>56353</v>
      </c>
      <c r="BI21" s="17">
        <v>0</v>
      </c>
      <c r="BJ21" s="17">
        <v>880.16129032258061</v>
      </c>
      <c r="BK21" s="17">
        <v>1034.516129032258</v>
      </c>
    </row>
    <row r="22" spans="1:63" x14ac:dyDescent="0.35">
      <c r="A22" s="41">
        <v>18</v>
      </c>
      <c r="B22" s="41" t="s">
        <v>238</v>
      </c>
      <c r="C22" s="44" t="s">
        <v>38</v>
      </c>
      <c r="D22" s="17">
        <v>383983</v>
      </c>
      <c r="E22" s="17">
        <v>43360</v>
      </c>
      <c r="F22" s="17">
        <v>36</v>
      </c>
      <c r="G22" s="17">
        <v>1030.9677419354839</v>
      </c>
      <c r="H22" s="17">
        <v>1150</v>
      </c>
      <c r="I22" s="17">
        <v>354103</v>
      </c>
      <c r="J22" s="17">
        <v>42425</v>
      </c>
      <c r="K22" s="17">
        <v>0</v>
      </c>
      <c r="L22" s="17">
        <v>1004.4642857142857</v>
      </c>
      <c r="M22" s="17">
        <v>1148.5714285714287</v>
      </c>
      <c r="N22" s="17">
        <v>366232</v>
      </c>
      <c r="O22" s="17">
        <v>36027</v>
      </c>
      <c r="P22" s="17">
        <v>0</v>
      </c>
      <c r="Q22" s="17">
        <v>951.29032258064512</v>
      </c>
      <c r="R22" s="17">
        <v>1131.2903225806451</v>
      </c>
      <c r="S22" s="17">
        <v>345679</v>
      </c>
      <c r="T22" s="17">
        <v>32717</v>
      </c>
      <c r="U22" s="17">
        <v>0</v>
      </c>
      <c r="V22" s="17">
        <v>946.66666666666663</v>
      </c>
      <c r="W22" s="17">
        <v>1112.8333333333333</v>
      </c>
      <c r="X22" s="17">
        <v>360426</v>
      </c>
      <c r="Y22" s="17">
        <v>25933</v>
      </c>
      <c r="Z22" s="17">
        <v>0</v>
      </c>
      <c r="AA22" s="17">
        <v>915.80645161290317</v>
      </c>
      <c r="AB22" s="17">
        <v>1078.7096774193549</v>
      </c>
      <c r="AC22" s="17">
        <v>298698</v>
      </c>
      <c r="AD22" s="17">
        <v>20685</v>
      </c>
      <c r="AE22" s="17">
        <v>0</v>
      </c>
      <c r="AF22" s="17">
        <v>926.16666666666663</v>
      </c>
      <c r="AG22" s="17">
        <v>1073</v>
      </c>
      <c r="AH22" s="17">
        <v>313617</v>
      </c>
      <c r="AI22" s="17">
        <v>20080</v>
      </c>
      <c r="AJ22" s="17">
        <v>0</v>
      </c>
      <c r="AK22" s="17">
        <v>925.48387096774195</v>
      </c>
      <c r="AL22" s="17">
        <v>1090</v>
      </c>
      <c r="AM22" s="17">
        <v>291562</v>
      </c>
      <c r="AN22" s="17">
        <v>19630</v>
      </c>
      <c r="AO22" s="17">
        <v>0</v>
      </c>
      <c r="AP22" s="17">
        <v>916.61290322580646</v>
      </c>
      <c r="AQ22" s="17">
        <v>1106.1290322580646</v>
      </c>
      <c r="AR22" s="17">
        <v>312649</v>
      </c>
      <c r="AS22" s="17">
        <v>21157</v>
      </c>
      <c r="AT22" s="17">
        <v>0</v>
      </c>
      <c r="AU22" s="17">
        <v>900.33333333333337</v>
      </c>
      <c r="AV22" s="17">
        <v>1099.6666666666667</v>
      </c>
      <c r="AW22" s="17">
        <v>347005</v>
      </c>
      <c r="AX22" s="17">
        <v>17172</v>
      </c>
      <c r="AY22" s="17">
        <v>0</v>
      </c>
      <c r="AZ22" s="17">
        <v>916.45161290322585</v>
      </c>
      <c r="BA22" s="17">
        <v>1094.1935483870968</v>
      </c>
      <c r="BB22" s="17">
        <v>330996</v>
      </c>
      <c r="BC22" s="17">
        <v>17879</v>
      </c>
      <c r="BD22" s="17">
        <v>0</v>
      </c>
      <c r="BE22" s="17">
        <v>921.66666666666663</v>
      </c>
      <c r="BF22" s="17">
        <v>1075.6666666666667</v>
      </c>
      <c r="BG22" s="17">
        <v>360636</v>
      </c>
      <c r="BH22" s="17">
        <v>31186</v>
      </c>
      <c r="BI22" s="17">
        <v>35</v>
      </c>
      <c r="BJ22" s="17">
        <v>901.45161290322585</v>
      </c>
      <c r="BK22" s="17">
        <v>1049.0322580645161</v>
      </c>
    </row>
    <row r="23" spans="1:63" x14ac:dyDescent="0.35">
      <c r="A23" s="41">
        <v>19</v>
      </c>
      <c r="B23" s="41" t="s">
        <v>239</v>
      </c>
      <c r="C23" s="43" t="s">
        <v>39</v>
      </c>
      <c r="D23" s="17">
        <v>190526</v>
      </c>
      <c r="E23" s="17">
        <v>42655</v>
      </c>
      <c r="F23" s="17">
        <v>0</v>
      </c>
      <c r="G23" s="17">
        <v>1017.0967741935484</v>
      </c>
      <c r="H23" s="17">
        <v>1164.516129032258</v>
      </c>
      <c r="I23" s="17">
        <v>214449</v>
      </c>
      <c r="J23" s="17">
        <v>31822</v>
      </c>
      <c r="K23" s="17">
        <v>0</v>
      </c>
      <c r="L23" s="17">
        <v>1001.7857142857143</v>
      </c>
      <c r="M23" s="17">
        <v>1168.9285714285713</v>
      </c>
      <c r="N23" s="17">
        <v>260297</v>
      </c>
      <c r="O23" s="17">
        <v>35345</v>
      </c>
      <c r="P23" s="17">
        <v>0</v>
      </c>
      <c r="Q23" s="17">
        <v>942.58064516129036</v>
      </c>
      <c r="R23" s="17">
        <v>1140</v>
      </c>
      <c r="S23" s="17">
        <v>253059</v>
      </c>
      <c r="T23" s="17">
        <v>35429</v>
      </c>
      <c r="U23" s="17">
        <v>0</v>
      </c>
      <c r="V23" s="17">
        <v>944.33333333333337</v>
      </c>
      <c r="W23" s="17">
        <v>1128</v>
      </c>
      <c r="X23" s="17">
        <v>236327</v>
      </c>
      <c r="Y23" s="17">
        <v>30083</v>
      </c>
      <c r="Z23" s="17">
        <v>0</v>
      </c>
      <c r="AA23" s="17">
        <v>913.22580645161293</v>
      </c>
      <c r="AB23" s="17">
        <v>1087.4193548387098</v>
      </c>
      <c r="AC23" s="17">
        <v>205575</v>
      </c>
      <c r="AD23" s="17">
        <v>31811</v>
      </c>
      <c r="AE23" s="17">
        <v>0</v>
      </c>
      <c r="AF23" s="17">
        <v>923.16666666666663</v>
      </c>
      <c r="AG23" s="17">
        <v>1071.6666666666667</v>
      </c>
      <c r="AH23" s="17">
        <v>217850</v>
      </c>
      <c r="AI23" s="17">
        <v>33443</v>
      </c>
      <c r="AJ23" s="17">
        <v>0</v>
      </c>
      <c r="AK23" s="17">
        <v>923.22580645161293</v>
      </c>
      <c r="AL23" s="17">
        <v>1090</v>
      </c>
      <c r="AM23" s="17">
        <v>236144</v>
      </c>
      <c r="AN23" s="17">
        <v>35753</v>
      </c>
      <c r="AO23" s="17">
        <v>0</v>
      </c>
      <c r="AP23" s="17">
        <v>911.61290322580646</v>
      </c>
      <c r="AQ23" s="17">
        <v>1109.3548387096773</v>
      </c>
      <c r="AR23" s="17">
        <v>259862</v>
      </c>
      <c r="AS23" s="17">
        <v>31353</v>
      </c>
      <c r="AT23" s="17">
        <v>0</v>
      </c>
      <c r="AU23" s="17">
        <v>892.66666666666663</v>
      </c>
      <c r="AV23" s="17">
        <v>1100</v>
      </c>
      <c r="AW23" s="17">
        <v>246246</v>
      </c>
      <c r="AX23" s="17">
        <v>28662</v>
      </c>
      <c r="AY23" s="17">
        <v>0</v>
      </c>
      <c r="AZ23" s="17">
        <v>913.22580645161293</v>
      </c>
      <c r="BA23" s="17">
        <v>1089.6774193548388</v>
      </c>
      <c r="BB23" s="17">
        <v>211760</v>
      </c>
      <c r="BC23" s="17">
        <v>35542</v>
      </c>
      <c r="BD23" s="17">
        <v>0</v>
      </c>
      <c r="BE23" s="17">
        <v>923.5</v>
      </c>
      <c r="BF23" s="17">
        <v>1060.3333333333333</v>
      </c>
      <c r="BG23" s="17">
        <v>255122</v>
      </c>
      <c r="BH23" s="17">
        <v>29384</v>
      </c>
      <c r="BI23" s="17">
        <v>0</v>
      </c>
      <c r="BJ23" s="17">
        <v>895.32258064516134</v>
      </c>
      <c r="BK23" s="17">
        <v>1049.6774193548388</v>
      </c>
    </row>
    <row r="24" spans="1:63" x14ac:dyDescent="0.35">
      <c r="A24" s="41">
        <v>20</v>
      </c>
      <c r="B24" s="41" t="s">
        <v>240</v>
      </c>
      <c r="C24" s="43" t="s">
        <v>40</v>
      </c>
      <c r="D24" s="17">
        <v>192973</v>
      </c>
      <c r="E24" s="17">
        <v>24910</v>
      </c>
      <c r="F24" s="17">
        <v>0</v>
      </c>
      <c r="G24" s="17">
        <v>1049.0322580645161</v>
      </c>
      <c r="H24" s="17">
        <v>1200</v>
      </c>
      <c r="I24" s="17">
        <v>159669</v>
      </c>
      <c r="J24" s="17">
        <v>19037</v>
      </c>
      <c r="K24" s="17">
        <v>0</v>
      </c>
      <c r="L24" s="17">
        <v>1011.4285714285714</v>
      </c>
      <c r="M24" s="17">
        <v>1193.5714285714287</v>
      </c>
      <c r="N24" s="17">
        <v>164606</v>
      </c>
      <c r="O24" s="17">
        <v>14929</v>
      </c>
      <c r="P24" s="17">
        <v>0</v>
      </c>
      <c r="Q24" s="17">
        <v>952.25806451612902</v>
      </c>
      <c r="R24" s="17">
        <v>1162.5806451612902</v>
      </c>
      <c r="S24" s="17">
        <v>153580</v>
      </c>
      <c r="T24" s="17">
        <v>15375</v>
      </c>
      <c r="U24" s="17">
        <v>0</v>
      </c>
      <c r="V24" s="17">
        <v>956.66666666666663</v>
      </c>
      <c r="W24" s="17">
        <v>1150</v>
      </c>
      <c r="X24" s="17">
        <v>148837</v>
      </c>
      <c r="Y24" s="17">
        <v>16480</v>
      </c>
      <c r="Z24" s="17">
        <v>0</v>
      </c>
      <c r="AA24" s="17">
        <v>924.51612903225805</v>
      </c>
      <c r="AB24" s="17">
        <v>1113.5483870967741</v>
      </c>
      <c r="AC24" s="17">
        <v>144546</v>
      </c>
      <c r="AD24" s="17">
        <v>17058</v>
      </c>
      <c r="AE24" s="17">
        <v>0</v>
      </c>
      <c r="AF24" s="17">
        <v>924.33333333333337</v>
      </c>
      <c r="AG24" s="17">
        <v>1100.6666666666667</v>
      </c>
      <c r="AH24" s="17">
        <v>149989</v>
      </c>
      <c r="AI24" s="17">
        <v>32714</v>
      </c>
      <c r="AJ24" s="17">
        <v>0</v>
      </c>
      <c r="AK24" s="17">
        <v>930</v>
      </c>
      <c r="AL24" s="17">
        <v>1107.4193548387098</v>
      </c>
      <c r="AM24" s="17">
        <v>155979</v>
      </c>
      <c r="AN24" s="17">
        <v>15978</v>
      </c>
      <c r="AO24" s="17">
        <v>0</v>
      </c>
      <c r="AP24" s="17">
        <v>915.48387096774195</v>
      </c>
      <c r="AQ24" s="17">
        <v>1111.2903225806451</v>
      </c>
      <c r="AR24" s="17">
        <v>159321</v>
      </c>
      <c r="AS24" s="17">
        <v>11771</v>
      </c>
      <c r="AT24" s="17">
        <v>0</v>
      </c>
      <c r="AU24" s="17">
        <v>890.66666666666663</v>
      </c>
      <c r="AV24" s="17">
        <v>1100</v>
      </c>
      <c r="AW24" s="17">
        <v>170618</v>
      </c>
      <c r="AX24" s="17">
        <v>12616</v>
      </c>
      <c r="AY24" s="17">
        <v>0</v>
      </c>
      <c r="AZ24" s="17">
        <v>923.22580645161293</v>
      </c>
      <c r="BA24" s="17">
        <v>1094.1935483870968</v>
      </c>
      <c r="BB24" s="17">
        <v>172552</v>
      </c>
      <c r="BC24" s="17">
        <v>16649</v>
      </c>
      <c r="BD24" s="17">
        <v>0</v>
      </c>
      <c r="BE24" s="17">
        <v>931.66666666666663</v>
      </c>
      <c r="BF24" s="17">
        <v>1080</v>
      </c>
      <c r="BG24" s="17">
        <v>206684</v>
      </c>
      <c r="BH24" s="17">
        <v>23635</v>
      </c>
      <c r="BI24" s="17">
        <v>0</v>
      </c>
      <c r="BJ24" s="17">
        <v>903.87096774193549</v>
      </c>
      <c r="BK24" s="17">
        <v>1065.8064516129032</v>
      </c>
    </row>
    <row r="25" spans="1:63" x14ac:dyDescent="0.35">
      <c r="A25" s="41">
        <v>21</v>
      </c>
      <c r="B25" s="41" t="s">
        <v>240</v>
      </c>
      <c r="C25" s="43" t="s">
        <v>41</v>
      </c>
      <c r="D25" s="17">
        <v>336827</v>
      </c>
      <c r="E25" s="17">
        <v>42323</v>
      </c>
      <c r="F25" s="17">
        <v>681</v>
      </c>
      <c r="G25" s="17">
        <v>1049.0322580645161</v>
      </c>
      <c r="H25" s="17">
        <v>1199.3548387096773</v>
      </c>
      <c r="I25" s="17">
        <v>216167</v>
      </c>
      <c r="J25" s="17">
        <v>37064</v>
      </c>
      <c r="K25" s="17">
        <v>424</v>
      </c>
      <c r="L25" s="17">
        <v>1011.4285714285714</v>
      </c>
      <c r="M25" s="17">
        <v>1193.5714285714287</v>
      </c>
      <c r="N25" s="17">
        <v>223231</v>
      </c>
      <c r="O25" s="17">
        <v>38667</v>
      </c>
      <c r="P25" s="17">
        <v>350</v>
      </c>
      <c r="Q25" s="17">
        <v>950.32258064516134</v>
      </c>
      <c r="R25" s="17">
        <v>1162.5806451612902</v>
      </c>
      <c r="S25" s="17">
        <v>229062</v>
      </c>
      <c r="T25" s="17">
        <v>37579</v>
      </c>
      <c r="U25" s="17">
        <v>303</v>
      </c>
      <c r="V25" s="17">
        <v>956.66666666666663</v>
      </c>
      <c r="W25" s="17">
        <v>1150</v>
      </c>
      <c r="X25" s="17">
        <v>214235</v>
      </c>
      <c r="Y25" s="17">
        <v>33490</v>
      </c>
      <c r="Z25" s="17">
        <v>382</v>
      </c>
      <c r="AA25" s="17">
        <v>921.29032258064512</v>
      </c>
      <c r="AB25" s="17">
        <v>1113.5483870967741</v>
      </c>
      <c r="AC25" s="17">
        <v>208503</v>
      </c>
      <c r="AD25" s="17">
        <v>30851</v>
      </c>
      <c r="AE25" s="17">
        <v>318</v>
      </c>
      <c r="AF25" s="17">
        <v>921.33333333333337</v>
      </c>
      <c r="AG25" s="17">
        <v>1100.6666666666667</v>
      </c>
      <c r="AH25" s="17">
        <v>225412</v>
      </c>
      <c r="AI25" s="17">
        <v>30423</v>
      </c>
      <c r="AJ25" s="17">
        <v>1307</v>
      </c>
      <c r="AK25" s="17">
        <v>920.32258064516134</v>
      </c>
      <c r="AL25" s="17">
        <v>1107.4193548387098</v>
      </c>
      <c r="AM25" s="17">
        <v>236469</v>
      </c>
      <c r="AN25" s="17">
        <v>24786</v>
      </c>
      <c r="AO25" s="17">
        <v>432</v>
      </c>
      <c r="AP25" s="17">
        <v>915.16129032258061</v>
      </c>
      <c r="AQ25" s="17">
        <v>1111.1290322580646</v>
      </c>
      <c r="AR25" s="17">
        <v>238363</v>
      </c>
      <c r="AS25" s="17">
        <v>16218</v>
      </c>
      <c r="AT25" s="17">
        <v>70</v>
      </c>
      <c r="AU25" s="17">
        <v>890.66666666666663</v>
      </c>
      <c r="AV25" s="17">
        <v>1100</v>
      </c>
      <c r="AW25" s="17">
        <v>263241</v>
      </c>
      <c r="AX25" s="17">
        <v>20516</v>
      </c>
      <c r="AY25" s="17">
        <v>18</v>
      </c>
      <c r="AZ25" s="17">
        <v>923.22580645161293</v>
      </c>
      <c r="BA25" s="17">
        <v>1094.1935483870968</v>
      </c>
      <c r="BB25" s="17">
        <v>263842</v>
      </c>
      <c r="BC25" s="17">
        <v>33297</v>
      </c>
      <c r="BD25" s="17">
        <v>806</v>
      </c>
      <c r="BE25" s="17">
        <v>931.66666666666663</v>
      </c>
      <c r="BF25" s="17">
        <v>1080</v>
      </c>
      <c r="BG25" s="17">
        <v>309827</v>
      </c>
      <c r="BH25" s="17">
        <v>45842</v>
      </c>
      <c r="BI25" s="17">
        <v>377</v>
      </c>
      <c r="BJ25" s="17">
        <v>903.87096774193549</v>
      </c>
      <c r="BK25" s="17">
        <v>1065.8064516129032</v>
      </c>
    </row>
    <row r="26" spans="1:63" x14ac:dyDescent="0.35">
      <c r="A26" s="41">
        <v>22</v>
      </c>
      <c r="B26" s="41" t="s">
        <v>240</v>
      </c>
      <c r="C26" s="43" t="s">
        <v>42</v>
      </c>
      <c r="D26" s="17">
        <v>222609</v>
      </c>
      <c r="E26" s="17">
        <v>14365</v>
      </c>
      <c r="F26" s="17">
        <v>734</v>
      </c>
      <c r="G26" s="17">
        <v>1049.0322580645161</v>
      </c>
      <c r="H26" s="17">
        <v>1200</v>
      </c>
      <c r="I26" s="17">
        <v>149468</v>
      </c>
      <c r="J26" s="17">
        <v>9469</v>
      </c>
      <c r="K26" s="17">
        <v>946</v>
      </c>
      <c r="L26" s="17">
        <v>1011.4285714285714</v>
      </c>
      <c r="M26" s="17">
        <v>1193.5714285714287</v>
      </c>
      <c r="N26" s="17">
        <v>168567</v>
      </c>
      <c r="O26" s="17">
        <v>11474</v>
      </c>
      <c r="P26" s="17">
        <v>653</v>
      </c>
      <c r="Q26" s="17">
        <v>952.25806451612902</v>
      </c>
      <c r="R26" s="17">
        <v>1162.5806451612902</v>
      </c>
      <c r="S26" s="17">
        <v>168482</v>
      </c>
      <c r="T26" s="17">
        <v>12563</v>
      </c>
      <c r="U26" s="17">
        <v>528</v>
      </c>
      <c r="V26" s="17">
        <v>956.66666666666663</v>
      </c>
      <c r="W26" s="17">
        <v>1150</v>
      </c>
      <c r="X26" s="17">
        <v>154897</v>
      </c>
      <c r="Y26" s="17">
        <v>8330</v>
      </c>
      <c r="Z26" s="17">
        <v>732</v>
      </c>
      <c r="AA26" s="17">
        <v>924.51612903225805</v>
      </c>
      <c r="AB26" s="17">
        <v>1113.5483870967741</v>
      </c>
      <c r="AC26" s="17">
        <v>158378</v>
      </c>
      <c r="AD26" s="17">
        <v>8050</v>
      </c>
      <c r="AE26" s="17">
        <v>925</v>
      </c>
      <c r="AF26" s="17">
        <v>923.33333333333337</v>
      </c>
      <c r="AG26" s="17">
        <v>1100.6666666666667</v>
      </c>
      <c r="AH26" s="17">
        <v>156015</v>
      </c>
      <c r="AI26" s="17">
        <v>11845</v>
      </c>
      <c r="AJ26" s="17">
        <v>1108</v>
      </c>
      <c r="AK26" s="17">
        <v>930</v>
      </c>
      <c r="AL26" s="17">
        <v>1107.4193548387098</v>
      </c>
      <c r="AM26" s="17">
        <v>185705</v>
      </c>
      <c r="AN26" s="17">
        <v>12877</v>
      </c>
      <c r="AO26" s="17">
        <v>876</v>
      </c>
      <c r="AP26" s="17">
        <v>915.48387096774195</v>
      </c>
      <c r="AQ26" s="17">
        <v>1111.1290322580646</v>
      </c>
      <c r="AR26" s="17">
        <v>205445</v>
      </c>
      <c r="AS26" s="17">
        <v>10970</v>
      </c>
      <c r="AT26" s="17">
        <v>924</v>
      </c>
      <c r="AU26" s="17">
        <v>890.66666666666663</v>
      </c>
      <c r="AV26" s="17">
        <v>1100</v>
      </c>
      <c r="AW26" s="17">
        <v>209210</v>
      </c>
      <c r="AX26" s="17">
        <v>13854</v>
      </c>
      <c r="AY26" s="17">
        <v>1145</v>
      </c>
      <c r="AZ26" s="17">
        <v>923.22580645161293</v>
      </c>
      <c r="BA26" s="17">
        <v>1094.1935483870968</v>
      </c>
      <c r="BB26" s="17">
        <v>215176</v>
      </c>
      <c r="BC26" s="17">
        <v>15441</v>
      </c>
      <c r="BD26" s="17">
        <v>748</v>
      </c>
      <c r="BE26" s="17">
        <v>931.66666666666663</v>
      </c>
      <c r="BF26" s="17">
        <v>1080</v>
      </c>
      <c r="BG26" s="17">
        <v>272927</v>
      </c>
      <c r="BH26" s="17">
        <v>25147</v>
      </c>
      <c r="BI26" s="17">
        <v>780</v>
      </c>
      <c r="BJ26" s="17">
        <v>903.87096774193549</v>
      </c>
      <c r="BK26" s="17">
        <v>1065.8064516129032</v>
      </c>
    </row>
    <row r="27" spans="1:63" x14ac:dyDescent="0.35">
      <c r="A27" s="41">
        <v>23</v>
      </c>
      <c r="B27" s="41" t="s">
        <v>240</v>
      </c>
      <c r="C27" s="43" t="s">
        <v>43</v>
      </c>
      <c r="D27" s="17">
        <v>318781</v>
      </c>
      <c r="E27" s="17">
        <v>40272</v>
      </c>
      <c r="F27" s="17">
        <v>1656</v>
      </c>
      <c r="G27" s="17">
        <v>1052.258064516129</v>
      </c>
      <c r="H27" s="17">
        <v>1190</v>
      </c>
      <c r="I27" s="17">
        <v>204333</v>
      </c>
      <c r="J27" s="17">
        <v>34086</v>
      </c>
      <c r="K27" s="17">
        <v>1620</v>
      </c>
      <c r="L27" s="17">
        <v>1014.2857142857143</v>
      </c>
      <c r="M27" s="17">
        <v>1186.7857142857142</v>
      </c>
      <c r="N27" s="17">
        <v>221873</v>
      </c>
      <c r="O27" s="17">
        <v>30881</v>
      </c>
      <c r="P27" s="17">
        <v>1623</v>
      </c>
      <c r="Q27" s="17">
        <v>952.25806451612902</v>
      </c>
      <c r="R27" s="17">
        <v>1162.5806451612902</v>
      </c>
      <c r="S27" s="17">
        <v>239440</v>
      </c>
      <c r="T27" s="17">
        <v>33527</v>
      </c>
      <c r="U27" s="17">
        <v>1964</v>
      </c>
      <c r="V27" s="17">
        <v>956.66666666666663</v>
      </c>
      <c r="W27" s="17">
        <v>1150</v>
      </c>
      <c r="X27" s="17">
        <v>207090</v>
      </c>
      <c r="Y27" s="17">
        <v>32530</v>
      </c>
      <c r="Z27" s="17">
        <v>1895</v>
      </c>
      <c r="AA27" s="17">
        <v>928.70967741935488</v>
      </c>
      <c r="AB27" s="17">
        <v>1113.5483870967741</v>
      </c>
      <c r="AC27" s="17">
        <v>179460</v>
      </c>
      <c r="AD27" s="17">
        <v>29681</v>
      </c>
      <c r="AE27" s="17">
        <v>1386</v>
      </c>
      <c r="AF27" s="17">
        <v>923.33333333333337</v>
      </c>
      <c r="AG27" s="17">
        <v>1100.3333333333333</v>
      </c>
      <c r="AH27" s="17">
        <v>186518</v>
      </c>
      <c r="AI27" s="17">
        <v>28981</v>
      </c>
      <c r="AJ27" s="17">
        <v>1897</v>
      </c>
      <c r="AK27" s="17">
        <v>930</v>
      </c>
      <c r="AL27" s="17">
        <v>1107.4193548387098</v>
      </c>
      <c r="AM27" s="17">
        <v>210260</v>
      </c>
      <c r="AN27" s="17">
        <v>36835</v>
      </c>
      <c r="AO27" s="17">
        <v>2208</v>
      </c>
      <c r="AP27" s="17">
        <v>915.48387096774195</v>
      </c>
      <c r="AQ27" s="17">
        <v>1111.2903225806451</v>
      </c>
      <c r="AR27" s="17">
        <v>223466</v>
      </c>
      <c r="AS27" s="17">
        <v>31632</v>
      </c>
      <c r="AT27" s="17">
        <v>1534</v>
      </c>
      <c r="AU27" s="17">
        <v>890.66666666666663</v>
      </c>
      <c r="AV27" s="17">
        <v>1099.6666666666667</v>
      </c>
      <c r="AW27" s="17">
        <v>223477</v>
      </c>
      <c r="AX27" s="17">
        <v>85515</v>
      </c>
      <c r="AY27" s="17">
        <v>1711</v>
      </c>
      <c r="AZ27" s="17">
        <v>923.22580645161293</v>
      </c>
      <c r="BA27" s="17">
        <v>1094.1935483870968</v>
      </c>
      <c r="BB27" s="17">
        <v>203804</v>
      </c>
      <c r="BC27" s="17">
        <v>45880</v>
      </c>
      <c r="BD27" s="17">
        <v>1082</v>
      </c>
      <c r="BE27" s="17">
        <v>935.66666666666663</v>
      </c>
      <c r="BF27" s="17">
        <v>1080</v>
      </c>
      <c r="BG27" s="17">
        <v>268832</v>
      </c>
      <c r="BH27" s="17">
        <v>49351</v>
      </c>
      <c r="BI27" s="17">
        <v>1497</v>
      </c>
      <c r="BJ27" s="17">
        <v>903.87096774193549</v>
      </c>
      <c r="BK27" s="17">
        <v>1065.8064516129032</v>
      </c>
    </row>
    <row r="28" spans="1:63" x14ac:dyDescent="0.35">
      <c r="A28" s="41">
        <v>24</v>
      </c>
      <c r="B28" s="41" t="s">
        <v>233</v>
      </c>
      <c r="C28" s="43" t="s">
        <v>44</v>
      </c>
      <c r="D28" s="17">
        <v>97227</v>
      </c>
      <c r="E28" s="17">
        <v>8938</v>
      </c>
      <c r="F28" s="17">
        <v>0</v>
      </c>
      <c r="G28" s="17">
        <v>993.22580645161293</v>
      </c>
      <c r="H28" s="17">
        <v>1135.1612903225807</v>
      </c>
      <c r="I28" s="17">
        <v>91914</v>
      </c>
      <c r="J28" s="17">
        <v>8553</v>
      </c>
      <c r="K28" s="17">
        <v>0</v>
      </c>
      <c r="L28" s="17">
        <v>967.85714285714289</v>
      </c>
      <c r="M28" s="17">
        <v>1126.4285714285713</v>
      </c>
      <c r="N28" s="17">
        <v>104928</v>
      </c>
      <c r="O28" s="17">
        <v>10363</v>
      </c>
      <c r="P28" s="17">
        <v>0</v>
      </c>
      <c r="Q28" s="17">
        <v>898.45161290322585</v>
      </c>
      <c r="R28" s="17">
        <v>1120.6451612903227</v>
      </c>
      <c r="S28" s="17">
        <v>114218</v>
      </c>
      <c r="T28" s="17">
        <v>8503</v>
      </c>
      <c r="U28" s="17">
        <v>0</v>
      </c>
      <c r="V28" s="17">
        <v>918.83333333333337</v>
      </c>
      <c r="W28" s="17">
        <v>1120</v>
      </c>
      <c r="X28" s="17">
        <v>108454</v>
      </c>
      <c r="Y28" s="17">
        <v>6228</v>
      </c>
      <c r="Z28" s="17">
        <v>0</v>
      </c>
      <c r="AA28" s="17">
        <v>886.45161290322585</v>
      </c>
      <c r="AB28" s="17">
        <v>1100.6451612903227</v>
      </c>
      <c r="AC28" s="17">
        <v>100845</v>
      </c>
      <c r="AD28" s="17">
        <v>6980</v>
      </c>
      <c r="AE28" s="17">
        <v>0</v>
      </c>
      <c r="AF28" s="17">
        <v>897</v>
      </c>
      <c r="AG28" s="17">
        <v>1061.8</v>
      </c>
      <c r="AH28" s="17">
        <v>97276</v>
      </c>
      <c r="AI28" s="17">
        <v>9958</v>
      </c>
      <c r="AJ28" s="17">
        <v>0</v>
      </c>
      <c r="AK28" s="17">
        <v>888.35483870967744</v>
      </c>
      <c r="AL28" s="17">
        <v>1076.0645161290322</v>
      </c>
      <c r="AM28" s="17">
        <v>100526</v>
      </c>
      <c r="AN28" s="17">
        <v>5849</v>
      </c>
      <c r="AO28" s="17">
        <v>0</v>
      </c>
      <c r="AP28" s="17">
        <v>879.77419354838707</v>
      </c>
      <c r="AQ28" s="17">
        <v>1072.9032258064517</v>
      </c>
      <c r="AR28" s="17">
        <v>101980</v>
      </c>
      <c r="AS28" s="17">
        <v>10187</v>
      </c>
      <c r="AT28" s="17">
        <v>0</v>
      </c>
      <c r="AU28" s="17">
        <v>866</v>
      </c>
      <c r="AV28" s="17">
        <v>1050</v>
      </c>
      <c r="AW28" s="17">
        <v>110203</v>
      </c>
      <c r="AX28" s="17">
        <v>8707</v>
      </c>
      <c r="AY28" s="17">
        <v>0</v>
      </c>
      <c r="AZ28" s="17">
        <v>900.48387096774195</v>
      </c>
      <c r="BA28" s="17">
        <v>1039.516129032258</v>
      </c>
      <c r="BB28" s="17">
        <v>99798</v>
      </c>
      <c r="BC28" s="17">
        <v>11248</v>
      </c>
      <c r="BD28" s="17">
        <v>0</v>
      </c>
      <c r="BE28" s="17">
        <v>912.33333333333337</v>
      </c>
      <c r="BF28" s="17">
        <v>1025</v>
      </c>
      <c r="BG28" s="17">
        <v>88764</v>
      </c>
      <c r="BH28" s="17">
        <v>9587</v>
      </c>
      <c r="BI28" s="17">
        <v>0</v>
      </c>
      <c r="BJ28" s="17">
        <v>897.74193548387098</v>
      </c>
      <c r="BK28" s="17">
        <v>1015.6451612903226</v>
      </c>
    </row>
    <row r="29" spans="1:63" x14ac:dyDescent="0.35">
      <c r="A29" s="41">
        <v>25</v>
      </c>
      <c r="B29" s="41" t="s">
        <v>241</v>
      </c>
      <c r="C29" s="44" t="s">
        <v>45</v>
      </c>
      <c r="D29" s="17">
        <v>131943</v>
      </c>
      <c r="E29" s="17">
        <v>9630</v>
      </c>
      <c r="F29" s="17">
        <v>0</v>
      </c>
      <c r="G29" s="17">
        <v>1014.4516129032259</v>
      </c>
      <c r="H29" s="17">
        <v>1190</v>
      </c>
      <c r="I29" s="17">
        <v>115546</v>
      </c>
      <c r="J29" s="17">
        <v>13556</v>
      </c>
      <c r="K29" s="17">
        <v>0</v>
      </c>
      <c r="L29" s="17">
        <v>1007.25</v>
      </c>
      <c r="M29" s="17">
        <v>1177.8571428571429</v>
      </c>
      <c r="N29" s="17">
        <v>106250</v>
      </c>
      <c r="O29" s="17">
        <v>11141</v>
      </c>
      <c r="P29" s="17">
        <v>0</v>
      </c>
      <c r="Q29" s="17">
        <v>949.58064516129036</v>
      </c>
      <c r="R29" s="17">
        <v>1162.9032258064517</v>
      </c>
      <c r="S29" s="17">
        <v>146153</v>
      </c>
      <c r="T29" s="17">
        <v>19561</v>
      </c>
      <c r="U29" s="17">
        <v>0</v>
      </c>
      <c r="V29" s="17">
        <v>952.33333333333337</v>
      </c>
      <c r="W29" s="17">
        <v>1153.3333333333333</v>
      </c>
      <c r="X29" s="17">
        <v>150953</v>
      </c>
      <c r="Y29" s="17">
        <v>24580</v>
      </c>
      <c r="Z29" s="17">
        <v>0</v>
      </c>
      <c r="AA29" s="17">
        <v>919.35483870967744</v>
      </c>
      <c r="AB29" s="17">
        <v>1127.4193548387098</v>
      </c>
      <c r="AC29" s="17">
        <v>139320</v>
      </c>
      <c r="AD29" s="17">
        <v>24315</v>
      </c>
      <c r="AE29" s="17">
        <v>0</v>
      </c>
      <c r="AF29" s="17">
        <v>923.66666666666663</v>
      </c>
      <c r="AG29" s="17">
        <v>1105.6666666666667</v>
      </c>
      <c r="AH29" s="17">
        <v>161593</v>
      </c>
      <c r="AI29" s="17">
        <v>20589</v>
      </c>
      <c r="AJ29" s="17">
        <v>0</v>
      </c>
      <c r="AK29" s="17">
        <v>918.06451612903231</v>
      </c>
      <c r="AL29" s="17">
        <v>1105.1612903225807</v>
      </c>
      <c r="AM29" s="17">
        <v>152734</v>
      </c>
      <c r="AN29" s="17">
        <v>17183</v>
      </c>
      <c r="AO29" s="17">
        <v>0</v>
      </c>
      <c r="AP29" s="17">
        <v>921.45161290322585</v>
      </c>
      <c r="AQ29" s="17">
        <v>1121.9354838709678</v>
      </c>
      <c r="AR29" s="17">
        <v>204877</v>
      </c>
      <c r="AS29" s="17">
        <v>23134</v>
      </c>
      <c r="AT29" s="17">
        <v>0</v>
      </c>
      <c r="AU29" s="17">
        <v>901.66666666666663</v>
      </c>
      <c r="AV29" s="17">
        <v>1110.6666666666667</v>
      </c>
      <c r="AW29" s="17">
        <v>296460</v>
      </c>
      <c r="AX29" s="17">
        <v>19944</v>
      </c>
      <c r="AY29" s="17">
        <v>0</v>
      </c>
      <c r="AZ29" s="17">
        <v>943.06451612903231</v>
      </c>
      <c r="BA29" s="17">
        <v>1098.3870967741937</v>
      </c>
      <c r="BB29" s="17">
        <v>185759</v>
      </c>
      <c r="BC29" s="17">
        <v>14416</v>
      </c>
      <c r="BD29" s="17">
        <v>415</v>
      </c>
      <c r="BE29" s="17">
        <v>950</v>
      </c>
      <c r="BF29" s="17">
        <v>1050</v>
      </c>
      <c r="BG29" s="17">
        <v>144586</v>
      </c>
      <c r="BH29" s="17">
        <v>15667</v>
      </c>
      <c r="BI29" s="17">
        <v>0</v>
      </c>
      <c r="BJ29" s="17">
        <v>925</v>
      </c>
      <c r="BK29" s="17">
        <v>1050</v>
      </c>
    </row>
    <row r="30" spans="1:63" x14ac:dyDescent="0.35">
      <c r="A30" s="41">
        <v>26</v>
      </c>
      <c r="B30" s="41" t="s">
        <v>242</v>
      </c>
      <c r="C30" s="43" t="s">
        <v>46</v>
      </c>
      <c r="D30" s="17">
        <v>117109</v>
      </c>
      <c r="E30" s="17">
        <v>45501</v>
      </c>
      <c r="F30" s="17">
        <v>0</v>
      </c>
      <c r="G30" s="17">
        <v>1008.7096774193549</v>
      </c>
      <c r="H30" s="17">
        <v>1158.0645161290322</v>
      </c>
      <c r="I30" s="17">
        <v>102059</v>
      </c>
      <c r="J30" s="17">
        <v>49828</v>
      </c>
      <c r="K30" s="17">
        <v>0</v>
      </c>
      <c r="L30" s="17">
        <v>998.92857142857144</v>
      </c>
      <c r="M30" s="17">
        <v>1150</v>
      </c>
      <c r="N30" s="17">
        <v>103930</v>
      </c>
      <c r="O30" s="17">
        <v>33535</v>
      </c>
      <c r="P30" s="17">
        <v>0</v>
      </c>
      <c r="Q30" s="17">
        <v>940.32258064516134</v>
      </c>
      <c r="R30" s="17">
        <v>1150</v>
      </c>
      <c r="S30" s="17">
        <v>118707</v>
      </c>
      <c r="T30" s="17">
        <v>31987</v>
      </c>
      <c r="U30" s="17">
        <v>0</v>
      </c>
      <c r="V30" s="17">
        <v>944.33333333333337</v>
      </c>
      <c r="W30" s="17">
        <v>1126.3333333333333</v>
      </c>
      <c r="X30" s="17">
        <v>108497</v>
      </c>
      <c r="Y30" s="17">
        <v>27041</v>
      </c>
      <c r="Z30" s="17">
        <v>0</v>
      </c>
      <c r="AA30" s="17">
        <v>913.22580645161293</v>
      </c>
      <c r="AB30" s="17">
        <v>1076.1290322580646</v>
      </c>
      <c r="AC30" s="17">
        <v>93818</v>
      </c>
      <c r="AD30" s="17">
        <v>16948</v>
      </c>
      <c r="AE30" s="17">
        <v>0</v>
      </c>
      <c r="AF30" s="17">
        <v>923.5</v>
      </c>
      <c r="AG30" s="17">
        <v>1076</v>
      </c>
      <c r="AH30" s="17">
        <v>82707</v>
      </c>
      <c r="AI30" s="17">
        <v>23085</v>
      </c>
      <c r="AJ30" s="17">
        <v>0</v>
      </c>
      <c r="AK30" s="17">
        <v>920</v>
      </c>
      <c r="AL30" s="17">
        <v>1090</v>
      </c>
      <c r="AM30" s="17">
        <v>76371</v>
      </c>
      <c r="AN30" s="17">
        <v>25181</v>
      </c>
      <c r="AO30" s="17">
        <v>0</v>
      </c>
      <c r="AP30" s="17">
        <v>910</v>
      </c>
      <c r="AQ30" s="17">
        <v>1109.3548387096773</v>
      </c>
      <c r="AR30" s="17">
        <v>73641</v>
      </c>
      <c r="AS30" s="17">
        <v>15694</v>
      </c>
      <c r="AT30" s="17">
        <v>0</v>
      </c>
      <c r="AU30" s="17">
        <v>891.66666666666663</v>
      </c>
      <c r="AV30" s="17">
        <v>1100</v>
      </c>
      <c r="AW30" s="17">
        <v>74089</v>
      </c>
      <c r="AX30" s="17">
        <v>10447</v>
      </c>
      <c r="AY30" s="17">
        <v>0</v>
      </c>
      <c r="AZ30" s="17">
        <v>912.09677419354841</v>
      </c>
      <c r="BA30" s="17">
        <v>1087.741935483871</v>
      </c>
      <c r="BB30" s="17">
        <v>95761</v>
      </c>
      <c r="BC30" s="17">
        <v>15009</v>
      </c>
      <c r="BD30" s="17">
        <v>0</v>
      </c>
      <c r="BE30" s="17">
        <v>919.16666666666663</v>
      </c>
      <c r="BF30" s="17">
        <v>1063.3333333333333</v>
      </c>
      <c r="BG30" s="17">
        <v>125695</v>
      </c>
      <c r="BH30" s="17">
        <v>16086</v>
      </c>
      <c r="BI30" s="17">
        <v>0</v>
      </c>
      <c r="BJ30" s="17">
        <v>895.32258064516134</v>
      </c>
      <c r="BK30" s="17">
        <v>1044.8387096774193</v>
      </c>
    </row>
    <row r="31" spans="1:63" x14ac:dyDescent="0.35">
      <c r="A31" s="41">
        <v>27</v>
      </c>
      <c r="B31" s="41" t="s">
        <v>242</v>
      </c>
      <c r="C31" s="43" t="s">
        <v>47</v>
      </c>
      <c r="D31" s="17">
        <v>229581</v>
      </c>
      <c r="E31" s="17">
        <v>24057</v>
      </c>
      <c r="F31" s="17">
        <v>0</v>
      </c>
      <c r="G31" s="17">
        <v>1011.2903225806451</v>
      </c>
      <c r="H31" s="17">
        <v>1158.0645161290322</v>
      </c>
      <c r="I31" s="17">
        <v>214700</v>
      </c>
      <c r="J31" s="17">
        <v>26955</v>
      </c>
      <c r="K31" s="17">
        <v>0</v>
      </c>
      <c r="L31" s="17">
        <v>998.92857142857144</v>
      </c>
      <c r="M31" s="17">
        <v>1150</v>
      </c>
      <c r="N31" s="17">
        <v>225934</v>
      </c>
      <c r="O31" s="17">
        <v>27464</v>
      </c>
      <c r="P31" s="17">
        <v>0</v>
      </c>
      <c r="Q31" s="17">
        <v>940.32258064516134</v>
      </c>
      <c r="R31" s="17">
        <v>1150</v>
      </c>
      <c r="S31" s="17">
        <v>219475</v>
      </c>
      <c r="T31" s="17">
        <v>19916</v>
      </c>
      <c r="U31" s="17">
        <v>0</v>
      </c>
      <c r="V31" s="17">
        <v>944.66666666666663</v>
      </c>
      <c r="W31" s="17">
        <v>1126.3333333333333</v>
      </c>
      <c r="X31" s="17">
        <v>199122</v>
      </c>
      <c r="Y31" s="17">
        <v>22528</v>
      </c>
      <c r="Z31" s="17">
        <v>0</v>
      </c>
      <c r="AA31" s="17">
        <v>913.22580645161293</v>
      </c>
      <c r="AB31" s="17">
        <v>1075.8064516129032</v>
      </c>
      <c r="AC31" s="17">
        <v>171472</v>
      </c>
      <c r="AD31" s="17">
        <v>14953</v>
      </c>
      <c r="AE31" s="17">
        <v>0</v>
      </c>
      <c r="AF31" s="17">
        <v>923.5</v>
      </c>
      <c r="AG31" s="17">
        <v>1076</v>
      </c>
      <c r="AH31" s="17">
        <v>168400</v>
      </c>
      <c r="AI31" s="17">
        <v>19872</v>
      </c>
      <c r="AJ31" s="17">
        <v>0</v>
      </c>
      <c r="AK31" s="17">
        <v>920</v>
      </c>
      <c r="AL31" s="17">
        <v>1090</v>
      </c>
      <c r="AM31" s="17">
        <v>173314</v>
      </c>
      <c r="AN31" s="17">
        <v>20747</v>
      </c>
      <c r="AO31" s="17">
        <v>0</v>
      </c>
      <c r="AP31" s="17">
        <v>910</v>
      </c>
      <c r="AQ31" s="17">
        <v>1109.3548387096773</v>
      </c>
      <c r="AR31" s="17">
        <v>192588</v>
      </c>
      <c r="AS31" s="17">
        <v>21309</v>
      </c>
      <c r="AT31" s="17">
        <v>0</v>
      </c>
      <c r="AU31" s="17">
        <v>891.66666666666663</v>
      </c>
      <c r="AV31" s="17">
        <v>1100</v>
      </c>
      <c r="AW31" s="17">
        <v>217579</v>
      </c>
      <c r="AX31" s="17">
        <v>19729</v>
      </c>
      <c r="AY31" s="17">
        <v>0</v>
      </c>
      <c r="AZ31" s="17">
        <v>912.09677419354841</v>
      </c>
      <c r="BA31" s="17">
        <v>1087.4193548387098</v>
      </c>
      <c r="BB31" s="17">
        <v>199689</v>
      </c>
      <c r="BC31" s="17">
        <v>21177</v>
      </c>
      <c r="BD31" s="17">
        <v>0</v>
      </c>
      <c r="BE31" s="17">
        <v>919.16666666666663</v>
      </c>
      <c r="BF31" s="17">
        <v>1063.3333333333333</v>
      </c>
      <c r="BG31" s="17">
        <v>237765</v>
      </c>
      <c r="BH31" s="17">
        <v>26278</v>
      </c>
      <c r="BI31" s="17">
        <v>0</v>
      </c>
      <c r="BJ31" s="17">
        <v>895.32258064516134</v>
      </c>
      <c r="BK31" s="17">
        <v>1044.8387096774193</v>
      </c>
    </row>
    <row r="32" spans="1:63" x14ac:dyDescent="0.35">
      <c r="A32" s="41">
        <v>28</v>
      </c>
      <c r="B32" s="41" t="s">
        <v>243</v>
      </c>
      <c r="C32" s="42" t="s">
        <v>48</v>
      </c>
      <c r="D32" s="17">
        <v>137338</v>
      </c>
      <c r="E32" s="17">
        <v>3694</v>
      </c>
      <c r="F32" s="17">
        <v>687</v>
      </c>
      <c r="G32" s="17">
        <v>1045.1612903225807</v>
      </c>
      <c r="H32" s="17">
        <v>1150</v>
      </c>
      <c r="I32" s="17">
        <v>144226</v>
      </c>
      <c r="J32" s="17">
        <v>5140</v>
      </c>
      <c r="K32" s="17">
        <v>540</v>
      </c>
      <c r="L32" s="17">
        <v>1001.6071428571429</v>
      </c>
      <c r="M32" s="17">
        <v>1148.5714285714287</v>
      </c>
      <c r="N32" s="17">
        <v>157760</v>
      </c>
      <c r="O32" s="17">
        <v>7092</v>
      </c>
      <c r="P32" s="17">
        <v>700</v>
      </c>
      <c r="Q32" s="17">
        <v>944.83870967741939</v>
      </c>
      <c r="R32" s="17">
        <v>1131.6129032258063</v>
      </c>
      <c r="S32" s="17">
        <v>143197</v>
      </c>
      <c r="T32" s="17">
        <v>6063</v>
      </c>
      <c r="U32" s="17">
        <v>515</v>
      </c>
      <c r="V32" s="17">
        <v>945.33333333333337</v>
      </c>
      <c r="W32" s="17">
        <v>1112.8333333333333</v>
      </c>
      <c r="X32" s="17">
        <v>139229</v>
      </c>
      <c r="Y32" s="17">
        <v>5511</v>
      </c>
      <c r="Z32" s="17">
        <v>707</v>
      </c>
      <c r="AA32" s="17">
        <v>915.64516129032256</v>
      </c>
      <c r="AB32" s="17">
        <v>1078.3870967741937</v>
      </c>
      <c r="AC32" s="17">
        <v>130319</v>
      </c>
      <c r="AD32" s="17">
        <v>4771</v>
      </c>
      <c r="AE32" s="17">
        <v>740</v>
      </c>
      <c r="AF32" s="17">
        <v>926.16666666666663</v>
      </c>
      <c r="AG32" s="17">
        <v>1073</v>
      </c>
      <c r="AH32" s="17">
        <v>130946</v>
      </c>
      <c r="AI32" s="17">
        <v>5479</v>
      </c>
      <c r="AJ32" s="17">
        <v>952</v>
      </c>
      <c r="AK32" s="17">
        <v>923.54838709677415</v>
      </c>
      <c r="AL32" s="17">
        <v>1090</v>
      </c>
      <c r="AM32" s="17">
        <v>131440</v>
      </c>
      <c r="AN32" s="17">
        <v>6311</v>
      </c>
      <c r="AO32" s="17">
        <v>575</v>
      </c>
      <c r="AP32" s="17">
        <v>915.48387096774195</v>
      </c>
      <c r="AQ32" s="17">
        <v>1106.1290322580646</v>
      </c>
      <c r="AR32" s="17">
        <v>120103</v>
      </c>
      <c r="AS32" s="17">
        <v>5389</v>
      </c>
      <c r="AT32" s="17">
        <v>604</v>
      </c>
      <c r="AU32" s="17">
        <v>900.66666666666663</v>
      </c>
      <c r="AV32" s="17">
        <v>1100</v>
      </c>
      <c r="AW32" s="17">
        <v>87372</v>
      </c>
      <c r="AX32" s="17">
        <v>2786</v>
      </c>
      <c r="AY32" s="17">
        <v>695</v>
      </c>
      <c r="AZ32" s="17">
        <v>913.22580645161293</v>
      </c>
      <c r="BA32" s="17">
        <v>1094.8387096774193</v>
      </c>
      <c r="BB32" s="17">
        <v>93205</v>
      </c>
      <c r="BC32" s="17">
        <v>6945</v>
      </c>
      <c r="BD32" s="17">
        <v>932</v>
      </c>
      <c r="BE32" s="17">
        <v>919.5</v>
      </c>
      <c r="BF32" s="17">
        <v>1075.6666666666667</v>
      </c>
      <c r="BG32" s="17">
        <v>115254</v>
      </c>
      <c r="BH32" s="17">
        <v>6933</v>
      </c>
      <c r="BI32" s="17">
        <v>646</v>
      </c>
      <c r="BJ32" s="17">
        <v>901.45161290322585</v>
      </c>
      <c r="BK32" s="17">
        <v>1049.3548387096773</v>
      </c>
    </row>
    <row r="33" spans="1:63" x14ac:dyDescent="0.35">
      <c r="A33" s="41">
        <v>29</v>
      </c>
      <c r="B33" s="41" t="s">
        <v>231</v>
      </c>
      <c r="C33" s="42" t="s">
        <v>49</v>
      </c>
      <c r="D33" s="17">
        <v>269478</v>
      </c>
      <c r="E33" s="17">
        <v>26211</v>
      </c>
      <c r="F33" s="17">
        <v>0</v>
      </c>
      <c r="G33" s="17">
        <v>1027.9032258064517</v>
      </c>
      <c r="H33" s="17">
        <v>1192.9032258064517</v>
      </c>
      <c r="I33" s="17">
        <v>284453</v>
      </c>
      <c r="J33" s="17">
        <v>31162</v>
      </c>
      <c r="K33" s="17">
        <v>0</v>
      </c>
      <c r="L33" s="17">
        <v>1029.2857142857142</v>
      </c>
      <c r="M33" s="17">
        <v>1172.1428571428571</v>
      </c>
      <c r="N33" s="17">
        <v>355866</v>
      </c>
      <c r="O33" s="17">
        <v>35885</v>
      </c>
      <c r="P33" s="17">
        <v>581</v>
      </c>
      <c r="Q33" s="17">
        <v>970.32258064516134</v>
      </c>
      <c r="R33" s="17">
        <v>1160</v>
      </c>
      <c r="S33" s="17">
        <v>300453</v>
      </c>
      <c r="T33" s="17">
        <v>32072</v>
      </c>
      <c r="U33" s="17">
        <v>98</v>
      </c>
      <c r="V33" s="17">
        <v>963.33333333333337</v>
      </c>
      <c r="W33" s="17">
        <v>1153.6666666666667</v>
      </c>
      <c r="X33" s="17">
        <v>291637</v>
      </c>
      <c r="Y33" s="17">
        <v>34371</v>
      </c>
      <c r="Z33" s="17">
        <v>538</v>
      </c>
      <c r="AA33" s="17">
        <v>919.83870967741939</v>
      </c>
      <c r="AB33" s="17">
        <v>1104.6774193548388</v>
      </c>
      <c r="AC33" s="17">
        <v>267186</v>
      </c>
      <c r="AD33" s="17">
        <v>30983</v>
      </c>
      <c r="AE33" s="17">
        <v>775</v>
      </c>
      <c r="AF33" s="17">
        <v>931</v>
      </c>
      <c r="AG33" s="17">
        <v>1090.5</v>
      </c>
      <c r="AH33" s="17">
        <v>268707</v>
      </c>
      <c r="AI33" s="17">
        <v>42317</v>
      </c>
      <c r="AJ33" s="17">
        <v>271</v>
      </c>
      <c r="AK33" s="17">
        <v>930.80645161290317</v>
      </c>
      <c r="AL33" s="17">
        <v>1093.2258064516129</v>
      </c>
      <c r="AM33" s="17">
        <v>334131</v>
      </c>
      <c r="AN33" s="17">
        <v>35912</v>
      </c>
      <c r="AO33" s="17">
        <v>1483</v>
      </c>
      <c r="AP33" s="17">
        <v>915.9677419354839</v>
      </c>
      <c r="AQ33" s="17">
        <v>1102.5806451612902</v>
      </c>
      <c r="AR33" s="17">
        <v>280500</v>
      </c>
      <c r="AS33" s="17">
        <v>19124</v>
      </c>
      <c r="AT33" s="17">
        <v>666</v>
      </c>
      <c r="AU33" s="17">
        <v>901</v>
      </c>
      <c r="AV33" s="17">
        <v>1090</v>
      </c>
      <c r="AW33" s="17">
        <v>393838</v>
      </c>
      <c r="AX33" s="17">
        <v>35015</v>
      </c>
      <c r="AY33" s="17">
        <v>155</v>
      </c>
      <c r="AZ33" s="17">
        <v>918.38709677419354</v>
      </c>
      <c r="BA33" s="17">
        <v>1087.4193548387098</v>
      </c>
      <c r="BB33" s="17">
        <v>360354</v>
      </c>
      <c r="BC33" s="17">
        <v>31949</v>
      </c>
      <c r="BD33" s="17">
        <v>414</v>
      </c>
      <c r="BE33" s="17">
        <v>930</v>
      </c>
      <c r="BF33" s="17">
        <v>1073</v>
      </c>
      <c r="BG33" s="17">
        <v>366256</v>
      </c>
      <c r="BH33" s="17">
        <v>29679</v>
      </c>
      <c r="BI33" s="17">
        <v>722</v>
      </c>
      <c r="BJ33" s="17">
        <v>912.25806451612902</v>
      </c>
      <c r="BK33" s="17">
        <v>1054.8387096774193</v>
      </c>
    </row>
    <row r="34" spans="1:63" x14ac:dyDescent="0.35">
      <c r="A34" s="41">
        <v>30</v>
      </c>
      <c r="B34" s="41" t="s">
        <v>231</v>
      </c>
      <c r="C34" s="42" t="s">
        <v>50</v>
      </c>
      <c r="D34" s="17">
        <v>144814</v>
      </c>
      <c r="E34" s="17">
        <v>7393</v>
      </c>
      <c r="F34" s="17">
        <v>0</v>
      </c>
      <c r="G34" s="17">
        <v>1017.258064516129</v>
      </c>
      <c r="H34" s="17">
        <v>1163.8709677419354</v>
      </c>
      <c r="I34" s="17">
        <v>137290</v>
      </c>
      <c r="J34" s="17">
        <v>8906</v>
      </c>
      <c r="K34" s="17">
        <v>0</v>
      </c>
      <c r="L34" s="17">
        <v>1002.1428571428571</v>
      </c>
      <c r="M34" s="17">
        <v>1160</v>
      </c>
      <c r="N34" s="17">
        <v>145320</v>
      </c>
      <c r="O34" s="17">
        <v>11118</v>
      </c>
      <c r="P34" s="17">
        <v>0</v>
      </c>
      <c r="Q34" s="17">
        <v>929.67741935483866</v>
      </c>
      <c r="R34" s="17">
        <v>1160</v>
      </c>
      <c r="S34" s="17">
        <v>131383</v>
      </c>
      <c r="T34" s="17">
        <v>11678</v>
      </c>
      <c r="U34" s="17">
        <v>0</v>
      </c>
      <c r="V34" s="17">
        <v>951.83333333333337</v>
      </c>
      <c r="W34" s="17">
        <v>1154.6666666666667</v>
      </c>
      <c r="X34" s="17">
        <v>171656</v>
      </c>
      <c r="Y34" s="17">
        <v>20152</v>
      </c>
      <c r="Z34" s="17">
        <v>0</v>
      </c>
      <c r="AA34" s="17">
        <v>910.45161290322585</v>
      </c>
      <c r="AB34" s="17">
        <v>1094.1935483870968</v>
      </c>
      <c r="AC34" s="17">
        <v>129555</v>
      </c>
      <c r="AD34" s="17">
        <v>12263</v>
      </c>
      <c r="AE34" s="17">
        <v>0</v>
      </c>
      <c r="AF34" s="17">
        <v>918.33333333333337</v>
      </c>
      <c r="AG34" s="17">
        <v>1073.3333333333333</v>
      </c>
      <c r="AH34" s="17">
        <v>143920</v>
      </c>
      <c r="AI34" s="17">
        <v>12971</v>
      </c>
      <c r="AJ34" s="17">
        <v>0</v>
      </c>
      <c r="AK34" s="17">
        <v>917.74193548387098</v>
      </c>
      <c r="AL34" s="17">
        <v>1092.9032258064517</v>
      </c>
      <c r="AM34" s="17">
        <v>171134</v>
      </c>
      <c r="AN34" s="17">
        <v>15789</v>
      </c>
      <c r="AO34" s="17">
        <v>0</v>
      </c>
      <c r="AP34" s="17">
        <v>909.19354838709683</v>
      </c>
      <c r="AQ34" s="17">
        <v>1092.5806451612902</v>
      </c>
      <c r="AR34" s="17">
        <v>189449</v>
      </c>
      <c r="AS34" s="17">
        <v>17396</v>
      </c>
      <c r="AT34" s="17">
        <v>0</v>
      </c>
      <c r="AU34" s="17">
        <v>891.66666666666663</v>
      </c>
      <c r="AV34" s="17">
        <v>1090</v>
      </c>
      <c r="AW34" s="17">
        <v>206282</v>
      </c>
      <c r="AX34" s="17">
        <v>16567</v>
      </c>
      <c r="AY34" s="17">
        <v>0</v>
      </c>
      <c r="AZ34" s="17">
        <v>912.58064516129036</v>
      </c>
      <c r="BA34" s="17">
        <v>1087.4193548387098</v>
      </c>
      <c r="BB34" s="17">
        <v>229062</v>
      </c>
      <c r="BC34" s="17">
        <v>21794</v>
      </c>
      <c r="BD34" s="17">
        <v>0</v>
      </c>
      <c r="BE34" s="17">
        <v>920</v>
      </c>
      <c r="BF34" s="17">
        <v>1073.6666666666667</v>
      </c>
      <c r="BG34" s="17">
        <v>274341</v>
      </c>
      <c r="BH34" s="17">
        <v>25323</v>
      </c>
      <c r="BI34" s="17">
        <v>0</v>
      </c>
      <c r="BJ34" s="17">
        <v>892.25806451612902</v>
      </c>
      <c r="BK34" s="17">
        <v>1060</v>
      </c>
    </row>
    <row r="35" spans="1:63" x14ac:dyDescent="0.35">
      <c r="A35" s="41">
        <v>31</v>
      </c>
      <c r="B35" s="41" t="s">
        <v>244</v>
      </c>
      <c r="C35" s="43" t="s">
        <v>51</v>
      </c>
      <c r="D35" s="17">
        <v>206693</v>
      </c>
      <c r="E35" s="17">
        <v>20006</v>
      </c>
      <c r="F35" s="17">
        <v>0</v>
      </c>
      <c r="G35" s="17">
        <v>1036.7741935483871</v>
      </c>
      <c r="H35" s="17">
        <v>1180</v>
      </c>
      <c r="I35" s="17">
        <v>119670</v>
      </c>
      <c r="J35" s="17">
        <v>29863</v>
      </c>
      <c r="K35" s="17">
        <v>0</v>
      </c>
      <c r="L35" s="17">
        <v>1012.8571428571429</v>
      </c>
      <c r="M35" s="17">
        <v>1173.9285714285713</v>
      </c>
      <c r="N35" s="17">
        <v>157238</v>
      </c>
      <c r="O35" s="17">
        <v>28890</v>
      </c>
      <c r="P35" s="17">
        <v>0</v>
      </c>
      <c r="Q35" s="17">
        <v>962.58064516129036</v>
      </c>
      <c r="R35" s="17">
        <v>1170</v>
      </c>
      <c r="S35" s="17">
        <v>167498</v>
      </c>
      <c r="T35" s="17">
        <v>27261</v>
      </c>
      <c r="U35" s="17">
        <v>0</v>
      </c>
      <c r="V35" s="17">
        <v>957.5</v>
      </c>
      <c r="W35" s="17">
        <v>1151.6666666666667</v>
      </c>
      <c r="X35" s="17">
        <v>188825</v>
      </c>
      <c r="Y35" s="17">
        <v>35903</v>
      </c>
      <c r="Z35" s="17">
        <v>0</v>
      </c>
      <c r="AA35" s="17">
        <v>920.16129032258061</v>
      </c>
      <c r="AB35" s="17">
        <v>1111.6129032258063</v>
      </c>
      <c r="AC35" s="17">
        <v>170394</v>
      </c>
      <c r="AD35" s="17">
        <v>33755</v>
      </c>
      <c r="AE35" s="17">
        <v>0</v>
      </c>
      <c r="AF35" s="17">
        <v>922.83333333333337</v>
      </c>
      <c r="AG35" s="17">
        <v>1096.6666666666667</v>
      </c>
      <c r="AH35" s="17">
        <v>175760</v>
      </c>
      <c r="AI35" s="17">
        <v>31704</v>
      </c>
      <c r="AJ35" s="17">
        <v>0</v>
      </c>
      <c r="AK35" s="17">
        <v>918.22580645161293</v>
      </c>
      <c r="AL35" s="17">
        <v>1105.8064516129032</v>
      </c>
      <c r="AM35" s="17">
        <v>198419</v>
      </c>
      <c r="AN35" s="17">
        <v>30940</v>
      </c>
      <c r="AO35" s="17">
        <v>0</v>
      </c>
      <c r="AP35" s="17">
        <v>922.25806451612902</v>
      </c>
      <c r="AQ35" s="17">
        <v>1116.7741935483871</v>
      </c>
      <c r="AR35" s="17">
        <v>202481</v>
      </c>
      <c r="AS35" s="17">
        <v>27811</v>
      </c>
      <c r="AT35" s="17">
        <v>0</v>
      </c>
      <c r="AU35" s="17">
        <v>895.66666666666663</v>
      </c>
      <c r="AV35" s="17">
        <v>1100</v>
      </c>
      <c r="AW35" s="17">
        <v>255379</v>
      </c>
      <c r="AX35" s="17">
        <v>24949</v>
      </c>
      <c r="AY35" s="17">
        <v>0</v>
      </c>
      <c r="AZ35" s="17">
        <v>936.12903225806451</v>
      </c>
      <c r="BA35" s="17">
        <v>1097.0967741935483</v>
      </c>
      <c r="BB35" s="17">
        <v>228743</v>
      </c>
      <c r="BC35" s="17">
        <v>32449</v>
      </c>
      <c r="BD35" s="17">
        <v>0</v>
      </c>
      <c r="BE35" s="17">
        <v>946.33333333333337</v>
      </c>
      <c r="BF35" s="17">
        <v>1062</v>
      </c>
      <c r="BG35" s="17">
        <v>244555</v>
      </c>
      <c r="BH35" s="17">
        <v>31253</v>
      </c>
      <c r="BI35" s="17">
        <v>0</v>
      </c>
      <c r="BJ35" s="17">
        <v>908.22580645161293</v>
      </c>
      <c r="BK35" s="17">
        <v>1060</v>
      </c>
    </row>
    <row r="36" spans="1:63" x14ac:dyDescent="0.35">
      <c r="A36" s="41">
        <v>32</v>
      </c>
      <c r="B36" s="41" t="s">
        <v>241</v>
      </c>
      <c r="C36" s="43" t="s">
        <v>52</v>
      </c>
      <c r="D36" s="17">
        <v>131149</v>
      </c>
      <c r="E36" s="17">
        <v>18089</v>
      </c>
      <c r="F36" s="17">
        <v>0</v>
      </c>
      <c r="G36" s="17">
        <v>1017.3548387096774</v>
      </c>
      <c r="H36" s="17">
        <v>1190</v>
      </c>
      <c r="I36" s="17">
        <v>92336</v>
      </c>
      <c r="J36" s="17">
        <v>12354</v>
      </c>
      <c r="K36" s="17">
        <v>0</v>
      </c>
      <c r="L36" s="17">
        <v>1008.6785714285714</v>
      </c>
      <c r="M36" s="17">
        <v>1177.8571428571429</v>
      </c>
      <c r="N36" s="17">
        <v>98065</v>
      </c>
      <c r="O36" s="17">
        <v>11156</v>
      </c>
      <c r="P36" s="17">
        <v>0</v>
      </c>
      <c r="Q36" s="17">
        <v>949.58064516129036</v>
      </c>
      <c r="R36" s="17">
        <v>1162.9032258064517</v>
      </c>
      <c r="S36" s="17">
        <v>142469</v>
      </c>
      <c r="T36" s="17">
        <v>16992</v>
      </c>
      <c r="U36" s="17">
        <v>0</v>
      </c>
      <c r="V36" s="17">
        <v>952.33333333333337</v>
      </c>
      <c r="W36" s="17">
        <v>1153.3333333333333</v>
      </c>
      <c r="X36" s="17">
        <v>115201</v>
      </c>
      <c r="Y36" s="17">
        <v>18511</v>
      </c>
      <c r="Z36" s="17">
        <v>0</v>
      </c>
      <c r="AA36" s="17">
        <v>919.0322580645161</v>
      </c>
      <c r="AB36" s="17">
        <v>1127.4193548387098</v>
      </c>
      <c r="AC36" s="17">
        <v>137926</v>
      </c>
      <c r="AD36" s="17">
        <v>14642</v>
      </c>
      <c r="AE36" s="17">
        <v>0</v>
      </c>
      <c r="AF36" s="17">
        <v>923.66666666666663</v>
      </c>
      <c r="AG36" s="17">
        <v>1105.6666666666667</v>
      </c>
      <c r="AH36" s="17">
        <v>118782</v>
      </c>
      <c r="AI36" s="17">
        <v>16448</v>
      </c>
      <c r="AJ36" s="17">
        <v>0</v>
      </c>
      <c r="AK36" s="17">
        <v>918.06451612903231</v>
      </c>
      <c r="AL36" s="17">
        <v>1105.1612903225807</v>
      </c>
      <c r="AM36" s="17">
        <v>134418</v>
      </c>
      <c r="AN36" s="17">
        <v>13248</v>
      </c>
      <c r="AO36" s="17">
        <v>0</v>
      </c>
      <c r="AP36" s="17">
        <v>921.45161290322585</v>
      </c>
      <c r="AQ36" s="17">
        <v>1121.9354838709678</v>
      </c>
      <c r="AR36" s="17">
        <v>158458</v>
      </c>
      <c r="AS36" s="17">
        <v>14152</v>
      </c>
      <c r="AT36" s="17">
        <v>0</v>
      </c>
      <c r="AU36" s="17">
        <v>901.66666666666663</v>
      </c>
      <c r="AV36" s="17">
        <v>1110.6666666666667</v>
      </c>
      <c r="AW36" s="17">
        <v>285509</v>
      </c>
      <c r="AX36" s="17">
        <v>16626</v>
      </c>
      <c r="AY36" s="17">
        <v>0</v>
      </c>
      <c r="AZ36" s="17">
        <v>943.06451612903231</v>
      </c>
      <c r="BA36" s="17">
        <v>1098.3870967741937</v>
      </c>
      <c r="BB36" s="17">
        <v>140867</v>
      </c>
      <c r="BC36" s="17">
        <v>14317</v>
      </c>
      <c r="BD36" s="17">
        <v>0</v>
      </c>
      <c r="BE36" s="17">
        <v>950</v>
      </c>
      <c r="BF36" s="17">
        <v>1050</v>
      </c>
      <c r="BG36" s="17">
        <v>97002</v>
      </c>
      <c r="BH36" s="17">
        <v>18027</v>
      </c>
      <c r="BI36" s="17">
        <v>0</v>
      </c>
      <c r="BJ36" s="17">
        <v>925</v>
      </c>
      <c r="BK36" s="17">
        <v>1050</v>
      </c>
    </row>
    <row r="37" spans="1:63" x14ac:dyDescent="0.35">
      <c r="A37" s="41">
        <v>33</v>
      </c>
      <c r="B37" s="41" t="s">
        <v>231</v>
      </c>
      <c r="C37" s="43" t="s">
        <v>53</v>
      </c>
      <c r="D37" s="17">
        <v>192986</v>
      </c>
      <c r="E37" s="17">
        <v>12196</v>
      </c>
      <c r="F37" s="17">
        <v>0</v>
      </c>
      <c r="G37" s="17">
        <v>1017.258064516129</v>
      </c>
      <c r="H37" s="17">
        <v>1163.8709677419354</v>
      </c>
      <c r="I37" s="17">
        <v>133464</v>
      </c>
      <c r="J37" s="17">
        <v>9449</v>
      </c>
      <c r="K37" s="17">
        <v>0</v>
      </c>
      <c r="L37" s="17">
        <v>1002.1428571428571</v>
      </c>
      <c r="M37" s="17">
        <v>1160</v>
      </c>
      <c r="N37" s="17">
        <v>164109</v>
      </c>
      <c r="O37" s="17">
        <v>7575</v>
      </c>
      <c r="P37" s="17">
        <v>0</v>
      </c>
      <c r="Q37" s="17">
        <v>930</v>
      </c>
      <c r="R37" s="17">
        <v>1160</v>
      </c>
      <c r="S37" s="17">
        <v>165529</v>
      </c>
      <c r="T37" s="17">
        <v>13471</v>
      </c>
      <c r="U37" s="17">
        <v>0</v>
      </c>
      <c r="V37" s="17">
        <v>951.33333333333337</v>
      </c>
      <c r="W37" s="17">
        <v>1154.6666666666667</v>
      </c>
      <c r="X37" s="17">
        <v>186775</v>
      </c>
      <c r="Y37" s="17">
        <v>4895</v>
      </c>
      <c r="Z37" s="17">
        <v>0</v>
      </c>
      <c r="AA37" s="17">
        <v>909.48387096774195</v>
      </c>
      <c r="AB37" s="17">
        <v>1094.1935483870968</v>
      </c>
      <c r="AC37" s="17">
        <v>182272</v>
      </c>
      <c r="AD37" s="17">
        <v>26931</v>
      </c>
      <c r="AE37" s="17">
        <v>0</v>
      </c>
      <c r="AF37" s="17">
        <v>919.66666666666663</v>
      </c>
      <c r="AG37" s="17">
        <v>1073.8333333333333</v>
      </c>
      <c r="AH37" s="17">
        <v>143586</v>
      </c>
      <c r="AI37" s="17">
        <v>7343</v>
      </c>
      <c r="AJ37" s="17">
        <v>0</v>
      </c>
      <c r="AK37" s="17">
        <v>917.74193548387098</v>
      </c>
      <c r="AL37" s="17">
        <v>1092.9032258064517</v>
      </c>
      <c r="AM37" s="17">
        <v>131822</v>
      </c>
      <c r="AN37" s="17">
        <v>13746</v>
      </c>
      <c r="AO37" s="17">
        <v>0</v>
      </c>
      <c r="AP37" s="17">
        <v>909.19354838709683</v>
      </c>
      <c r="AQ37" s="17">
        <v>1092.5806451612902</v>
      </c>
      <c r="AR37" s="17">
        <v>205525</v>
      </c>
      <c r="AS37" s="17">
        <v>17179</v>
      </c>
      <c r="AT37" s="17">
        <v>0</v>
      </c>
      <c r="AU37" s="17">
        <v>891.66666666666663</v>
      </c>
      <c r="AV37" s="17">
        <v>1090</v>
      </c>
      <c r="AW37" s="17">
        <v>184781</v>
      </c>
      <c r="AX37" s="17">
        <v>8460</v>
      </c>
      <c r="AY37" s="17">
        <v>0</v>
      </c>
      <c r="AZ37" s="17">
        <v>912.58064516129036</v>
      </c>
      <c r="BA37" s="17">
        <v>1087.4193548387098</v>
      </c>
      <c r="BB37" s="17">
        <v>194259</v>
      </c>
      <c r="BC37" s="17">
        <v>20878</v>
      </c>
      <c r="BD37" s="17">
        <v>0</v>
      </c>
      <c r="BE37" s="17">
        <v>920</v>
      </c>
      <c r="BF37" s="17">
        <v>1073.3333333333333</v>
      </c>
      <c r="BG37" s="17">
        <v>213212</v>
      </c>
      <c r="BH37" s="17">
        <v>15484</v>
      </c>
      <c r="BI37" s="17">
        <v>0</v>
      </c>
      <c r="BJ37" s="17">
        <v>892.25806451612902</v>
      </c>
      <c r="BK37" s="17">
        <v>1060</v>
      </c>
    </row>
    <row r="38" spans="1:63" x14ac:dyDescent="0.35">
      <c r="A38" s="41">
        <v>34</v>
      </c>
      <c r="B38" s="41" t="s">
        <v>237</v>
      </c>
      <c r="C38" s="43" t="s">
        <v>54</v>
      </c>
      <c r="D38" s="17">
        <v>133032</v>
      </c>
      <c r="E38" s="17">
        <v>18339</v>
      </c>
      <c r="F38" s="17">
        <v>0</v>
      </c>
      <c r="G38" s="17">
        <v>1007.741935483871</v>
      </c>
      <c r="H38" s="17">
        <v>1150</v>
      </c>
      <c r="I38" s="17">
        <v>107808</v>
      </c>
      <c r="J38" s="17">
        <v>8932</v>
      </c>
      <c r="K38" s="17">
        <v>0</v>
      </c>
      <c r="L38" s="17">
        <v>1000.1785714285714</v>
      </c>
      <c r="M38" s="17">
        <v>1150</v>
      </c>
      <c r="N38" s="17">
        <v>71986</v>
      </c>
      <c r="O38" s="17">
        <v>8010</v>
      </c>
      <c r="P38" s="17">
        <v>0</v>
      </c>
      <c r="Q38" s="17">
        <v>947.41935483870964</v>
      </c>
      <c r="R38" s="17">
        <v>1141.6129032258063</v>
      </c>
      <c r="S38" s="17">
        <v>101292</v>
      </c>
      <c r="T38" s="17">
        <v>12177</v>
      </c>
      <c r="U38" s="17">
        <v>0</v>
      </c>
      <c r="V38" s="17">
        <v>944.33333333333337</v>
      </c>
      <c r="W38" s="17">
        <v>1121</v>
      </c>
      <c r="X38" s="17">
        <v>114777</v>
      </c>
      <c r="Y38" s="17">
        <v>9483</v>
      </c>
      <c r="Z38" s="17">
        <v>0</v>
      </c>
      <c r="AA38" s="17">
        <v>913.22580645161293</v>
      </c>
      <c r="AB38" s="17">
        <v>1087.4193548387098</v>
      </c>
      <c r="AC38" s="17">
        <v>106730</v>
      </c>
      <c r="AD38" s="17">
        <v>9832</v>
      </c>
      <c r="AE38" s="17">
        <v>0</v>
      </c>
      <c r="AF38" s="17">
        <v>925.83333333333337</v>
      </c>
      <c r="AG38" s="17">
        <v>1078.3333333333333</v>
      </c>
      <c r="AH38" s="17">
        <v>111504</v>
      </c>
      <c r="AI38" s="17">
        <v>6620</v>
      </c>
      <c r="AJ38" s="17">
        <v>0</v>
      </c>
      <c r="AK38" s="17">
        <v>920.64516129032256</v>
      </c>
      <c r="AL38" s="17">
        <v>1090</v>
      </c>
      <c r="AM38" s="17">
        <v>98661</v>
      </c>
      <c r="AN38" s="17">
        <v>9200</v>
      </c>
      <c r="AO38" s="17">
        <v>0</v>
      </c>
      <c r="AP38" s="17">
        <v>911.29032258064512</v>
      </c>
      <c r="AQ38" s="17">
        <v>1109.3548387096773</v>
      </c>
      <c r="AR38" s="17">
        <v>114637</v>
      </c>
      <c r="AS38" s="17">
        <v>8929</v>
      </c>
      <c r="AT38" s="17">
        <v>0</v>
      </c>
      <c r="AU38" s="17">
        <v>891.33333333333337</v>
      </c>
      <c r="AV38" s="17">
        <v>1100</v>
      </c>
      <c r="AW38" s="17">
        <v>128746</v>
      </c>
      <c r="AX38" s="17">
        <v>9232</v>
      </c>
      <c r="AY38" s="17">
        <v>0</v>
      </c>
      <c r="AZ38" s="17">
        <v>912.74193548387098</v>
      </c>
      <c r="BA38" s="17">
        <v>1088.7096774193549</v>
      </c>
      <c r="BB38" s="17">
        <v>110471</v>
      </c>
      <c r="BC38" s="17">
        <v>7726</v>
      </c>
      <c r="BD38" s="17">
        <v>0</v>
      </c>
      <c r="BE38" s="17">
        <v>919.33333333333337</v>
      </c>
      <c r="BF38" s="17">
        <v>1063.3333333333333</v>
      </c>
      <c r="BG38" s="17">
        <v>131740</v>
      </c>
      <c r="BH38" s="17">
        <v>13945</v>
      </c>
      <c r="BI38" s="17">
        <v>0</v>
      </c>
      <c r="BJ38" s="17">
        <v>895.32258064516134</v>
      </c>
      <c r="BK38" s="17">
        <v>1044.8387096774193</v>
      </c>
    </row>
    <row r="39" spans="1:63" x14ac:dyDescent="0.35">
      <c r="A39" s="41">
        <v>35</v>
      </c>
      <c r="B39" s="41" t="s">
        <v>237</v>
      </c>
      <c r="C39" s="43" t="s">
        <v>55</v>
      </c>
      <c r="D39" s="17">
        <v>166014</v>
      </c>
      <c r="E39" s="17">
        <v>14199</v>
      </c>
      <c r="F39" s="17">
        <v>0</v>
      </c>
      <c r="G39" s="17">
        <v>1007.741935483871</v>
      </c>
      <c r="H39" s="17">
        <v>1150</v>
      </c>
      <c r="I39" s="17">
        <v>132848</v>
      </c>
      <c r="J39" s="17">
        <v>16033</v>
      </c>
      <c r="K39" s="17">
        <v>0</v>
      </c>
      <c r="L39" s="17">
        <v>1000.1785714285714</v>
      </c>
      <c r="M39" s="17">
        <v>1150</v>
      </c>
      <c r="N39" s="17">
        <v>116195</v>
      </c>
      <c r="O39" s="17">
        <v>13099</v>
      </c>
      <c r="P39" s="17">
        <v>0</v>
      </c>
      <c r="Q39" s="17">
        <v>947.41935483870964</v>
      </c>
      <c r="R39" s="17">
        <v>1141.6129032258063</v>
      </c>
      <c r="S39" s="17">
        <v>121195</v>
      </c>
      <c r="T39" s="17">
        <v>11415</v>
      </c>
      <c r="U39" s="17">
        <v>0</v>
      </c>
      <c r="V39" s="17">
        <v>944.33333333333337</v>
      </c>
      <c r="W39" s="17">
        <v>1121</v>
      </c>
      <c r="X39" s="17">
        <v>117932</v>
      </c>
      <c r="Y39" s="17">
        <v>14129</v>
      </c>
      <c r="Z39" s="17">
        <v>0</v>
      </c>
      <c r="AA39" s="17">
        <v>913.22580645161293</v>
      </c>
      <c r="AB39" s="17">
        <v>1087.4193548387098</v>
      </c>
      <c r="AC39" s="17">
        <v>109371</v>
      </c>
      <c r="AD39" s="17">
        <v>7050</v>
      </c>
      <c r="AE39" s="17">
        <v>0</v>
      </c>
      <c r="AF39" s="17">
        <v>925.83333333333337</v>
      </c>
      <c r="AG39" s="17">
        <v>1078.3333333333333</v>
      </c>
      <c r="AH39" s="17">
        <v>98624</v>
      </c>
      <c r="AI39" s="17">
        <v>10454</v>
      </c>
      <c r="AJ39" s="17">
        <v>0</v>
      </c>
      <c r="AK39" s="17">
        <v>920.64516129032256</v>
      </c>
      <c r="AL39" s="17">
        <v>1090</v>
      </c>
      <c r="AM39" s="17">
        <v>91225</v>
      </c>
      <c r="AN39" s="17">
        <v>10608</v>
      </c>
      <c r="AO39" s="17">
        <v>0</v>
      </c>
      <c r="AP39" s="17">
        <v>911.29032258064512</v>
      </c>
      <c r="AQ39" s="17">
        <v>1109.3548387096773</v>
      </c>
      <c r="AR39" s="17">
        <v>106311</v>
      </c>
      <c r="AS39" s="17">
        <v>11969</v>
      </c>
      <c r="AT39" s="17">
        <v>0</v>
      </c>
      <c r="AU39" s="17">
        <v>891.66666666666663</v>
      </c>
      <c r="AV39" s="17">
        <v>1100</v>
      </c>
      <c r="AW39" s="17">
        <v>110289</v>
      </c>
      <c r="AX39" s="17">
        <v>9820</v>
      </c>
      <c r="AY39" s="17">
        <v>0</v>
      </c>
      <c r="AZ39" s="17">
        <v>912.74193548387098</v>
      </c>
      <c r="BA39" s="17">
        <v>1088.7096774193549</v>
      </c>
      <c r="BB39" s="17">
        <v>91692</v>
      </c>
      <c r="BC39" s="17">
        <v>8969</v>
      </c>
      <c r="BD39" s="17">
        <v>0</v>
      </c>
      <c r="BE39" s="17">
        <v>919.33333333333337</v>
      </c>
      <c r="BF39" s="17">
        <v>1063.3333333333333</v>
      </c>
      <c r="BG39" s="17">
        <v>92843</v>
      </c>
      <c r="BH39" s="17">
        <v>12601</v>
      </c>
      <c r="BI39" s="17">
        <v>0</v>
      </c>
      <c r="BJ39" s="17">
        <v>895.32258064516134</v>
      </c>
      <c r="BK39" s="17">
        <v>1044.8387096774193</v>
      </c>
    </row>
    <row r="40" spans="1:63" x14ac:dyDescent="0.35">
      <c r="A40" s="41">
        <v>36</v>
      </c>
      <c r="B40" s="41" t="s">
        <v>235</v>
      </c>
      <c r="C40" s="43" t="s">
        <v>56</v>
      </c>
      <c r="D40" s="17">
        <v>422023</v>
      </c>
      <c r="E40" s="17">
        <v>6790</v>
      </c>
      <c r="F40" s="17">
        <v>0</v>
      </c>
      <c r="G40" s="17">
        <v>1000</v>
      </c>
      <c r="H40" s="17">
        <v>1180.3225806451612</v>
      </c>
      <c r="I40" s="17">
        <v>406816</v>
      </c>
      <c r="J40" s="17">
        <v>7776</v>
      </c>
      <c r="K40" s="17">
        <v>0</v>
      </c>
      <c r="L40" s="17">
        <v>989.28571428571433</v>
      </c>
      <c r="M40" s="17">
        <v>1173.9285714285713</v>
      </c>
      <c r="N40" s="17">
        <v>459201</v>
      </c>
      <c r="O40" s="17">
        <v>11515</v>
      </c>
      <c r="P40" s="17">
        <v>0</v>
      </c>
      <c r="Q40" s="17">
        <v>945.80645161290317</v>
      </c>
      <c r="R40" s="17">
        <v>1170</v>
      </c>
      <c r="S40" s="17">
        <v>458506</v>
      </c>
      <c r="T40" s="17">
        <v>18095</v>
      </c>
      <c r="U40" s="17">
        <v>0</v>
      </c>
      <c r="V40" s="17">
        <v>950.66666666666663</v>
      </c>
      <c r="W40" s="17">
        <v>1159</v>
      </c>
      <c r="X40" s="17">
        <v>431373</v>
      </c>
      <c r="Y40" s="17">
        <v>13890</v>
      </c>
      <c r="Z40" s="17">
        <v>0</v>
      </c>
      <c r="AA40" s="17">
        <v>920</v>
      </c>
      <c r="AB40" s="17">
        <v>1133.8709677419354</v>
      </c>
      <c r="AC40" s="17">
        <v>376365</v>
      </c>
      <c r="AD40" s="17">
        <v>11601</v>
      </c>
      <c r="AE40" s="17">
        <v>0</v>
      </c>
      <c r="AF40" s="17">
        <v>920.66666666666663</v>
      </c>
      <c r="AG40" s="17">
        <v>1130</v>
      </c>
      <c r="AH40" s="17">
        <v>383917</v>
      </c>
      <c r="AI40" s="17">
        <v>9438</v>
      </c>
      <c r="AJ40" s="17">
        <v>0</v>
      </c>
      <c r="AK40" s="17">
        <v>916.93548387096769</v>
      </c>
      <c r="AL40" s="17">
        <v>1106.7741935483871</v>
      </c>
      <c r="AM40" s="17">
        <v>400791</v>
      </c>
      <c r="AN40" s="17">
        <v>9132</v>
      </c>
      <c r="AO40" s="17">
        <v>0</v>
      </c>
      <c r="AP40" s="17">
        <v>913.87096774193549</v>
      </c>
      <c r="AQ40" s="17">
        <v>1116.7741935483871</v>
      </c>
      <c r="AR40" s="17">
        <v>428076</v>
      </c>
      <c r="AS40" s="17">
        <v>10512</v>
      </c>
      <c r="AT40" s="17">
        <v>0</v>
      </c>
      <c r="AU40" s="17">
        <v>896.66666666666663</v>
      </c>
      <c r="AV40" s="17">
        <v>1100</v>
      </c>
      <c r="AW40" s="17">
        <v>509024</v>
      </c>
      <c r="AX40" s="17">
        <v>14951</v>
      </c>
      <c r="AY40" s="17">
        <v>0</v>
      </c>
      <c r="AZ40" s="17">
        <v>935.80645161290317</v>
      </c>
      <c r="BA40" s="17">
        <v>1087.4193548387098</v>
      </c>
      <c r="BB40" s="17">
        <v>418100</v>
      </c>
      <c r="BC40" s="17">
        <v>12351</v>
      </c>
      <c r="BD40" s="17">
        <v>0</v>
      </c>
      <c r="BE40" s="17">
        <v>944.83333333333337</v>
      </c>
      <c r="BF40" s="17">
        <v>1047.3333333333333</v>
      </c>
      <c r="BG40" s="17">
        <v>377453</v>
      </c>
      <c r="BH40" s="17">
        <v>15039</v>
      </c>
      <c r="BI40" s="17">
        <v>0</v>
      </c>
      <c r="BJ40" s="17">
        <v>917.58064516129036</v>
      </c>
      <c r="BK40" s="17">
        <v>1040</v>
      </c>
    </row>
    <row r="41" spans="1:63" x14ac:dyDescent="0.35">
      <c r="A41" s="41">
        <v>37</v>
      </c>
      <c r="B41" s="41" t="s">
        <v>237</v>
      </c>
      <c r="C41" s="43" t="s">
        <v>57</v>
      </c>
      <c r="D41" s="17">
        <v>174730</v>
      </c>
      <c r="E41" s="17">
        <v>17250</v>
      </c>
      <c r="F41" s="17">
        <v>0</v>
      </c>
      <c r="G41" s="17">
        <v>1007.741935483871</v>
      </c>
      <c r="H41" s="17">
        <v>1150</v>
      </c>
      <c r="I41" s="17">
        <v>157059</v>
      </c>
      <c r="J41" s="17">
        <v>19061</v>
      </c>
      <c r="K41" s="17">
        <v>0</v>
      </c>
      <c r="L41" s="17">
        <v>1000.1785714285714</v>
      </c>
      <c r="M41" s="17">
        <v>1150</v>
      </c>
      <c r="N41" s="17">
        <v>179332</v>
      </c>
      <c r="O41" s="17">
        <v>20495</v>
      </c>
      <c r="P41" s="17">
        <v>0</v>
      </c>
      <c r="Q41" s="17">
        <v>941.45161290322585</v>
      </c>
      <c r="R41" s="17">
        <v>1150</v>
      </c>
      <c r="S41" s="17">
        <v>217514</v>
      </c>
      <c r="T41" s="17">
        <v>15534</v>
      </c>
      <c r="U41" s="17">
        <v>0</v>
      </c>
      <c r="V41" s="17">
        <v>944.33333333333337</v>
      </c>
      <c r="W41" s="17">
        <v>1135</v>
      </c>
      <c r="X41" s="17">
        <v>206190</v>
      </c>
      <c r="Y41" s="17">
        <v>18009</v>
      </c>
      <c r="Z41" s="17">
        <v>0</v>
      </c>
      <c r="AA41" s="17">
        <v>913.22580645161293</v>
      </c>
      <c r="AB41" s="17">
        <v>1087.4193548387098</v>
      </c>
      <c r="AC41" s="17">
        <v>191063</v>
      </c>
      <c r="AD41" s="17">
        <v>17467</v>
      </c>
      <c r="AE41" s="17">
        <v>0</v>
      </c>
      <c r="AF41" s="17">
        <v>924.83333333333337</v>
      </c>
      <c r="AG41" s="17">
        <v>1079.3333333333333</v>
      </c>
      <c r="AH41" s="17">
        <v>184940</v>
      </c>
      <c r="AI41" s="17">
        <v>23415</v>
      </c>
      <c r="AJ41" s="17">
        <v>0</v>
      </c>
      <c r="AK41" s="17">
        <v>920.64516129032256</v>
      </c>
      <c r="AL41" s="17">
        <v>1090</v>
      </c>
      <c r="AM41" s="17">
        <v>191769</v>
      </c>
      <c r="AN41" s="17">
        <v>23043</v>
      </c>
      <c r="AO41" s="17">
        <v>0</v>
      </c>
      <c r="AP41" s="17">
        <v>910</v>
      </c>
      <c r="AQ41" s="17">
        <v>1109.3548387096773</v>
      </c>
      <c r="AR41" s="17">
        <v>170818</v>
      </c>
      <c r="AS41" s="17">
        <v>17334</v>
      </c>
      <c r="AT41" s="17">
        <v>0</v>
      </c>
      <c r="AU41" s="17">
        <v>892</v>
      </c>
      <c r="AV41" s="17">
        <v>1100</v>
      </c>
      <c r="AW41" s="17">
        <v>172927</v>
      </c>
      <c r="AX41" s="17">
        <v>16751</v>
      </c>
      <c r="AY41" s="17">
        <v>0</v>
      </c>
      <c r="AZ41" s="17">
        <v>913.22580645161293</v>
      </c>
      <c r="BA41" s="17">
        <v>1088.0645161290322</v>
      </c>
      <c r="BB41" s="17">
        <v>187780</v>
      </c>
      <c r="BC41" s="17">
        <v>17248</v>
      </c>
      <c r="BD41" s="17">
        <v>0</v>
      </c>
      <c r="BE41" s="17">
        <v>919.33333333333337</v>
      </c>
      <c r="BF41" s="17">
        <v>1063.3333333333333</v>
      </c>
      <c r="BG41" s="17">
        <v>205413</v>
      </c>
      <c r="BH41" s="17">
        <v>22687</v>
      </c>
      <c r="BI41" s="17">
        <v>0</v>
      </c>
      <c r="BJ41" s="17">
        <v>895.32258064516134</v>
      </c>
      <c r="BK41" s="17">
        <v>1044.8387096774193</v>
      </c>
    </row>
    <row r="42" spans="1:63" x14ac:dyDescent="0.35">
      <c r="A42" s="41">
        <v>38</v>
      </c>
      <c r="B42" s="41" t="s">
        <v>237</v>
      </c>
      <c r="C42" s="43" t="s">
        <v>58</v>
      </c>
      <c r="D42" s="17">
        <v>160399</v>
      </c>
      <c r="E42" s="17">
        <v>0</v>
      </c>
      <c r="F42" s="17">
        <v>0</v>
      </c>
      <c r="G42" s="17">
        <v>1007.741935483871</v>
      </c>
      <c r="H42" s="17">
        <v>1150</v>
      </c>
      <c r="I42" s="17">
        <v>141440</v>
      </c>
      <c r="J42" s="17">
        <v>0</v>
      </c>
      <c r="K42" s="17">
        <v>0</v>
      </c>
      <c r="L42" s="17">
        <v>1000.1785714285714</v>
      </c>
      <c r="M42" s="17">
        <v>1150</v>
      </c>
      <c r="N42" s="17">
        <v>159025</v>
      </c>
      <c r="O42" s="17">
        <v>0</v>
      </c>
      <c r="P42" s="17">
        <v>0</v>
      </c>
      <c r="Q42" s="17">
        <v>944.0322580645161</v>
      </c>
      <c r="R42" s="17">
        <v>1150</v>
      </c>
      <c r="S42" s="17">
        <v>161635</v>
      </c>
      <c r="T42" s="17">
        <v>0</v>
      </c>
      <c r="U42" s="17">
        <v>0</v>
      </c>
      <c r="V42" s="17">
        <v>944.33333333333337</v>
      </c>
      <c r="W42" s="17">
        <v>1135</v>
      </c>
      <c r="X42" s="17">
        <v>158276</v>
      </c>
      <c r="Y42" s="17">
        <v>0</v>
      </c>
      <c r="Z42" s="17">
        <v>0</v>
      </c>
      <c r="AA42" s="17">
        <v>913.22580645161293</v>
      </c>
      <c r="AB42" s="17">
        <v>1087.4193548387098</v>
      </c>
      <c r="AC42" s="17">
        <v>138239</v>
      </c>
      <c r="AD42" s="17">
        <v>0</v>
      </c>
      <c r="AE42" s="17">
        <v>0</v>
      </c>
      <c r="AF42" s="17">
        <v>924.83333333333337</v>
      </c>
      <c r="AG42" s="17">
        <v>1078.3333333333333</v>
      </c>
      <c r="AH42" s="17">
        <v>103418</v>
      </c>
      <c r="AI42" s="17">
        <v>0</v>
      </c>
      <c r="AJ42" s="17">
        <v>0</v>
      </c>
      <c r="AK42" s="17">
        <v>920.64516129032256</v>
      </c>
      <c r="AL42" s="17">
        <v>1089.6774193548388</v>
      </c>
      <c r="AM42" s="17">
        <v>123996</v>
      </c>
      <c r="AN42" s="17">
        <v>0</v>
      </c>
      <c r="AO42" s="17">
        <v>0</v>
      </c>
      <c r="AP42" s="17">
        <v>910</v>
      </c>
      <c r="AQ42" s="17">
        <v>1111.2903225806451</v>
      </c>
      <c r="AR42" s="17">
        <v>110822</v>
      </c>
      <c r="AS42" s="17">
        <v>0</v>
      </c>
      <c r="AT42" s="17">
        <v>0</v>
      </c>
      <c r="AU42" s="17">
        <v>892</v>
      </c>
      <c r="AV42" s="17">
        <v>1100</v>
      </c>
      <c r="AW42" s="17">
        <v>94780</v>
      </c>
      <c r="AX42" s="17">
        <v>0</v>
      </c>
      <c r="AY42" s="17">
        <v>0</v>
      </c>
      <c r="AZ42" s="17">
        <v>913.22580645161293</v>
      </c>
      <c r="BA42" s="17">
        <v>1088.0645161290322</v>
      </c>
      <c r="BB42" s="17">
        <v>8201</v>
      </c>
      <c r="BC42" s="17">
        <v>0</v>
      </c>
      <c r="BD42" s="17">
        <v>0</v>
      </c>
      <c r="BE42" s="17">
        <v>919.33333333333337</v>
      </c>
      <c r="BF42" s="17">
        <v>1063.6666666666667</v>
      </c>
      <c r="BG42" s="17">
        <v>10534</v>
      </c>
      <c r="BH42" s="17">
        <v>0</v>
      </c>
      <c r="BI42" s="17">
        <v>0</v>
      </c>
      <c r="BJ42" s="17">
        <v>895.32258064516134</v>
      </c>
      <c r="BK42" s="17">
        <v>1044.8387096774193</v>
      </c>
    </row>
    <row r="43" spans="1:63" x14ac:dyDescent="0.35">
      <c r="A43" s="41">
        <v>39</v>
      </c>
      <c r="B43" s="41" t="s">
        <v>242</v>
      </c>
      <c r="C43" s="43" t="s">
        <v>59</v>
      </c>
      <c r="D43" s="17">
        <v>212443</v>
      </c>
      <c r="E43" s="17">
        <v>35953</v>
      </c>
      <c r="F43" s="17">
        <v>0</v>
      </c>
      <c r="G43" s="17">
        <v>1011.2903225806451</v>
      </c>
      <c r="H43" s="17">
        <v>1158.0645161290322</v>
      </c>
      <c r="I43" s="17">
        <v>224503</v>
      </c>
      <c r="J43" s="17">
        <v>40155</v>
      </c>
      <c r="K43" s="17">
        <v>0</v>
      </c>
      <c r="L43" s="17">
        <v>998.92857142857144</v>
      </c>
      <c r="M43" s="17">
        <v>1150</v>
      </c>
      <c r="N43" s="17">
        <v>256803</v>
      </c>
      <c r="O43" s="17">
        <v>36497</v>
      </c>
      <c r="P43" s="17">
        <v>0</v>
      </c>
      <c r="Q43" s="17">
        <v>940.32258064516134</v>
      </c>
      <c r="R43" s="17">
        <v>1149.3548387096773</v>
      </c>
      <c r="S43" s="17">
        <v>222165</v>
      </c>
      <c r="T43" s="17">
        <v>28361</v>
      </c>
      <c r="U43" s="17">
        <v>0</v>
      </c>
      <c r="V43" s="17">
        <v>944.33333333333337</v>
      </c>
      <c r="W43" s="17">
        <v>1126.3333333333333</v>
      </c>
      <c r="X43" s="17">
        <v>234830</v>
      </c>
      <c r="Y43" s="17">
        <v>41191</v>
      </c>
      <c r="Z43" s="17">
        <v>0</v>
      </c>
      <c r="AA43" s="17">
        <v>913.22580645161293</v>
      </c>
      <c r="AB43" s="17">
        <v>1075.8064516129032</v>
      </c>
      <c r="AC43" s="17">
        <v>206609</v>
      </c>
      <c r="AD43" s="17">
        <v>33624</v>
      </c>
      <c r="AE43" s="17">
        <v>0</v>
      </c>
      <c r="AF43" s="17">
        <v>923.5</v>
      </c>
      <c r="AG43" s="17">
        <v>1076</v>
      </c>
      <c r="AH43" s="17">
        <v>176299</v>
      </c>
      <c r="AI43" s="17">
        <v>26778</v>
      </c>
      <c r="AJ43" s="17">
        <v>0</v>
      </c>
      <c r="AK43" s="17">
        <v>920</v>
      </c>
      <c r="AL43" s="17">
        <v>1090</v>
      </c>
      <c r="AM43" s="17">
        <v>201156</v>
      </c>
      <c r="AN43" s="17">
        <v>29801</v>
      </c>
      <c r="AO43" s="17">
        <v>0</v>
      </c>
      <c r="AP43" s="17">
        <v>910</v>
      </c>
      <c r="AQ43" s="17">
        <v>1109.3548387096773</v>
      </c>
      <c r="AR43" s="17">
        <v>194805</v>
      </c>
      <c r="AS43" s="17">
        <v>25137</v>
      </c>
      <c r="AT43" s="17">
        <v>0</v>
      </c>
      <c r="AU43" s="17">
        <v>891.66666666666663</v>
      </c>
      <c r="AV43" s="17">
        <v>1100</v>
      </c>
      <c r="AW43" s="17">
        <v>215233</v>
      </c>
      <c r="AX43" s="17">
        <v>25581</v>
      </c>
      <c r="AY43" s="17">
        <v>0</v>
      </c>
      <c r="AZ43" s="17">
        <v>912.09677419354841</v>
      </c>
      <c r="BA43" s="17">
        <v>1087.741935483871</v>
      </c>
      <c r="BB43" s="17">
        <v>228855</v>
      </c>
      <c r="BC43" s="17">
        <v>28077</v>
      </c>
      <c r="BD43" s="17">
        <v>0</v>
      </c>
      <c r="BE43" s="17">
        <v>919.16666666666663</v>
      </c>
      <c r="BF43" s="17">
        <v>1063.3333333333333</v>
      </c>
      <c r="BG43" s="17">
        <v>306233</v>
      </c>
      <c r="BH43" s="17">
        <v>36581</v>
      </c>
      <c r="BI43" s="17">
        <v>0</v>
      </c>
      <c r="BJ43" s="17">
        <v>895.32258064516134</v>
      </c>
      <c r="BK43" s="17">
        <v>1044.8387096774193</v>
      </c>
    </row>
    <row r="44" spans="1:63" x14ac:dyDescent="0.35">
      <c r="A44" s="41">
        <v>40</v>
      </c>
      <c r="B44" s="41" t="s">
        <v>242</v>
      </c>
      <c r="C44" s="43" t="s">
        <v>60</v>
      </c>
      <c r="D44" s="17">
        <v>179517</v>
      </c>
      <c r="E44" s="17">
        <v>15973</v>
      </c>
      <c r="F44" s="17">
        <v>69</v>
      </c>
      <c r="G44" s="17">
        <v>1011.2903225806451</v>
      </c>
      <c r="H44" s="17">
        <v>1158.0645161290322</v>
      </c>
      <c r="I44" s="17">
        <v>164642</v>
      </c>
      <c r="J44" s="17">
        <v>18168</v>
      </c>
      <c r="K44" s="17">
        <v>414</v>
      </c>
      <c r="L44" s="17">
        <v>998.92857142857144</v>
      </c>
      <c r="M44" s="17">
        <v>1150</v>
      </c>
      <c r="N44" s="17">
        <v>176931</v>
      </c>
      <c r="O44" s="17">
        <v>14710</v>
      </c>
      <c r="P44" s="17">
        <v>538</v>
      </c>
      <c r="Q44" s="17">
        <v>940.32258064516134</v>
      </c>
      <c r="R44" s="17">
        <v>1150</v>
      </c>
      <c r="S44" s="17">
        <v>151647</v>
      </c>
      <c r="T44" s="17">
        <v>15368</v>
      </c>
      <c r="U44" s="17">
        <v>290</v>
      </c>
      <c r="V44" s="17">
        <v>944.33333333333337</v>
      </c>
      <c r="W44" s="17">
        <v>1126.3333333333333</v>
      </c>
      <c r="X44" s="17">
        <v>140484</v>
      </c>
      <c r="Y44" s="17">
        <v>13771</v>
      </c>
      <c r="Z44" s="17">
        <v>466</v>
      </c>
      <c r="AA44" s="17">
        <v>913.22580645161293</v>
      </c>
      <c r="AB44" s="17">
        <v>1075.8064516129032</v>
      </c>
      <c r="AC44" s="17">
        <v>122213</v>
      </c>
      <c r="AD44" s="17">
        <v>10822</v>
      </c>
      <c r="AE44" s="17">
        <v>164</v>
      </c>
      <c r="AF44" s="17">
        <v>923.5</v>
      </c>
      <c r="AG44" s="17">
        <v>1076</v>
      </c>
      <c r="AH44" s="17">
        <v>112799</v>
      </c>
      <c r="AI44" s="17">
        <v>11417</v>
      </c>
      <c r="AJ44" s="17">
        <v>0</v>
      </c>
      <c r="AK44" s="17">
        <v>920</v>
      </c>
      <c r="AL44" s="17">
        <v>1090</v>
      </c>
      <c r="AM44" s="17">
        <v>111347</v>
      </c>
      <c r="AN44" s="17">
        <v>8593</v>
      </c>
      <c r="AO44" s="17">
        <v>0</v>
      </c>
      <c r="AP44" s="17">
        <v>910</v>
      </c>
      <c r="AQ44" s="17">
        <v>1109.3548387096773</v>
      </c>
      <c r="AR44" s="17">
        <v>114713</v>
      </c>
      <c r="AS44" s="17">
        <v>8035</v>
      </c>
      <c r="AT44" s="17">
        <v>0</v>
      </c>
      <c r="AU44" s="17">
        <v>891.66666666666663</v>
      </c>
      <c r="AV44" s="17">
        <v>1100</v>
      </c>
      <c r="AW44" s="17">
        <v>123996</v>
      </c>
      <c r="AX44" s="17">
        <v>9217</v>
      </c>
      <c r="AY44" s="17">
        <v>0</v>
      </c>
      <c r="AZ44" s="17">
        <v>912.09677419354841</v>
      </c>
      <c r="BA44" s="17">
        <v>1087.741935483871</v>
      </c>
      <c r="BB44" s="17">
        <v>131942</v>
      </c>
      <c r="BC44" s="17">
        <v>8883</v>
      </c>
      <c r="BD44" s="17">
        <v>0</v>
      </c>
      <c r="BE44" s="17">
        <v>919.16666666666663</v>
      </c>
      <c r="BF44" s="17">
        <v>1063.3333333333333</v>
      </c>
      <c r="BG44" s="17">
        <v>151197</v>
      </c>
      <c r="BH44" s="17">
        <v>10975</v>
      </c>
      <c r="BI44" s="17">
        <v>0</v>
      </c>
      <c r="BJ44" s="17">
        <v>895.32258064516134</v>
      </c>
      <c r="BK44" s="17">
        <v>1044.8387096774193</v>
      </c>
    </row>
    <row r="45" spans="1:63" x14ac:dyDescent="0.35">
      <c r="A45" s="41">
        <v>41</v>
      </c>
      <c r="B45" s="41" t="s">
        <v>231</v>
      </c>
      <c r="C45" s="43" t="s">
        <v>61</v>
      </c>
      <c r="D45" s="17">
        <v>230065</v>
      </c>
      <c r="E45" s="17">
        <v>18508</v>
      </c>
      <c r="F45" s="17">
        <v>0</v>
      </c>
      <c r="G45" s="17">
        <v>1013.5483870967741</v>
      </c>
      <c r="H45" s="17">
        <v>1165.1612903225807</v>
      </c>
      <c r="I45" s="17">
        <v>209481</v>
      </c>
      <c r="J45" s="17">
        <v>28287</v>
      </c>
      <c r="K45" s="17">
        <v>100</v>
      </c>
      <c r="L45" s="17">
        <v>1001.4285714285714</v>
      </c>
      <c r="M45" s="17">
        <v>1156.0714285714287</v>
      </c>
      <c r="N45" s="17">
        <v>278289</v>
      </c>
      <c r="O45" s="17">
        <v>37802</v>
      </c>
      <c r="P45" s="17">
        <v>0</v>
      </c>
      <c r="Q45" s="17">
        <v>942.58064516129036</v>
      </c>
      <c r="R45" s="17">
        <v>1150</v>
      </c>
      <c r="S45" s="17">
        <v>240211</v>
      </c>
      <c r="T45" s="17">
        <v>28581</v>
      </c>
      <c r="U45" s="17">
        <v>0</v>
      </c>
      <c r="V45" s="17">
        <v>944.33333333333337</v>
      </c>
      <c r="W45" s="17">
        <v>1145</v>
      </c>
      <c r="X45" s="17">
        <v>303304</v>
      </c>
      <c r="Y45" s="17">
        <v>41442</v>
      </c>
      <c r="Z45" s="17">
        <v>100</v>
      </c>
      <c r="AA45" s="17">
        <v>909.35483870967744</v>
      </c>
      <c r="AB45" s="17">
        <v>1092.5806451612902</v>
      </c>
      <c r="AC45" s="17">
        <v>291635</v>
      </c>
      <c r="AD45" s="17">
        <v>33530</v>
      </c>
      <c r="AE45" s="17">
        <v>0</v>
      </c>
      <c r="AF45" s="17">
        <v>920.5</v>
      </c>
      <c r="AG45" s="17">
        <v>1076</v>
      </c>
      <c r="AH45" s="17">
        <v>207208</v>
      </c>
      <c r="AI45" s="17">
        <v>42825</v>
      </c>
      <c r="AJ45" s="17">
        <v>0</v>
      </c>
      <c r="AK45" s="17">
        <v>918.70967741935488</v>
      </c>
      <c r="AL45" s="17">
        <v>1093.2258064516129</v>
      </c>
      <c r="AM45" s="17">
        <v>265181</v>
      </c>
      <c r="AN45" s="17">
        <v>19016</v>
      </c>
      <c r="AO45" s="17">
        <v>0</v>
      </c>
      <c r="AP45" s="17">
        <v>910</v>
      </c>
      <c r="AQ45" s="17">
        <v>1107.0967741935483</v>
      </c>
      <c r="AR45" s="17">
        <v>285656</v>
      </c>
      <c r="AS45" s="17">
        <v>36999</v>
      </c>
      <c r="AT45" s="17">
        <v>0</v>
      </c>
      <c r="AU45" s="17">
        <v>897.33333333333337</v>
      </c>
      <c r="AV45" s="17">
        <v>1090</v>
      </c>
      <c r="AW45" s="17">
        <v>313641</v>
      </c>
      <c r="AX45" s="17">
        <v>37399</v>
      </c>
      <c r="AY45" s="17">
        <v>0</v>
      </c>
      <c r="AZ45" s="17">
        <v>912.58064516129036</v>
      </c>
      <c r="BA45" s="17">
        <v>1087.4193548387098</v>
      </c>
      <c r="BB45" s="17">
        <v>314316</v>
      </c>
      <c r="BC45" s="17">
        <v>28209</v>
      </c>
      <c r="BD45" s="17">
        <v>0</v>
      </c>
      <c r="BE45" s="17">
        <v>920</v>
      </c>
      <c r="BF45" s="17">
        <v>1074</v>
      </c>
      <c r="BG45" s="17">
        <v>383930</v>
      </c>
      <c r="BH45" s="17">
        <v>32490</v>
      </c>
      <c r="BI45" s="17">
        <v>0</v>
      </c>
      <c r="BJ45" s="17">
        <v>892.25806451612902</v>
      </c>
      <c r="BK45" s="17">
        <v>1049.6774193548388</v>
      </c>
    </row>
    <row r="46" spans="1:63" x14ac:dyDescent="0.35">
      <c r="A46" s="41">
        <v>42</v>
      </c>
      <c r="B46" s="41" t="s">
        <v>239</v>
      </c>
      <c r="C46" s="43" t="s">
        <v>62</v>
      </c>
      <c r="D46" s="17">
        <v>307058</v>
      </c>
      <c r="E46" s="17">
        <v>71515</v>
      </c>
      <c r="F46" s="17">
        <v>1275</v>
      </c>
      <c r="G46" s="17">
        <v>1017.0967741935484</v>
      </c>
      <c r="H46" s="17">
        <v>1164.516129032258</v>
      </c>
      <c r="I46" s="17">
        <v>258992</v>
      </c>
      <c r="J46" s="17">
        <v>64536</v>
      </c>
      <c r="K46" s="17">
        <v>1680</v>
      </c>
      <c r="L46" s="17">
        <v>1001.7857142857143</v>
      </c>
      <c r="M46" s="17">
        <v>1168.9285714285713</v>
      </c>
      <c r="N46" s="17">
        <v>349895</v>
      </c>
      <c r="O46" s="17">
        <v>65395</v>
      </c>
      <c r="P46" s="17">
        <v>2504</v>
      </c>
      <c r="Q46" s="17">
        <v>942.58064516129036</v>
      </c>
      <c r="R46" s="17">
        <v>1140</v>
      </c>
      <c r="S46" s="17">
        <v>376214</v>
      </c>
      <c r="T46" s="17">
        <v>64454</v>
      </c>
      <c r="U46" s="17">
        <v>4881</v>
      </c>
      <c r="V46" s="17">
        <v>944.33333333333337</v>
      </c>
      <c r="W46" s="17">
        <v>1128</v>
      </c>
      <c r="X46" s="17">
        <v>327851</v>
      </c>
      <c r="Y46" s="17">
        <v>45822</v>
      </c>
      <c r="Z46" s="17">
        <v>2959</v>
      </c>
      <c r="AA46" s="17">
        <v>913.22580645161293</v>
      </c>
      <c r="AB46" s="17">
        <v>1087.4193548387098</v>
      </c>
      <c r="AC46" s="17">
        <v>288626</v>
      </c>
      <c r="AD46" s="17">
        <v>41834</v>
      </c>
      <c r="AE46" s="17">
        <v>1926</v>
      </c>
      <c r="AF46" s="17">
        <v>923.16666666666663</v>
      </c>
      <c r="AG46" s="17">
        <v>1071.6666666666667</v>
      </c>
      <c r="AH46" s="17">
        <v>274452</v>
      </c>
      <c r="AI46" s="17">
        <v>41532</v>
      </c>
      <c r="AJ46" s="17">
        <v>2101</v>
      </c>
      <c r="AK46" s="17">
        <v>923.22580645161293</v>
      </c>
      <c r="AL46" s="17">
        <v>1090</v>
      </c>
      <c r="AM46" s="17">
        <v>275594</v>
      </c>
      <c r="AN46" s="17">
        <v>40146</v>
      </c>
      <c r="AO46" s="17">
        <v>2119</v>
      </c>
      <c r="AP46" s="17">
        <v>911.61290322580646</v>
      </c>
      <c r="AQ46" s="17">
        <v>1109.3548387096773</v>
      </c>
      <c r="AR46" s="17">
        <v>263859</v>
      </c>
      <c r="AS46" s="17">
        <v>38416</v>
      </c>
      <c r="AT46" s="17">
        <v>2672</v>
      </c>
      <c r="AU46" s="17">
        <v>892.66666666666663</v>
      </c>
      <c r="AV46" s="17">
        <v>1100</v>
      </c>
      <c r="AW46" s="17">
        <v>280605</v>
      </c>
      <c r="AX46" s="17">
        <v>43567</v>
      </c>
      <c r="AY46" s="17">
        <v>3017</v>
      </c>
      <c r="AZ46" s="17">
        <v>913.22580645161293</v>
      </c>
      <c r="BA46" s="17">
        <v>1089.6774193548388</v>
      </c>
      <c r="BB46" s="17">
        <v>270183</v>
      </c>
      <c r="BC46" s="17">
        <v>61608</v>
      </c>
      <c r="BD46" s="17">
        <v>3056</v>
      </c>
      <c r="BE46" s="17">
        <v>923.66666666666663</v>
      </c>
      <c r="BF46" s="17">
        <v>1060</v>
      </c>
      <c r="BG46" s="17">
        <v>298296</v>
      </c>
      <c r="BH46" s="17">
        <v>45119</v>
      </c>
      <c r="BI46" s="17">
        <v>2635</v>
      </c>
      <c r="BJ46" s="17">
        <v>895.32258064516134</v>
      </c>
      <c r="BK46" s="17">
        <v>1049.6774193548388</v>
      </c>
    </row>
    <row r="47" spans="1:63" x14ac:dyDescent="0.35">
      <c r="A47" s="41">
        <v>43</v>
      </c>
      <c r="B47" s="41" t="s">
        <v>239</v>
      </c>
      <c r="C47" s="43" t="s">
        <v>63</v>
      </c>
      <c r="D47" s="17">
        <v>247323</v>
      </c>
      <c r="E47" s="17">
        <v>35351</v>
      </c>
      <c r="F47" s="17">
        <v>363</v>
      </c>
      <c r="G47" s="17">
        <v>1017.0967741935484</v>
      </c>
      <c r="H47" s="17">
        <v>1164.516129032258</v>
      </c>
      <c r="I47" s="17">
        <v>213405</v>
      </c>
      <c r="J47" s="17">
        <v>31072</v>
      </c>
      <c r="K47" s="17">
        <v>446</v>
      </c>
      <c r="L47" s="17">
        <v>1001.7857142857143</v>
      </c>
      <c r="M47" s="17">
        <v>1168.9285714285713</v>
      </c>
      <c r="N47" s="17">
        <v>230764</v>
      </c>
      <c r="O47" s="17">
        <v>28763</v>
      </c>
      <c r="P47" s="17">
        <v>413</v>
      </c>
      <c r="Q47" s="17">
        <v>942.58064516129036</v>
      </c>
      <c r="R47" s="17">
        <v>1140</v>
      </c>
      <c r="S47" s="17">
        <v>259034</v>
      </c>
      <c r="T47" s="17">
        <v>23234</v>
      </c>
      <c r="U47" s="17">
        <v>1096</v>
      </c>
      <c r="V47" s="17">
        <v>944.33333333333337</v>
      </c>
      <c r="W47" s="17">
        <v>1128</v>
      </c>
      <c r="X47" s="17">
        <v>239382</v>
      </c>
      <c r="Y47" s="17">
        <v>24457</v>
      </c>
      <c r="Z47" s="17">
        <v>440</v>
      </c>
      <c r="AA47" s="17">
        <v>913.22580645161293</v>
      </c>
      <c r="AB47" s="17">
        <v>1087.4193548387098</v>
      </c>
      <c r="AC47" s="17">
        <v>196587</v>
      </c>
      <c r="AD47" s="17">
        <v>18764</v>
      </c>
      <c r="AE47" s="17">
        <v>710</v>
      </c>
      <c r="AF47" s="17">
        <v>923.16666666666663</v>
      </c>
      <c r="AG47" s="17">
        <v>1071.6666666666667</v>
      </c>
      <c r="AH47" s="17">
        <v>185216</v>
      </c>
      <c r="AI47" s="17">
        <v>16968</v>
      </c>
      <c r="AJ47" s="17">
        <v>912</v>
      </c>
      <c r="AK47" s="17">
        <v>923.22580645161293</v>
      </c>
      <c r="AL47" s="17">
        <v>1090</v>
      </c>
      <c r="AM47" s="17">
        <v>183514</v>
      </c>
      <c r="AN47" s="17">
        <v>18417</v>
      </c>
      <c r="AO47" s="17">
        <v>360</v>
      </c>
      <c r="AP47" s="17">
        <v>911.61290322580646</v>
      </c>
      <c r="AQ47" s="17">
        <v>1109.3548387096773</v>
      </c>
      <c r="AR47" s="17">
        <v>190352</v>
      </c>
      <c r="AS47" s="17">
        <v>18985</v>
      </c>
      <c r="AT47" s="17">
        <v>848</v>
      </c>
      <c r="AU47" s="17">
        <v>892.66666666666663</v>
      </c>
      <c r="AV47" s="17">
        <v>1100</v>
      </c>
      <c r="AW47" s="17">
        <v>208214</v>
      </c>
      <c r="AX47" s="17">
        <v>18203</v>
      </c>
      <c r="AY47" s="17">
        <v>353</v>
      </c>
      <c r="AZ47" s="17">
        <v>913.22580645161293</v>
      </c>
      <c r="BA47" s="17">
        <v>1089.6774193548388</v>
      </c>
      <c r="BB47" s="17">
        <v>166696</v>
      </c>
      <c r="BC47" s="17">
        <v>20736</v>
      </c>
      <c r="BD47" s="17">
        <v>434</v>
      </c>
      <c r="BE47" s="17">
        <v>923.66666666666663</v>
      </c>
      <c r="BF47" s="17">
        <v>1060</v>
      </c>
      <c r="BG47" s="17">
        <v>171954</v>
      </c>
      <c r="BH47" s="17">
        <v>26192</v>
      </c>
      <c r="BI47" s="17">
        <v>1224</v>
      </c>
      <c r="BJ47" s="17">
        <v>895.32258064516134</v>
      </c>
      <c r="BK47" s="17">
        <v>1049.6774193548388</v>
      </c>
    </row>
    <row r="48" spans="1:63" x14ac:dyDescent="0.35">
      <c r="A48" s="41">
        <v>44</v>
      </c>
      <c r="B48" s="41" t="s">
        <v>232</v>
      </c>
      <c r="C48" s="43" t="s">
        <v>64</v>
      </c>
      <c r="D48" s="17">
        <v>115998</v>
      </c>
      <c r="E48" s="17">
        <v>8942</v>
      </c>
      <c r="F48" s="17">
        <v>44</v>
      </c>
      <c r="G48" s="17">
        <v>1046.4516129032259</v>
      </c>
      <c r="H48" s="17">
        <v>1200</v>
      </c>
      <c r="I48" s="17">
        <v>87356</v>
      </c>
      <c r="J48" s="17">
        <v>9359</v>
      </c>
      <c r="K48" s="17">
        <v>80</v>
      </c>
      <c r="L48" s="17">
        <v>1004.2857142857143</v>
      </c>
      <c r="M48" s="17">
        <v>1193.5714285714287</v>
      </c>
      <c r="N48" s="17">
        <v>101358</v>
      </c>
      <c r="O48" s="17">
        <v>13985</v>
      </c>
      <c r="P48" s="17">
        <v>48</v>
      </c>
      <c r="Q48" s="17">
        <v>943.22580645161293</v>
      </c>
      <c r="R48" s="17">
        <v>1162.5806451612902</v>
      </c>
      <c r="S48" s="17">
        <v>126374</v>
      </c>
      <c r="T48" s="17">
        <v>12715</v>
      </c>
      <c r="U48" s="17">
        <v>62</v>
      </c>
      <c r="V48" s="17">
        <v>956.66666666666663</v>
      </c>
      <c r="W48" s="17">
        <v>1150</v>
      </c>
      <c r="X48" s="17">
        <v>114799</v>
      </c>
      <c r="Y48" s="17">
        <v>9378</v>
      </c>
      <c r="Z48" s="17">
        <v>47</v>
      </c>
      <c r="AA48" s="17">
        <v>923.22580645161293</v>
      </c>
      <c r="AB48" s="17">
        <v>1130.6451612903227</v>
      </c>
      <c r="AC48" s="17">
        <v>105615</v>
      </c>
      <c r="AD48" s="17">
        <v>9432</v>
      </c>
      <c r="AE48" s="17">
        <v>6</v>
      </c>
      <c r="AF48" s="17">
        <v>926</v>
      </c>
      <c r="AG48" s="17">
        <v>1119.3333333333333</v>
      </c>
      <c r="AH48" s="17">
        <v>106604</v>
      </c>
      <c r="AI48" s="17">
        <v>14546</v>
      </c>
      <c r="AJ48" s="17">
        <v>0</v>
      </c>
      <c r="AK48" s="17">
        <v>930.32258064516134</v>
      </c>
      <c r="AL48" s="17">
        <v>1104.516129032258</v>
      </c>
      <c r="AM48" s="17">
        <v>113728</v>
      </c>
      <c r="AN48" s="17">
        <v>17379</v>
      </c>
      <c r="AO48" s="17">
        <v>10</v>
      </c>
      <c r="AP48" s="17">
        <v>920.64516129032256</v>
      </c>
      <c r="AQ48" s="17">
        <v>1111.2903225806451</v>
      </c>
      <c r="AR48" s="17">
        <v>93775</v>
      </c>
      <c r="AS48" s="17">
        <v>12616</v>
      </c>
      <c r="AT48" s="17">
        <v>83</v>
      </c>
      <c r="AU48" s="17">
        <v>900</v>
      </c>
      <c r="AV48" s="17">
        <v>1100</v>
      </c>
      <c r="AW48" s="17">
        <v>107273</v>
      </c>
      <c r="AX48" s="17">
        <v>16552</v>
      </c>
      <c r="AY48" s="17">
        <v>272</v>
      </c>
      <c r="AZ48" s="17">
        <v>923.22580645161293</v>
      </c>
      <c r="BA48" s="17">
        <v>1094.1935483870968</v>
      </c>
      <c r="BB48" s="17">
        <v>98436</v>
      </c>
      <c r="BC48" s="17">
        <v>14815</v>
      </c>
      <c r="BD48" s="17">
        <v>52</v>
      </c>
      <c r="BE48" s="17">
        <v>933.66666666666663</v>
      </c>
      <c r="BF48" s="17">
        <v>1080</v>
      </c>
      <c r="BG48" s="17">
        <v>129112</v>
      </c>
      <c r="BH48" s="17">
        <v>18140</v>
      </c>
      <c r="BI48" s="17">
        <v>70</v>
      </c>
      <c r="BJ48" s="17">
        <v>903.87096774193549</v>
      </c>
      <c r="BK48" s="17">
        <v>1053.8709677419354</v>
      </c>
    </row>
    <row r="49" spans="1:63" x14ac:dyDescent="0.35">
      <c r="A49" s="41">
        <v>45</v>
      </c>
      <c r="B49" s="41" t="s">
        <v>238</v>
      </c>
      <c r="C49" s="43" t="s">
        <v>65</v>
      </c>
      <c r="D49" s="17">
        <v>186747</v>
      </c>
      <c r="E49" s="17">
        <v>28559</v>
      </c>
      <c r="F49" s="17">
        <v>0</v>
      </c>
      <c r="G49" s="17">
        <v>1031.2903225806451</v>
      </c>
      <c r="H49" s="17">
        <v>1150</v>
      </c>
      <c r="I49" s="17">
        <v>179345</v>
      </c>
      <c r="J49" s="17">
        <v>22141</v>
      </c>
      <c r="K49" s="17">
        <v>0</v>
      </c>
      <c r="L49" s="17">
        <v>1004.6428571428571</v>
      </c>
      <c r="M49" s="17">
        <v>1148.5714285714287</v>
      </c>
      <c r="N49" s="17">
        <v>195455</v>
      </c>
      <c r="O49" s="17">
        <v>26757</v>
      </c>
      <c r="P49" s="17">
        <v>0</v>
      </c>
      <c r="Q49" s="17">
        <v>951.29032258064512</v>
      </c>
      <c r="R49" s="17">
        <v>1131.2903225806451</v>
      </c>
      <c r="S49" s="17">
        <v>199120</v>
      </c>
      <c r="T49" s="17">
        <v>19603</v>
      </c>
      <c r="U49" s="17">
        <v>0</v>
      </c>
      <c r="V49" s="17">
        <v>946.66666666666663</v>
      </c>
      <c r="W49" s="17">
        <v>1113.1666666666667</v>
      </c>
      <c r="X49" s="17">
        <v>185879</v>
      </c>
      <c r="Y49" s="17">
        <v>22895</v>
      </c>
      <c r="Z49" s="17">
        <v>0</v>
      </c>
      <c r="AA49" s="17">
        <v>915.80645161290317</v>
      </c>
      <c r="AB49" s="17">
        <v>1078.7096774193549</v>
      </c>
      <c r="AC49" s="17">
        <v>159762</v>
      </c>
      <c r="AD49" s="17">
        <v>15269</v>
      </c>
      <c r="AE49" s="17">
        <v>0</v>
      </c>
      <c r="AF49" s="17">
        <v>926.16666666666663</v>
      </c>
      <c r="AG49" s="17">
        <v>1073</v>
      </c>
      <c r="AH49" s="17">
        <v>139375</v>
      </c>
      <c r="AI49" s="17">
        <v>14927</v>
      </c>
      <c r="AJ49" s="17">
        <v>0</v>
      </c>
      <c r="AK49" s="17">
        <v>925.48387096774195</v>
      </c>
      <c r="AL49" s="17">
        <v>1090</v>
      </c>
      <c r="AM49" s="17">
        <v>127530</v>
      </c>
      <c r="AN49" s="17">
        <v>9092</v>
      </c>
      <c r="AO49" s="17">
        <v>0</v>
      </c>
      <c r="AP49" s="17">
        <v>916.61290322580646</v>
      </c>
      <c r="AQ49" s="17">
        <v>1106.1290322580646</v>
      </c>
      <c r="AR49" s="17">
        <v>125701</v>
      </c>
      <c r="AS49" s="17">
        <v>7312</v>
      </c>
      <c r="AT49" s="17">
        <v>0</v>
      </c>
      <c r="AU49" s="17">
        <v>900.33333333333337</v>
      </c>
      <c r="AV49" s="17">
        <v>1100</v>
      </c>
      <c r="AW49" s="17">
        <v>125365</v>
      </c>
      <c r="AX49" s="17">
        <v>6338</v>
      </c>
      <c r="AY49" s="17">
        <v>0</v>
      </c>
      <c r="AZ49" s="17">
        <v>916.45161290322585</v>
      </c>
      <c r="BA49" s="17">
        <v>1094.1935483870968</v>
      </c>
      <c r="BB49" s="17">
        <v>124893</v>
      </c>
      <c r="BC49" s="17">
        <v>7278</v>
      </c>
      <c r="BD49" s="17">
        <v>0</v>
      </c>
      <c r="BE49" s="17">
        <v>921.66666666666663</v>
      </c>
      <c r="BF49" s="17">
        <v>1075.6666666666667</v>
      </c>
      <c r="BG49" s="17">
        <v>143010</v>
      </c>
      <c r="BH49" s="17">
        <v>9185</v>
      </c>
      <c r="BI49" s="17">
        <v>0</v>
      </c>
      <c r="BJ49" s="17">
        <v>901.45161290322585</v>
      </c>
      <c r="BK49" s="17">
        <v>1049.0322580645161</v>
      </c>
    </row>
    <row r="50" spans="1:63" x14ac:dyDescent="0.35">
      <c r="A50" s="41">
        <v>46</v>
      </c>
      <c r="B50" s="41" t="s">
        <v>235</v>
      </c>
      <c r="C50" s="43" t="s">
        <v>66</v>
      </c>
      <c r="D50" s="17">
        <v>381950</v>
      </c>
      <c r="E50" s="17">
        <v>10323</v>
      </c>
      <c r="F50" s="17">
        <v>0</v>
      </c>
      <c r="G50" s="17">
        <v>998.70967741935488</v>
      </c>
      <c r="H50" s="17">
        <v>1177.4193548387098</v>
      </c>
      <c r="I50" s="17">
        <v>369796</v>
      </c>
      <c r="J50" s="17">
        <v>7940</v>
      </c>
      <c r="K50" s="17">
        <v>0</v>
      </c>
      <c r="L50" s="17">
        <v>989.28571428571433</v>
      </c>
      <c r="M50" s="17">
        <v>1170</v>
      </c>
      <c r="N50" s="17">
        <v>400888</v>
      </c>
      <c r="O50" s="17">
        <v>11354</v>
      </c>
      <c r="P50" s="17">
        <v>0</v>
      </c>
      <c r="Q50" s="17">
        <v>945.80645161290317</v>
      </c>
      <c r="R50" s="17">
        <v>1170</v>
      </c>
      <c r="S50" s="17">
        <v>459089</v>
      </c>
      <c r="T50" s="17">
        <v>12957</v>
      </c>
      <c r="U50" s="17">
        <v>0</v>
      </c>
      <c r="V50" s="17">
        <v>950.66666666666663</v>
      </c>
      <c r="W50" s="17">
        <v>1159</v>
      </c>
      <c r="X50" s="17">
        <v>474697</v>
      </c>
      <c r="Y50" s="17">
        <v>15082</v>
      </c>
      <c r="Z50" s="17">
        <v>0</v>
      </c>
      <c r="AA50" s="17">
        <v>920</v>
      </c>
      <c r="AB50" s="17">
        <v>1133.8709677419354</v>
      </c>
      <c r="AC50" s="17">
        <v>362429</v>
      </c>
      <c r="AD50" s="17">
        <v>5624</v>
      </c>
      <c r="AE50" s="17">
        <v>0</v>
      </c>
      <c r="AF50" s="17">
        <v>920.66666666666663</v>
      </c>
      <c r="AG50" s="17">
        <v>1130</v>
      </c>
      <c r="AH50" s="17">
        <v>392536</v>
      </c>
      <c r="AI50" s="17">
        <v>7599</v>
      </c>
      <c r="AJ50" s="17">
        <v>0</v>
      </c>
      <c r="AK50" s="17">
        <v>916.93548387096769</v>
      </c>
      <c r="AL50" s="17">
        <v>1106.7741935483871</v>
      </c>
      <c r="AM50" s="17">
        <v>388382</v>
      </c>
      <c r="AN50" s="17">
        <v>7218</v>
      </c>
      <c r="AO50" s="17">
        <v>0</v>
      </c>
      <c r="AP50" s="17">
        <v>913.87096774193549</v>
      </c>
      <c r="AQ50" s="17">
        <v>1116.7741935483871</v>
      </c>
      <c r="AR50" s="17">
        <v>440093</v>
      </c>
      <c r="AS50" s="17">
        <v>9189</v>
      </c>
      <c r="AT50" s="17">
        <v>0</v>
      </c>
      <c r="AU50" s="17">
        <v>896.66666666666663</v>
      </c>
      <c r="AV50" s="17">
        <v>1100</v>
      </c>
      <c r="AW50" s="17">
        <v>607811</v>
      </c>
      <c r="AX50" s="17">
        <v>8771</v>
      </c>
      <c r="AY50" s="17">
        <v>0</v>
      </c>
      <c r="AZ50" s="17">
        <v>936.12903225806451</v>
      </c>
      <c r="BA50" s="17">
        <v>1087.4193548387098</v>
      </c>
      <c r="BB50" s="17">
        <v>456492</v>
      </c>
      <c r="BC50" s="17">
        <v>9243</v>
      </c>
      <c r="BD50" s="17">
        <v>0</v>
      </c>
      <c r="BE50" s="17">
        <v>944.83333333333337</v>
      </c>
      <c r="BF50" s="17">
        <v>1047.3333333333333</v>
      </c>
      <c r="BG50" s="17">
        <v>438325</v>
      </c>
      <c r="BH50" s="17">
        <v>12647</v>
      </c>
      <c r="BI50" s="17">
        <v>0</v>
      </c>
      <c r="BJ50" s="17">
        <v>918.22580645161293</v>
      </c>
      <c r="BK50" s="17">
        <v>1040</v>
      </c>
    </row>
    <row r="51" spans="1:63" x14ac:dyDescent="0.35">
      <c r="A51" s="41">
        <v>47</v>
      </c>
      <c r="B51" s="41" t="s">
        <v>238</v>
      </c>
      <c r="C51" s="43" t="s">
        <v>67</v>
      </c>
      <c r="D51" s="17">
        <v>167346</v>
      </c>
      <c r="E51" s="17">
        <v>21138</v>
      </c>
      <c r="F51" s="17">
        <v>0</v>
      </c>
      <c r="G51" s="17">
        <v>1030.9677419354839</v>
      </c>
      <c r="H51" s="17">
        <v>1150</v>
      </c>
      <c r="I51" s="17">
        <v>153019</v>
      </c>
      <c r="J51" s="17">
        <v>19582</v>
      </c>
      <c r="K51" s="17">
        <v>0</v>
      </c>
      <c r="L51" s="17">
        <v>1004.4642857142857</v>
      </c>
      <c r="M51" s="17">
        <v>1148.5714285714287</v>
      </c>
      <c r="N51" s="17">
        <v>162969</v>
      </c>
      <c r="O51" s="17">
        <v>23695</v>
      </c>
      <c r="P51" s="17">
        <v>0</v>
      </c>
      <c r="Q51" s="17">
        <v>951.29032258064512</v>
      </c>
      <c r="R51" s="17">
        <v>1131.2903225806451</v>
      </c>
      <c r="S51" s="17">
        <v>150248</v>
      </c>
      <c r="T51" s="17">
        <v>22582</v>
      </c>
      <c r="U51" s="17">
        <v>0</v>
      </c>
      <c r="V51" s="17">
        <v>946.66666666666663</v>
      </c>
      <c r="W51" s="17">
        <v>1112.8333333333333</v>
      </c>
      <c r="X51" s="17">
        <v>142722</v>
      </c>
      <c r="Y51" s="17">
        <v>22257</v>
      </c>
      <c r="Z51" s="17">
        <v>0</v>
      </c>
      <c r="AA51" s="17">
        <v>915.80645161290317</v>
      </c>
      <c r="AB51" s="17">
        <v>1078.7096774193549</v>
      </c>
      <c r="AC51" s="17">
        <v>127858</v>
      </c>
      <c r="AD51" s="17">
        <v>16006</v>
      </c>
      <c r="AE51" s="17">
        <v>0</v>
      </c>
      <c r="AF51" s="17">
        <v>926.16666666666663</v>
      </c>
      <c r="AG51" s="17">
        <v>1073</v>
      </c>
      <c r="AH51" s="17">
        <v>99659</v>
      </c>
      <c r="AI51" s="17">
        <v>14911</v>
      </c>
      <c r="AJ51" s="17">
        <v>0</v>
      </c>
      <c r="AK51" s="17">
        <v>925.48387096774195</v>
      </c>
      <c r="AL51" s="17">
        <v>1090</v>
      </c>
      <c r="AM51" s="17">
        <v>120686</v>
      </c>
      <c r="AN51" s="17">
        <v>18498</v>
      </c>
      <c r="AO51" s="17">
        <v>0</v>
      </c>
      <c r="AP51" s="17">
        <v>916.61290322580646</v>
      </c>
      <c r="AQ51" s="17">
        <v>1106.1290322580646</v>
      </c>
      <c r="AR51" s="17">
        <v>132368</v>
      </c>
      <c r="AS51" s="17">
        <v>30852</v>
      </c>
      <c r="AT51" s="17">
        <v>0</v>
      </c>
      <c r="AU51" s="17">
        <v>900.33333333333337</v>
      </c>
      <c r="AV51" s="17">
        <v>1100</v>
      </c>
      <c r="AW51" s="17">
        <v>148327</v>
      </c>
      <c r="AX51" s="17">
        <v>23169</v>
      </c>
      <c r="AY51" s="17">
        <v>0</v>
      </c>
      <c r="AZ51" s="17">
        <v>916.45161290322585</v>
      </c>
      <c r="BA51" s="17">
        <v>1094.1935483870968</v>
      </c>
      <c r="BB51" s="17">
        <v>132979</v>
      </c>
      <c r="BC51" s="17">
        <v>24520</v>
      </c>
      <c r="BD51" s="17">
        <v>0</v>
      </c>
      <c r="BE51" s="17">
        <v>921.66666666666663</v>
      </c>
      <c r="BF51" s="17">
        <v>1075.6666666666667</v>
      </c>
      <c r="BG51" s="17">
        <v>151773</v>
      </c>
      <c r="BH51" s="17">
        <v>29773</v>
      </c>
      <c r="BI51" s="17">
        <v>0</v>
      </c>
      <c r="BJ51" s="17">
        <v>900.48387096774195</v>
      </c>
      <c r="BK51" s="17">
        <v>1048.7096774193549</v>
      </c>
    </row>
    <row r="52" spans="1:63" x14ac:dyDescent="0.35">
      <c r="A52" s="41">
        <v>48</v>
      </c>
      <c r="B52" s="41" t="s">
        <v>238</v>
      </c>
      <c r="C52" s="43" t="s">
        <v>68</v>
      </c>
      <c r="D52" s="17">
        <v>577114</v>
      </c>
      <c r="E52" s="17">
        <v>38808</v>
      </c>
      <c r="F52" s="17">
        <v>3069</v>
      </c>
      <c r="G52" s="17">
        <v>1014.516129032258</v>
      </c>
      <c r="H52" s="17">
        <v>1144.516129032258</v>
      </c>
      <c r="I52" s="17">
        <v>395342</v>
      </c>
      <c r="J52" s="17">
        <v>41076</v>
      </c>
      <c r="K52" s="17">
        <v>3712</v>
      </c>
      <c r="L52" s="17">
        <v>1000.7142857142857</v>
      </c>
      <c r="M52" s="17">
        <v>1136.4285714285713</v>
      </c>
      <c r="N52" s="17">
        <v>417211</v>
      </c>
      <c r="O52" s="17">
        <v>51773</v>
      </c>
      <c r="P52" s="17">
        <v>3699</v>
      </c>
      <c r="Q52" s="17">
        <v>936.61290322580646</v>
      </c>
      <c r="R52" s="17">
        <v>1120.8064516129032</v>
      </c>
      <c r="S52" s="17">
        <v>458175</v>
      </c>
      <c r="T52" s="17">
        <v>48418</v>
      </c>
      <c r="U52" s="17">
        <v>3136</v>
      </c>
      <c r="V52" s="17">
        <v>944</v>
      </c>
      <c r="W52" s="17">
        <v>1104.8333333333333</v>
      </c>
      <c r="X52" s="17">
        <v>421278</v>
      </c>
      <c r="Y52" s="17">
        <v>39875</v>
      </c>
      <c r="Z52" s="17">
        <v>3211</v>
      </c>
      <c r="AA52" s="17">
        <v>910</v>
      </c>
      <c r="AB52" s="17">
        <v>1068.3870967741937</v>
      </c>
      <c r="AC52" s="17">
        <v>362987</v>
      </c>
      <c r="AD52" s="17">
        <v>40448</v>
      </c>
      <c r="AE52" s="17">
        <v>2734</v>
      </c>
      <c r="AF52" s="17">
        <v>920.16666666666663</v>
      </c>
      <c r="AG52" s="17">
        <v>1061</v>
      </c>
      <c r="AH52" s="17">
        <v>331959</v>
      </c>
      <c r="AI52" s="17">
        <v>44691</v>
      </c>
      <c r="AJ52" s="17">
        <v>3144</v>
      </c>
      <c r="AK52" s="17">
        <v>915.16129032258061</v>
      </c>
      <c r="AL52" s="17">
        <v>1082.258064516129</v>
      </c>
      <c r="AM52" s="17">
        <v>302738</v>
      </c>
      <c r="AN52" s="17">
        <v>39187</v>
      </c>
      <c r="AO52" s="17">
        <v>2256</v>
      </c>
      <c r="AP52" s="17">
        <v>911.12903225806451</v>
      </c>
      <c r="AQ52" s="17">
        <v>1097.741935483871</v>
      </c>
      <c r="AR52" s="17">
        <v>302723</v>
      </c>
      <c r="AS52" s="17">
        <v>42654</v>
      </c>
      <c r="AT52" s="17">
        <v>2066</v>
      </c>
      <c r="AU52" s="17">
        <v>893.33333333333337</v>
      </c>
      <c r="AV52" s="17">
        <v>1078.6666666666667</v>
      </c>
      <c r="AW52" s="17">
        <v>295332</v>
      </c>
      <c r="AX52" s="17">
        <v>37567</v>
      </c>
      <c r="AY52" s="17">
        <v>11</v>
      </c>
      <c r="AZ52" s="17">
        <v>913.54838709677415</v>
      </c>
      <c r="BA52" s="17">
        <v>1067.4193548387098</v>
      </c>
      <c r="BB52" s="17">
        <v>324915</v>
      </c>
      <c r="BC52" s="17">
        <v>51657</v>
      </c>
      <c r="BD52" s="17">
        <v>0</v>
      </c>
      <c r="BE52" s="17">
        <v>919.33333333333337</v>
      </c>
      <c r="BF52" s="17">
        <v>1046.3333333333333</v>
      </c>
      <c r="BG52" s="17">
        <v>403532</v>
      </c>
      <c r="BH52" s="17">
        <v>49178</v>
      </c>
      <c r="BI52" s="17">
        <v>0</v>
      </c>
      <c r="BJ52" s="17">
        <v>880.16129032258061</v>
      </c>
      <c r="BK52" s="17">
        <v>1034.516129032258</v>
      </c>
    </row>
    <row r="53" spans="1:63" x14ac:dyDescent="0.35">
      <c r="A53" s="41">
        <v>49</v>
      </c>
      <c r="B53" s="41" t="s">
        <v>231</v>
      </c>
      <c r="C53" s="43" t="s">
        <v>69</v>
      </c>
      <c r="D53" s="17">
        <v>94788</v>
      </c>
      <c r="E53" s="17">
        <v>14527</v>
      </c>
      <c r="F53" s="17">
        <v>0</v>
      </c>
      <c r="G53" s="17">
        <v>1012.258064516129</v>
      </c>
      <c r="H53" s="17">
        <v>1150.3225806451612</v>
      </c>
      <c r="I53" s="17">
        <v>120137</v>
      </c>
      <c r="J53" s="17">
        <v>54262</v>
      </c>
      <c r="K53" s="17">
        <v>0</v>
      </c>
      <c r="L53" s="17">
        <v>993.89285714285711</v>
      </c>
      <c r="M53" s="17">
        <v>1134.1071428571429</v>
      </c>
      <c r="N53" s="17">
        <v>124365</v>
      </c>
      <c r="O53" s="17">
        <v>54316</v>
      </c>
      <c r="P53" s="17">
        <v>0</v>
      </c>
      <c r="Q53" s="17">
        <v>924.19354838709683</v>
      </c>
      <c r="R53" s="17">
        <v>1129.3548387096773</v>
      </c>
      <c r="S53" s="17">
        <v>128338</v>
      </c>
      <c r="T53" s="17">
        <v>29469</v>
      </c>
      <c r="U53" s="17">
        <v>0</v>
      </c>
      <c r="V53" s="17">
        <v>943.33333333333337</v>
      </c>
      <c r="W53" s="17">
        <v>1120</v>
      </c>
      <c r="X53" s="17">
        <v>133539</v>
      </c>
      <c r="Y53" s="17">
        <v>19525</v>
      </c>
      <c r="Z53" s="17">
        <v>0</v>
      </c>
      <c r="AA53" s="17">
        <v>908.38709677419354</v>
      </c>
      <c r="AB53" s="17">
        <v>1091.4516129032259</v>
      </c>
      <c r="AC53" s="17">
        <v>117608</v>
      </c>
      <c r="AD53" s="17">
        <v>20896</v>
      </c>
      <c r="AE53" s="17">
        <v>0</v>
      </c>
      <c r="AF53" s="17">
        <v>919.5</v>
      </c>
      <c r="AG53" s="17">
        <v>1084.1666666666667</v>
      </c>
      <c r="AH53" s="17">
        <v>92865</v>
      </c>
      <c r="AI53" s="17">
        <v>19014</v>
      </c>
      <c r="AJ53" s="17">
        <v>0</v>
      </c>
      <c r="AK53" s="17">
        <v>918.06451612903231</v>
      </c>
      <c r="AL53" s="17">
        <v>1086.4516129032259</v>
      </c>
      <c r="AM53" s="17">
        <v>85657</v>
      </c>
      <c r="AN53" s="17">
        <v>23967</v>
      </c>
      <c r="AO53" s="17">
        <v>0</v>
      </c>
      <c r="AP53" s="17">
        <v>910</v>
      </c>
      <c r="AQ53" s="17">
        <v>1096.4516129032259</v>
      </c>
      <c r="AR53" s="17">
        <v>90443</v>
      </c>
      <c r="AS53" s="17">
        <v>33634</v>
      </c>
      <c r="AT53" s="17">
        <v>0</v>
      </c>
      <c r="AU53" s="17">
        <v>894.33333333333337</v>
      </c>
      <c r="AV53" s="17">
        <v>1080</v>
      </c>
      <c r="AW53" s="17">
        <v>92730</v>
      </c>
      <c r="AX53" s="17">
        <v>35548</v>
      </c>
      <c r="AY53" s="17">
        <v>0</v>
      </c>
      <c r="AZ53" s="17">
        <v>912.58064516129036</v>
      </c>
      <c r="BA53" s="17">
        <v>1074.8387096774193</v>
      </c>
      <c r="BB53" s="17">
        <v>103855</v>
      </c>
      <c r="BC53" s="17">
        <v>35315</v>
      </c>
      <c r="BD53" s="17">
        <v>0</v>
      </c>
      <c r="BE53" s="17">
        <v>920</v>
      </c>
      <c r="BF53" s="17">
        <v>1060</v>
      </c>
      <c r="BG53" s="17">
        <v>97690</v>
      </c>
      <c r="BH53" s="17">
        <v>38418</v>
      </c>
      <c r="BI53" s="17">
        <v>0</v>
      </c>
      <c r="BJ53" s="17">
        <v>892.25806451612902</v>
      </c>
      <c r="BK53" s="17">
        <v>1049.6774193548388</v>
      </c>
    </row>
    <row r="54" spans="1:63" x14ac:dyDescent="0.35">
      <c r="A54" s="41">
        <v>50</v>
      </c>
      <c r="B54" s="41" t="s">
        <v>238</v>
      </c>
      <c r="C54" s="43" t="s">
        <v>70</v>
      </c>
      <c r="D54" s="17">
        <v>180428</v>
      </c>
      <c r="E54" s="17">
        <v>13120</v>
      </c>
      <c r="F54" s="17">
        <v>0</v>
      </c>
      <c r="G54" s="17">
        <v>1030.9677419354839</v>
      </c>
      <c r="H54" s="17">
        <v>1150</v>
      </c>
      <c r="I54" s="17">
        <v>155289</v>
      </c>
      <c r="J54" s="17">
        <v>11674</v>
      </c>
      <c r="K54" s="17">
        <v>0</v>
      </c>
      <c r="L54" s="17">
        <v>1005.7142857142857</v>
      </c>
      <c r="M54" s="17">
        <v>1148.5714285714287</v>
      </c>
      <c r="N54" s="17">
        <v>169839</v>
      </c>
      <c r="O54" s="17">
        <v>13289</v>
      </c>
      <c r="P54" s="17">
        <v>0</v>
      </c>
      <c r="Q54" s="17">
        <v>950.80645161290317</v>
      </c>
      <c r="R54" s="17">
        <v>1129.0322580645161</v>
      </c>
      <c r="S54" s="17">
        <v>167016</v>
      </c>
      <c r="T54" s="17">
        <v>13858</v>
      </c>
      <c r="U54" s="17">
        <v>0</v>
      </c>
      <c r="V54" s="17">
        <v>946.66666666666663</v>
      </c>
      <c r="W54" s="17">
        <v>1110.3333333333333</v>
      </c>
      <c r="X54" s="17">
        <v>158447</v>
      </c>
      <c r="Y54" s="17">
        <v>14371</v>
      </c>
      <c r="Z54" s="17">
        <v>0</v>
      </c>
      <c r="AA54" s="17">
        <v>915.80645161290317</v>
      </c>
      <c r="AB54" s="17">
        <v>1079.0322580645161</v>
      </c>
      <c r="AC54" s="17">
        <v>144046</v>
      </c>
      <c r="AD54" s="17">
        <v>11325</v>
      </c>
      <c r="AE54" s="17">
        <v>0</v>
      </c>
      <c r="AF54" s="17">
        <v>926.16666666666663</v>
      </c>
      <c r="AG54" s="17">
        <v>1073</v>
      </c>
      <c r="AH54" s="17">
        <v>139513</v>
      </c>
      <c r="AI54" s="17">
        <v>10310</v>
      </c>
      <c r="AJ54" s="17">
        <v>0</v>
      </c>
      <c r="AK54" s="17">
        <v>925.48387096774195</v>
      </c>
      <c r="AL54" s="17">
        <v>1089.6774193548388</v>
      </c>
      <c r="AM54" s="17">
        <v>145737</v>
      </c>
      <c r="AN54" s="17">
        <v>9632</v>
      </c>
      <c r="AO54" s="17">
        <v>0</v>
      </c>
      <c r="AP54" s="17">
        <v>916.61290322580646</v>
      </c>
      <c r="AQ54" s="17">
        <v>1106.1290322580646</v>
      </c>
      <c r="AR54" s="17">
        <v>163544</v>
      </c>
      <c r="AS54" s="17">
        <v>11878</v>
      </c>
      <c r="AT54" s="17">
        <v>0</v>
      </c>
      <c r="AU54" s="17">
        <v>900.33333333333337</v>
      </c>
      <c r="AV54" s="17">
        <v>1100</v>
      </c>
      <c r="AW54" s="17">
        <v>162242</v>
      </c>
      <c r="AX54" s="17">
        <v>14440</v>
      </c>
      <c r="AY54" s="17">
        <v>0</v>
      </c>
      <c r="AZ54" s="17">
        <v>916.45161290322585</v>
      </c>
      <c r="BA54" s="17">
        <v>1094.8387096774193</v>
      </c>
      <c r="BB54" s="17">
        <v>163357</v>
      </c>
      <c r="BC54" s="17">
        <v>10719</v>
      </c>
      <c r="BD54" s="17">
        <v>0</v>
      </c>
      <c r="BE54" s="17">
        <v>921.66666666666663</v>
      </c>
      <c r="BF54" s="17">
        <v>1076.3333333333333</v>
      </c>
      <c r="BG54" s="17">
        <v>165501</v>
      </c>
      <c r="BH54" s="17">
        <v>11794</v>
      </c>
      <c r="BI54" s="17">
        <v>0</v>
      </c>
      <c r="BJ54" s="17">
        <v>900.48387096774195</v>
      </c>
      <c r="BK54" s="17">
        <v>1048.7096774193549</v>
      </c>
    </row>
    <row r="55" spans="1:63" x14ac:dyDescent="0.35">
      <c r="A55" s="41">
        <v>51</v>
      </c>
      <c r="B55" s="41" t="s">
        <v>244</v>
      </c>
      <c r="C55" s="43" t="s">
        <v>71</v>
      </c>
      <c r="D55" s="17">
        <v>172082</v>
      </c>
      <c r="E55" s="17">
        <v>5826</v>
      </c>
      <c r="F55" s="17">
        <v>0</v>
      </c>
      <c r="G55" s="17">
        <v>1036.7741935483871</v>
      </c>
      <c r="H55" s="17">
        <v>1180</v>
      </c>
      <c r="I55" s="17">
        <v>105237</v>
      </c>
      <c r="J55" s="17">
        <v>6311</v>
      </c>
      <c r="K55" s="17">
        <v>0</v>
      </c>
      <c r="L55" s="17">
        <v>1012.8571428571429</v>
      </c>
      <c r="M55" s="17">
        <v>1173.9285714285713</v>
      </c>
      <c r="N55" s="17">
        <v>123083</v>
      </c>
      <c r="O55" s="17">
        <v>2630</v>
      </c>
      <c r="P55" s="17">
        <v>0</v>
      </c>
      <c r="Q55" s="17">
        <v>962.58064516129036</v>
      </c>
      <c r="R55" s="17">
        <v>1170</v>
      </c>
      <c r="S55" s="17">
        <v>122722</v>
      </c>
      <c r="T55" s="17">
        <v>4608</v>
      </c>
      <c r="U55" s="17">
        <v>0</v>
      </c>
      <c r="V55" s="17">
        <v>957.5</v>
      </c>
      <c r="W55" s="17">
        <v>1151.6666666666667</v>
      </c>
      <c r="X55" s="17">
        <v>118810</v>
      </c>
      <c r="Y55" s="17">
        <v>4558</v>
      </c>
      <c r="Z55" s="17">
        <v>0</v>
      </c>
      <c r="AA55" s="17">
        <v>920.16129032258061</v>
      </c>
      <c r="AB55" s="17">
        <v>1111.6129032258063</v>
      </c>
      <c r="AC55" s="17">
        <v>22576</v>
      </c>
      <c r="AD55" s="17">
        <v>1097</v>
      </c>
      <c r="AE55" s="17">
        <v>0</v>
      </c>
      <c r="AF55" s="17">
        <v>920.83333333333337</v>
      </c>
      <c r="AG55" s="17">
        <v>1095.3333333333333</v>
      </c>
      <c r="AH55" s="17">
        <v>0</v>
      </c>
      <c r="AI55" s="17">
        <v>0</v>
      </c>
      <c r="AJ55" s="17">
        <v>0</v>
      </c>
      <c r="AK55" s="17">
        <v>918.54838709677415</v>
      </c>
      <c r="AL55" s="17">
        <v>1105.8064516129032</v>
      </c>
      <c r="AM55" s="17">
        <v>0</v>
      </c>
      <c r="AN55" s="17">
        <v>0</v>
      </c>
      <c r="AO55" s="17">
        <v>0</v>
      </c>
      <c r="AP55" s="17">
        <v>919.51612903225805</v>
      </c>
      <c r="AQ55" s="17">
        <v>1117.741935483871</v>
      </c>
      <c r="AR55" s="17">
        <v>58568</v>
      </c>
      <c r="AS55" s="17">
        <v>4749</v>
      </c>
      <c r="AT55" s="17">
        <v>0</v>
      </c>
      <c r="AU55" s="17">
        <v>893.5</v>
      </c>
      <c r="AV55" s="17">
        <v>1100.3333333333333</v>
      </c>
      <c r="AW55" s="17">
        <v>100883</v>
      </c>
      <c r="AX55" s="17">
        <v>12929</v>
      </c>
      <c r="AY55" s="17">
        <v>0</v>
      </c>
      <c r="AZ55" s="17">
        <v>935.16129032258061</v>
      </c>
      <c r="BA55" s="17">
        <v>1097.0967741935483</v>
      </c>
      <c r="BB55" s="17">
        <v>92014</v>
      </c>
      <c r="BC55" s="17">
        <v>37016</v>
      </c>
      <c r="BD55" s="17">
        <v>0</v>
      </c>
      <c r="BE55" s="17">
        <v>943.33333333333337</v>
      </c>
      <c r="BF55" s="17">
        <v>1062</v>
      </c>
      <c r="BG55" s="17">
        <v>115732</v>
      </c>
      <c r="BH55" s="17">
        <v>9652</v>
      </c>
      <c r="BI55" s="17">
        <v>0</v>
      </c>
      <c r="BJ55" s="17">
        <v>905.16129032258061</v>
      </c>
      <c r="BK55" s="17">
        <v>1060</v>
      </c>
    </row>
    <row r="56" spans="1:63" x14ac:dyDescent="0.35">
      <c r="A56" s="41">
        <v>52</v>
      </c>
      <c r="B56" s="41" t="s">
        <v>231</v>
      </c>
      <c r="C56" s="43" t="s">
        <v>72</v>
      </c>
      <c r="D56" s="17">
        <v>188269</v>
      </c>
      <c r="E56" s="17">
        <v>3112</v>
      </c>
      <c r="F56" s="17">
        <v>0</v>
      </c>
      <c r="G56" s="17">
        <v>1012.258064516129</v>
      </c>
      <c r="H56" s="17">
        <v>1152.258064516129</v>
      </c>
      <c r="I56" s="17">
        <v>156280</v>
      </c>
      <c r="J56" s="17">
        <v>4788</v>
      </c>
      <c r="K56" s="17">
        <v>48</v>
      </c>
      <c r="L56" s="17">
        <v>998.21428571428567</v>
      </c>
      <c r="M56" s="17">
        <v>1134.1071428571429</v>
      </c>
      <c r="N56" s="17">
        <v>170673</v>
      </c>
      <c r="O56" s="17">
        <v>4655</v>
      </c>
      <c r="P56" s="17">
        <v>234</v>
      </c>
      <c r="Q56" s="17">
        <v>928.70967741935488</v>
      </c>
      <c r="R56" s="17">
        <v>1130.1612903225807</v>
      </c>
      <c r="S56" s="17">
        <v>149463</v>
      </c>
      <c r="T56" s="17">
        <v>2141</v>
      </c>
      <c r="U56" s="17">
        <v>317</v>
      </c>
      <c r="V56" s="17">
        <v>943</v>
      </c>
      <c r="W56" s="17">
        <v>1122</v>
      </c>
      <c r="X56" s="17">
        <v>159061</v>
      </c>
      <c r="Y56" s="17">
        <v>3823</v>
      </c>
      <c r="Z56" s="17">
        <v>309</v>
      </c>
      <c r="AA56" s="17">
        <v>909.0322580645161</v>
      </c>
      <c r="AB56" s="17">
        <v>1092.741935483871</v>
      </c>
      <c r="AC56" s="17">
        <v>144674</v>
      </c>
      <c r="AD56" s="17">
        <v>1148</v>
      </c>
      <c r="AE56" s="17">
        <v>25</v>
      </c>
      <c r="AF56" s="17">
        <v>919.5</v>
      </c>
      <c r="AG56" s="17">
        <v>1081.5</v>
      </c>
      <c r="AH56" s="17">
        <v>147249</v>
      </c>
      <c r="AI56" s="17">
        <v>999</v>
      </c>
      <c r="AJ56" s="17">
        <v>0</v>
      </c>
      <c r="AK56" s="17">
        <v>918.54838709677415</v>
      </c>
      <c r="AL56" s="17">
        <v>1089.3548387096773</v>
      </c>
      <c r="AM56" s="17">
        <v>116354</v>
      </c>
      <c r="AN56" s="17">
        <v>1001</v>
      </c>
      <c r="AO56" s="17">
        <v>134</v>
      </c>
      <c r="AP56" s="17">
        <v>908.38709677419354</v>
      </c>
      <c r="AQ56" s="17">
        <v>1093.5483870967741</v>
      </c>
      <c r="AR56" s="17">
        <v>115142</v>
      </c>
      <c r="AS56" s="17">
        <v>1674</v>
      </c>
      <c r="AT56" s="17">
        <v>98</v>
      </c>
      <c r="AU56" s="17">
        <v>894.63333333333333</v>
      </c>
      <c r="AV56" s="17">
        <v>1080</v>
      </c>
      <c r="AW56" s="17">
        <v>129621</v>
      </c>
      <c r="AX56" s="17">
        <v>2472</v>
      </c>
      <c r="AY56" s="17">
        <v>0</v>
      </c>
      <c r="AZ56" s="17">
        <v>912.58064516129036</v>
      </c>
      <c r="BA56" s="17">
        <v>1074.8387096774193</v>
      </c>
      <c r="BB56" s="17">
        <v>118445</v>
      </c>
      <c r="BC56" s="17">
        <v>9190</v>
      </c>
      <c r="BD56" s="17">
        <v>242</v>
      </c>
      <c r="BE56" s="17">
        <v>920</v>
      </c>
      <c r="BF56" s="17">
        <v>1060</v>
      </c>
      <c r="BG56" s="17">
        <v>97089</v>
      </c>
      <c r="BH56" s="17">
        <v>5071</v>
      </c>
      <c r="BI56" s="17">
        <v>212</v>
      </c>
      <c r="BJ56" s="17">
        <v>893.22580645161293</v>
      </c>
      <c r="BK56" s="17">
        <v>1049.6774193548388</v>
      </c>
    </row>
    <row r="57" spans="1:63" x14ac:dyDescent="0.35">
      <c r="A57" s="41">
        <v>53</v>
      </c>
      <c r="B57" s="41" t="s">
        <v>244</v>
      </c>
      <c r="C57" s="43" t="s">
        <v>73</v>
      </c>
      <c r="D57" s="17">
        <v>32846</v>
      </c>
      <c r="E57" s="17">
        <v>1189</v>
      </c>
      <c r="F57" s="17">
        <v>0</v>
      </c>
      <c r="G57" s="17">
        <v>1041.2903225806451</v>
      </c>
      <c r="H57" s="17">
        <v>1190</v>
      </c>
      <c r="I57" s="17">
        <v>32154</v>
      </c>
      <c r="J57" s="17">
        <v>3186</v>
      </c>
      <c r="K57" s="17">
        <v>0</v>
      </c>
      <c r="L57" s="17">
        <v>1012.8571428571429</v>
      </c>
      <c r="M57" s="17">
        <v>1180.3571428571429</v>
      </c>
      <c r="N57" s="17">
        <v>37186</v>
      </c>
      <c r="O57" s="17">
        <v>1868</v>
      </c>
      <c r="P57" s="17">
        <v>0</v>
      </c>
      <c r="Q57" s="17">
        <v>968.54838709677415</v>
      </c>
      <c r="R57" s="17">
        <v>1170</v>
      </c>
      <c r="S57" s="17">
        <v>57421</v>
      </c>
      <c r="T57" s="17">
        <v>2257</v>
      </c>
      <c r="U57" s="17">
        <v>0</v>
      </c>
      <c r="V57" s="17">
        <v>974.33333333333337</v>
      </c>
      <c r="W57" s="17">
        <v>1162</v>
      </c>
      <c r="X57" s="17">
        <v>41381</v>
      </c>
      <c r="Y57" s="17">
        <v>3834</v>
      </c>
      <c r="Z57" s="17">
        <v>0</v>
      </c>
      <c r="AA57" s="17">
        <v>933.87096774193549</v>
      </c>
      <c r="AB57" s="17">
        <v>1112.9032258064517</v>
      </c>
      <c r="AC57" s="17">
        <v>48957</v>
      </c>
      <c r="AD57" s="17">
        <v>5704</v>
      </c>
      <c r="AE57" s="17">
        <v>0</v>
      </c>
      <c r="AF57" s="17">
        <v>937</v>
      </c>
      <c r="AG57" s="17">
        <v>1107.3333333333333</v>
      </c>
      <c r="AH57" s="17">
        <v>52083</v>
      </c>
      <c r="AI57" s="17">
        <v>11123</v>
      </c>
      <c r="AJ57" s="17">
        <v>0</v>
      </c>
      <c r="AK57" s="17">
        <v>930.64516129032256</v>
      </c>
      <c r="AL57" s="17">
        <v>1107.0967741935483</v>
      </c>
      <c r="AM57" s="17">
        <v>72218</v>
      </c>
      <c r="AN57" s="17">
        <v>9461</v>
      </c>
      <c r="AO57" s="17">
        <v>0</v>
      </c>
      <c r="AP57" s="17">
        <v>927.41935483870964</v>
      </c>
      <c r="AQ57" s="17">
        <v>1127.741935483871</v>
      </c>
      <c r="AR57" s="17">
        <v>76178</v>
      </c>
      <c r="AS57" s="17">
        <v>12667</v>
      </c>
      <c r="AT57" s="17">
        <v>0</v>
      </c>
      <c r="AU57" s="17">
        <v>907.16666666666663</v>
      </c>
      <c r="AV57" s="17">
        <v>1110</v>
      </c>
      <c r="AW57" s="17">
        <v>128616</v>
      </c>
      <c r="AX57" s="17">
        <v>9350</v>
      </c>
      <c r="AY57" s="17">
        <v>0</v>
      </c>
      <c r="AZ57" s="17">
        <v>947.41935483870964</v>
      </c>
      <c r="BA57" s="17">
        <v>1101.2903225806451</v>
      </c>
      <c r="BB57" s="17">
        <v>52119</v>
      </c>
      <c r="BC57" s="17">
        <v>9146</v>
      </c>
      <c r="BD57" s="17">
        <v>0</v>
      </c>
      <c r="BE57" s="17">
        <v>959</v>
      </c>
      <c r="BF57" s="17">
        <v>1076.6666666666667</v>
      </c>
      <c r="BG57" s="17">
        <v>44775</v>
      </c>
      <c r="BH57" s="17">
        <v>6156</v>
      </c>
      <c r="BI57" s="17">
        <v>0</v>
      </c>
      <c r="BJ57" s="17">
        <v>940</v>
      </c>
      <c r="BK57" s="17">
        <v>1059.3548387096773</v>
      </c>
    </row>
    <row r="58" spans="1:63" x14ac:dyDescent="0.35">
      <c r="A58" s="41">
        <v>54</v>
      </c>
      <c r="B58" s="41" t="s">
        <v>244</v>
      </c>
      <c r="C58" s="43" t="s">
        <v>74</v>
      </c>
      <c r="D58" s="17">
        <v>26920</v>
      </c>
      <c r="E58" s="17">
        <v>1024</v>
      </c>
      <c r="F58" s="17">
        <v>0</v>
      </c>
      <c r="G58" s="17">
        <v>1041.2903225806451</v>
      </c>
      <c r="H58" s="17">
        <v>1190</v>
      </c>
      <c r="I58" s="17">
        <v>24359</v>
      </c>
      <c r="J58" s="17">
        <v>574</v>
      </c>
      <c r="K58" s="17">
        <v>0</v>
      </c>
      <c r="L58" s="17">
        <v>1012.8571428571429</v>
      </c>
      <c r="M58" s="17">
        <v>1180.3571428571429</v>
      </c>
      <c r="N58" s="17">
        <v>27417</v>
      </c>
      <c r="O58" s="17">
        <v>173</v>
      </c>
      <c r="P58" s="17">
        <v>0</v>
      </c>
      <c r="Q58" s="17">
        <v>968.54838709677415</v>
      </c>
      <c r="R58" s="17">
        <v>1170</v>
      </c>
      <c r="S58" s="17">
        <v>42807</v>
      </c>
      <c r="T58" s="17">
        <v>1119</v>
      </c>
      <c r="U58" s="17">
        <v>0</v>
      </c>
      <c r="V58" s="17">
        <v>974.33333333333337</v>
      </c>
      <c r="W58" s="17">
        <v>1162</v>
      </c>
      <c r="X58" s="17">
        <v>33419</v>
      </c>
      <c r="Y58" s="17">
        <v>2268</v>
      </c>
      <c r="Z58" s="17">
        <v>0</v>
      </c>
      <c r="AA58" s="17">
        <v>933.87096774193549</v>
      </c>
      <c r="AB58" s="17">
        <v>1112.9032258064517</v>
      </c>
      <c r="AC58" s="17">
        <v>55661</v>
      </c>
      <c r="AD58" s="17">
        <v>4191</v>
      </c>
      <c r="AE58" s="17">
        <v>0</v>
      </c>
      <c r="AF58" s="17">
        <v>937</v>
      </c>
      <c r="AG58" s="17">
        <v>1107.3333333333333</v>
      </c>
      <c r="AH58" s="17">
        <v>44216</v>
      </c>
      <c r="AI58" s="17">
        <v>2731</v>
      </c>
      <c r="AJ58" s="17">
        <v>0</v>
      </c>
      <c r="AK58" s="17">
        <v>930.64516129032256</v>
      </c>
      <c r="AL58" s="17">
        <v>1107.0967741935483</v>
      </c>
      <c r="AM58" s="17">
        <v>55023</v>
      </c>
      <c r="AN58" s="17">
        <v>2833</v>
      </c>
      <c r="AO58" s="17">
        <v>0</v>
      </c>
      <c r="AP58" s="17">
        <v>927.41935483870964</v>
      </c>
      <c r="AQ58" s="17">
        <v>1127.741935483871</v>
      </c>
      <c r="AR58" s="17">
        <v>61328</v>
      </c>
      <c r="AS58" s="17">
        <v>2134</v>
      </c>
      <c r="AT58" s="17">
        <v>0</v>
      </c>
      <c r="AU58" s="17">
        <v>907.16666666666663</v>
      </c>
      <c r="AV58" s="17">
        <v>1110</v>
      </c>
      <c r="AW58" s="17">
        <v>126073</v>
      </c>
      <c r="AX58" s="17">
        <v>5163</v>
      </c>
      <c r="AY58" s="17">
        <v>0</v>
      </c>
      <c r="AZ58" s="17">
        <v>947.41935483870964</v>
      </c>
      <c r="BA58" s="17">
        <v>1101.2903225806451</v>
      </c>
      <c r="BB58" s="17">
        <v>72261</v>
      </c>
      <c r="BC58" s="17">
        <v>3761</v>
      </c>
      <c r="BD58" s="17">
        <v>0</v>
      </c>
      <c r="BE58" s="17">
        <v>959.16666666666663</v>
      </c>
      <c r="BF58" s="17">
        <v>1076.6666666666667</v>
      </c>
      <c r="BG58" s="17">
        <v>66903</v>
      </c>
      <c r="BH58" s="17">
        <v>12582</v>
      </c>
      <c r="BI58" s="17">
        <v>0</v>
      </c>
      <c r="BJ58" s="17">
        <v>940</v>
      </c>
      <c r="BK58" s="17">
        <v>1060</v>
      </c>
    </row>
    <row r="59" spans="1:63" x14ac:dyDescent="0.35">
      <c r="A59" s="41">
        <v>55</v>
      </c>
      <c r="B59" s="41" t="s">
        <v>233</v>
      </c>
      <c r="C59" s="43" t="s">
        <v>75</v>
      </c>
      <c r="D59" s="17">
        <v>704200</v>
      </c>
      <c r="E59" s="17">
        <v>224157</v>
      </c>
      <c r="F59" s="17">
        <v>0</v>
      </c>
      <c r="G59" s="17">
        <v>1002.9032258064516</v>
      </c>
      <c r="H59" s="17">
        <v>1141.9354838709678</v>
      </c>
      <c r="I59" s="17">
        <v>631527</v>
      </c>
      <c r="J59" s="17">
        <v>237630</v>
      </c>
      <c r="K59" s="17">
        <v>0</v>
      </c>
      <c r="L59" s="17">
        <v>974.64285714285711</v>
      </c>
      <c r="M59" s="17">
        <v>1132.8571428571429</v>
      </c>
      <c r="N59" s="17">
        <v>678892</v>
      </c>
      <c r="O59" s="17">
        <v>285338</v>
      </c>
      <c r="P59" s="17">
        <v>0</v>
      </c>
      <c r="Q59" s="17">
        <v>898.45161290322585</v>
      </c>
      <c r="R59" s="17">
        <v>1106.4516129032259</v>
      </c>
      <c r="S59" s="17">
        <v>736391</v>
      </c>
      <c r="T59" s="17">
        <v>319539</v>
      </c>
      <c r="U59" s="17">
        <v>0</v>
      </c>
      <c r="V59" s="17">
        <v>918</v>
      </c>
      <c r="W59" s="17">
        <v>1096.6666666666667</v>
      </c>
      <c r="X59" s="17">
        <v>804895</v>
      </c>
      <c r="Y59" s="17">
        <v>332186</v>
      </c>
      <c r="Z59" s="17">
        <v>0</v>
      </c>
      <c r="AA59" s="17">
        <v>876.77419354838707</v>
      </c>
      <c r="AB59" s="17">
        <v>1033.8064516129032</v>
      </c>
      <c r="AC59" s="17">
        <v>827002</v>
      </c>
      <c r="AD59" s="17">
        <v>308173</v>
      </c>
      <c r="AE59" s="17">
        <v>0</v>
      </c>
      <c r="AF59" s="17">
        <v>891</v>
      </c>
      <c r="AG59" s="17">
        <v>1045.3666666666666</v>
      </c>
      <c r="AH59" s="17">
        <v>784870</v>
      </c>
      <c r="AI59" s="17">
        <v>412455</v>
      </c>
      <c r="AJ59" s="17">
        <v>0</v>
      </c>
      <c r="AK59" s="17">
        <v>886.61290322580646</v>
      </c>
      <c r="AL59" s="17">
        <v>1060.9032258064517</v>
      </c>
      <c r="AM59" s="17">
        <v>875490</v>
      </c>
      <c r="AN59" s="17">
        <v>333714</v>
      </c>
      <c r="AO59" s="17">
        <v>0</v>
      </c>
      <c r="AP59" s="17">
        <v>873.87096774193549</v>
      </c>
      <c r="AQ59" s="17">
        <v>1068.3870967741937</v>
      </c>
      <c r="AR59" s="17">
        <v>929931</v>
      </c>
      <c r="AS59" s="17">
        <v>374866</v>
      </c>
      <c r="AT59" s="17">
        <v>0</v>
      </c>
      <c r="AU59" s="17">
        <v>866.33333333333337</v>
      </c>
      <c r="AV59" s="17">
        <v>1050</v>
      </c>
      <c r="AW59" s="17">
        <v>1096446</v>
      </c>
      <c r="AX59" s="17">
        <v>359326</v>
      </c>
      <c r="AY59" s="17">
        <v>0</v>
      </c>
      <c r="AZ59" s="17">
        <v>902.41935483870964</v>
      </c>
      <c r="BA59" s="17">
        <v>1045.1612903225807</v>
      </c>
      <c r="BB59" s="17">
        <v>991072</v>
      </c>
      <c r="BC59" s="17">
        <v>371837</v>
      </c>
      <c r="BD59" s="17">
        <v>0</v>
      </c>
      <c r="BE59" s="17">
        <v>912.33333333333337</v>
      </c>
      <c r="BF59" s="17">
        <v>1020</v>
      </c>
      <c r="BG59" s="17">
        <v>1123599</v>
      </c>
      <c r="BH59" s="17">
        <v>402098</v>
      </c>
      <c r="BI59" s="17">
        <v>0</v>
      </c>
      <c r="BJ59" s="17">
        <v>897.74193548387098</v>
      </c>
      <c r="BK59" s="17">
        <v>1019.6774193548387</v>
      </c>
    </row>
    <row r="60" spans="1:63" x14ac:dyDescent="0.35">
      <c r="A60" s="41">
        <v>56</v>
      </c>
      <c r="B60" s="41" t="s">
        <v>243</v>
      </c>
      <c r="C60" s="43" t="s">
        <v>76</v>
      </c>
      <c r="D60" s="17">
        <v>194682</v>
      </c>
      <c r="E60" s="17">
        <v>39420</v>
      </c>
      <c r="F60" s="17">
        <v>1978</v>
      </c>
      <c r="G60" s="17">
        <v>1046.7741935483871</v>
      </c>
      <c r="H60" s="17">
        <v>1150</v>
      </c>
      <c r="I60" s="17">
        <v>202259</v>
      </c>
      <c r="J60" s="17">
        <v>45890</v>
      </c>
      <c r="K60" s="17">
        <v>1966</v>
      </c>
      <c r="L60" s="17">
        <v>1008.5714285714286</v>
      </c>
      <c r="M60" s="17">
        <v>1148.5714285714287</v>
      </c>
      <c r="N60" s="17">
        <v>217207</v>
      </c>
      <c r="O60" s="17">
        <v>54595</v>
      </c>
      <c r="P60" s="17">
        <v>2123</v>
      </c>
      <c r="Q60" s="17">
        <v>950.48387096774195</v>
      </c>
      <c r="R60" s="17">
        <v>1140</v>
      </c>
      <c r="S60" s="17">
        <v>193634</v>
      </c>
      <c r="T60" s="17">
        <v>52490</v>
      </c>
      <c r="U60" s="17">
        <v>1075</v>
      </c>
      <c r="V60" s="17">
        <v>946.66666666666663</v>
      </c>
      <c r="W60" s="17">
        <v>1117</v>
      </c>
      <c r="X60" s="17">
        <v>155189</v>
      </c>
      <c r="Y60" s="17">
        <v>43700</v>
      </c>
      <c r="Z60" s="17">
        <v>1067</v>
      </c>
      <c r="AA60" s="17">
        <v>915.80645161290317</v>
      </c>
      <c r="AB60" s="17">
        <v>1081.6129032258063</v>
      </c>
      <c r="AC60" s="17">
        <v>125500</v>
      </c>
      <c r="AD60" s="17">
        <v>34765</v>
      </c>
      <c r="AE60" s="17">
        <v>2065</v>
      </c>
      <c r="AF60" s="17">
        <v>926.16666666666663</v>
      </c>
      <c r="AG60" s="17">
        <v>1078.6666666666667</v>
      </c>
      <c r="AH60" s="17">
        <v>131909</v>
      </c>
      <c r="AI60" s="17">
        <v>39888</v>
      </c>
      <c r="AJ60" s="17">
        <v>2275</v>
      </c>
      <c r="AK60" s="17">
        <v>925.48387096774195</v>
      </c>
      <c r="AL60" s="17">
        <v>1090</v>
      </c>
      <c r="AM60" s="17">
        <v>128764</v>
      </c>
      <c r="AN60" s="17">
        <v>31650</v>
      </c>
      <c r="AO60" s="17">
        <v>1979</v>
      </c>
      <c r="AP60" s="17">
        <v>920.9677419354839</v>
      </c>
      <c r="AQ60" s="17">
        <v>1107.741935483871</v>
      </c>
      <c r="AR60" s="17">
        <v>121153</v>
      </c>
      <c r="AS60" s="17">
        <v>28388</v>
      </c>
      <c r="AT60" s="17">
        <v>2137</v>
      </c>
      <c r="AU60" s="17">
        <v>898</v>
      </c>
      <c r="AV60" s="17">
        <v>1100</v>
      </c>
      <c r="AW60" s="17">
        <v>124179</v>
      </c>
      <c r="AX60" s="17">
        <v>25195</v>
      </c>
      <c r="AY60" s="17">
        <v>2234</v>
      </c>
      <c r="AZ60" s="17">
        <v>913.22580645161293</v>
      </c>
      <c r="BA60" s="17">
        <v>1093.2258064516129</v>
      </c>
      <c r="BB60" s="17">
        <v>129191</v>
      </c>
      <c r="BC60" s="17">
        <v>29176</v>
      </c>
      <c r="BD60" s="17">
        <v>1712</v>
      </c>
      <c r="BE60" s="17">
        <v>919.5</v>
      </c>
      <c r="BF60" s="17">
        <v>1079</v>
      </c>
      <c r="BG60" s="17">
        <v>140261</v>
      </c>
      <c r="BH60" s="17">
        <v>34207</v>
      </c>
      <c r="BI60" s="17">
        <v>1890</v>
      </c>
      <c r="BJ60" s="17">
        <v>906.77419354838707</v>
      </c>
      <c r="BK60" s="17">
        <v>1054.516129032258</v>
      </c>
    </row>
    <row r="61" spans="1:63" x14ac:dyDescent="0.35">
      <c r="A61" s="41">
        <v>57</v>
      </c>
      <c r="B61" s="41" t="s">
        <v>234</v>
      </c>
      <c r="C61" s="43" t="s">
        <v>77</v>
      </c>
      <c r="D61" s="17">
        <v>207200</v>
      </c>
      <c r="E61" s="17">
        <v>34212</v>
      </c>
      <c r="F61" s="17">
        <v>0</v>
      </c>
      <c r="G61" s="17">
        <v>1022.5806451612904</v>
      </c>
      <c r="H61" s="17">
        <v>1150</v>
      </c>
      <c r="I61" s="17">
        <v>123712</v>
      </c>
      <c r="J61" s="17">
        <v>46128</v>
      </c>
      <c r="K61" s="17">
        <v>0</v>
      </c>
      <c r="L61" s="17">
        <v>1000.8928571428571</v>
      </c>
      <c r="M61" s="17">
        <v>1147.1428571428571</v>
      </c>
      <c r="N61" s="17">
        <v>159365</v>
      </c>
      <c r="O61" s="17">
        <v>53280</v>
      </c>
      <c r="P61" s="17">
        <v>0</v>
      </c>
      <c r="Q61" s="17">
        <v>936.61290322580646</v>
      </c>
      <c r="R61" s="17">
        <v>1121.4516129032259</v>
      </c>
      <c r="S61" s="17">
        <v>219594</v>
      </c>
      <c r="T61" s="17">
        <v>63528</v>
      </c>
      <c r="U61" s="17">
        <v>0</v>
      </c>
      <c r="V61" s="17">
        <v>944</v>
      </c>
      <c r="W61" s="17">
        <v>1104.8333333333333</v>
      </c>
      <c r="X61" s="17">
        <v>181926</v>
      </c>
      <c r="Y61" s="17">
        <v>51707</v>
      </c>
      <c r="Z61" s="17">
        <v>0</v>
      </c>
      <c r="AA61" s="17">
        <v>910</v>
      </c>
      <c r="AB61" s="17">
        <v>1070</v>
      </c>
      <c r="AC61" s="17">
        <v>172455</v>
      </c>
      <c r="AD61" s="17">
        <v>42411</v>
      </c>
      <c r="AE61" s="17">
        <v>0</v>
      </c>
      <c r="AF61" s="17">
        <v>920.16666666666663</v>
      </c>
      <c r="AG61" s="17">
        <v>1064.3333333333333</v>
      </c>
      <c r="AH61" s="17">
        <v>164709</v>
      </c>
      <c r="AI61" s="17">
        <v>50493</v>
      </c>
      <c r="AJ61" s="17">
        <v>0</v>
      </c>
      <c r="AK61" s="17">
        <v>915.80645161290317</v>
      </c>
      <c r="AL61" s="17">
        <v>1082.258064516129</v>
      </c>
      <c r="AM61" s="17">
        <v>177570</v>
      </c>
      <c r="AN61" s="17">
        <v>56248</v>
      </c>
      <c r="AO61" s="17">
        <v>0</v>
      </c>
      <c r="AP61" s="17">
        <v>910.64516129032256</v>
      </c>
      <c r="AQ61" s="17">
        <v>1097.741935483871</v>
      </c>
      <c r="AR61" s="17">
        <v>163357</v>
      </c>
      <c r="AS61" s="17">
        <v>48473</v>
      </c>
      <c r="AT61" s="17">
        <v>0</v>
      </c>
      <c r="AU61" s="17">
        <v>893.66666666666663</v>
      </c>
      <c r="AV61" s="17">
        <v>1078.6666666666667</v>
      </c>
      <c r="AW61" s="17">
        <v>158117</v>
      </c>
      <c r="AX61" s="17">
        <v>42910</v>
      </c>
      <c r="AY61" s="17">
        <v>0</v>
      </c>
      <c r="AZ61" s="17">
        <v>913.54838709677415</v>
      </c>
      <c r="BA61" s="17">
        <v>1067.4193548387098</v>
      </c>
      <c r="BB61" s="17">
        <v>156660</v>
      </c>
      <c r="BC61" s="17">
        <v>45115</v>
      </c>
      <c r="BD61" s="17">
        <v>0</v>
      </c>
      <c r="BE61" s="17">
        <v>919.5</v>
      </c>
      <c r="BF61" s="17">
        <v>1046.3333333333333</v>
      </c>
      <c r="BG61" s="17">
        <v>210604</v>
      </c>
      <c r="BH61" s="17">
        <v>46464</v>
      </c>
      <c r="BI61" s="17">
        <v>0</v>
      </c>
      <c r="BJ61" s="17">
        <v>895</v>
      </c>
      <c r="BK61" s="17">
        <v>1034.8387096774193</v>
      </c>
    </row>
    <row r="62" spans="1:63" x14ac:dyDescent="0.35">
      <c r="A62" s="41">
        <v>58</v>
      </c>
      <c r="B62" s="41" t="s">
        <v>231</v>
      </c>
      <c r="C62" s="43" t="s">
        <v>78</v>
      </c>
      <c r="D62" s="17">
        <v>88060</v>
      </c>
      <c r="E62" s="17">
        <v>7599</v>
      </c>
      <c r="F62" s="17">
        <v>0</v>
      </c>
      <c r="G62" s="17">
        <v>1017.258064516129</v>
      </c>
      <c r="H62" s="17">
        <v>1163.8709677419354</v>
      </c>
      <c r="I62" s="17">
        <v>65064</v>
      </c>
      <c r="J62" s="17">
        <v>6966</v>
      </c>
      <c r="K62" s="17">
        <v>0</v>
      </c>
      <c r="L62" s="17">
        <v>1002.1428571428571</v>
      </c>
      <c r="M62" s="17">
        <v>1160</v>
      </c>
      <c r="N62" s="17">
        <v>70960</v>
      </c>
      <c r="O62" s="17">
        <v>6752</v>
      </c>
      <c r="P62" s="17">
        <v>0</v>
      </c>
      <c r="Q62" s="17">
        <v>930</v>
      </c>
      <c r="R62" s="17">
        <v>1160</v>
      </c>
      <c r="S62" s="17">
        <v>73666</v>
      </c>
      <c r="T62" s="17">
        <v>3776</v>
      </c>
      <c r="U62" s="17">
        <v>0</v>
      </c>
      <c r="V62" s="17">
        <v>951.33333333333337</v>
      </c>
      <c r="W62" s="17">
        <v>1154.6666666666667</v>
      </c>
      <c r="X62" s="17">
        <v>97994</v>
      </c>
      <c r="Y62" s="17">
        <v>7917</v>
      </c>
      <c r="Z62" s="17">
        <v>0</v>
      </c>
      <c r="AA62" s="17">
        <v>909.48387096774195</v>
      </c>
      <c r="AB62" s="17">
        <v>1094.6774193548388</v>
      </c>
      <c r="AC62" s="17">
        <v>91727</v>
      </c>
      <c r="AD62" s="17">
        <v>7654</v>
      </c>
      <c r="AE62" s="17">
        <v>0</v>
      </c>
      <c r="AF62" s="17">
        <v>919.66666666666663</v>
      </c>
      <c r="AG62" s="17">
        <v>1073.8333333333333</v>
      </c>
      <c r="AH62" s="17">
        <v>67022</v>
      </c>
      <c r="AI62" s="17">
        <v>9150</v>
      </c>
      <c r="AJ62" s="17">
        <v>0</v>
      </c>
      <c r="AK62" s="17">
        <v>917.74193548387098</v>
      </c>
      <c r="AL62" s="17">
        <v>1092.9032258064517</v>
      </c>
      <c r="AM62" s="17">
        <v>24261</v>
      </c>
      <c r="AN62" s="17">
        <v>15078</v>
      </c>
      <c r="AO62" s="17">
        <v>0</v>
      </c>
      <c r="AP62" s="17">
        <v>909.19354838709683</v>
      </c>
      <c r="AQ62" s="17">
        <v>1092.5806451612902</v>
      </c>
      <c r="AR62" s="17">
        <v>0</v>
      </c>
      <c r="AS62" s="17">
        <v>3016</v>
      </c>
      <c r="AT62" s="17">
        <v>0</v>
      </c>
      <c r="AU62" s="17">
        <v>891.66666666666663</v>
      </c>
      <c r="AV62" s="17">
        <v>1090</v>
      </c>
      <c r="AW62" s="17">
        <v>0</v>
      </c>
      <c r="AX62" s="17">
        <v>0</v>
      </c>
      <c r="AY62" s="17">
        <v>0</v>
      </c>
      <c r="AZ62" s="17">
        <v>912.58064516129036</v>
      </c>
      <c r="BA62" s="17">
        <v>1087.741935483871</v>
      </c>
      <c r="BB62" s="17">
        <v>0</v>
      </c>
      <c r="BC62" s="17">
        <v>0</v>
      </c>
      <c r="BD62" s="17">
        <v>0</v>
      </c>
      <c r="BE62" s="17">
        <v>920</v>
      </c>
      <c r="BF62" s="17">
        <v>1073.3333333333333</v>
      </c>
      <c r="BG62" s="17">
        <v>97582</v>
      </c>
      <c r="BH62" s="17">
        <v>7439</v>
      </c>
      <c r="BI62" s="17">
        <v>0</v>
      </c>
      <c r="BJ62" s="17">
        <v>892.25806451612902</v>
      </c>
      <c r="BK62" s="17">
        <v>1060</v>
      </c>
    </row>
    <row r="63" spans="1:63" x14ac:dyDescent="0.35">
      <c r="A63" s="41">
        <v>59</v>
      </c>
      <c r="B63" s="41" t="s">
        <v>245</v>
      </c>
      <c r="C63" s="43" t="s">
        <v>79</v>
      </c>
      <c r="D63" s="17">
        <v>382410</v>
      </c>
      <c r="E63" s="17">
        <v>35161</v>
      </c>
      <c r="F63" s="17">
        <v>0</v>
      </c>
      <c r="G63" s="17">
        <v>1025.1612903225807</v>
      </c>
      <c r="H63" s="17">
        <v>1184.8387096774193</v>
      </c>
      <c r="I63" s="17">
        <v>358341</v>
      </c>
      <c r="J63" s="17">
        <v>33254</v>
      </c>
      <c r="K63" s="17">
        <v>0</v>
      </c>
      <c r="L63" s="17">
        <v>1029.2857142857142</v>
      </c>
      <c r="M63" s="17">
        <v>1172.1428571428571</v>
      </c>
      <c r="N63" s="17">
        <v>378204</v>
      </c>
      <c r="O63" s="17">
        <v>48437</v>
      </c>
      <c r="P63" s="17">
        <v>0</v>
      </c>
      <c r="Q63" s="17">
        <v>969.67741935483866</v>
      </c>
      <c r="R63" s="17">
        <v>1160</v>
      </c>
      <c r="S63" s="17">
        <v>368632</v>
      </c>
      <c r="T63" s="17">
        <v>28847</v>
      </c>
      <c r="U63" s="17">
        <v>0</v>
      </c>
      <c r="V63" s="17">
        <v>963.33333333333337</v>
      </c>
      <c r="W63" s="17">
        <v>1153.3333333333333</v>
      </c>
      <c r="X63" s="17">
        <v>383563</v>
      </c>
      <c r="Y63" s="17">
        <v>28804</v>
      </c>
      <c r="Z63" s="17">
        <v>0</v>
      </c>
      <c r="AA63" s="17">
        <v>919.83870967741939</v>
      </c>
      <c r="AB63" s="17">
        <v>1104.6774193548388</v>
      </c>
      <c r="AC63" s="17">
        <v>338908</v>
      </c>
      <c r="AD63" s="17">
        <v>18978</v>
      </c>
      <c r="AE63" s="17">
        <v>0</v>
      </c>
      <c r="AF63" s="17">
        <v>931</v>
      </c>
      <c r="AG63" s="17">
        <v>1090.5</v>
      </c>
      <c r="AH63" s="17">
        <v>403973</v>
      </c>
      <c r="AI63" s="17">
        <v>28903</v>
      </c>
      <c r="AJ63" s="17">
        <v>0</v>
      </c>
      <c r="AK63" s="17">
        <v>930.80645161290317</v>
      </c>
      <c r="AL63" s="17">
        <v>1093.2258064516129</v>
      </c>
      <c r="AM63" s="17">
        <v>403193</v>
      </c>
      <c r="AN63" s="17">
        <v>40453</v>
      </c>
      <c r="AO63" s="17">
        <v>0</v>
      </c>
      <c r="AP63" s="17">
        <v>915.9677419354839</v>
      </c>
      <c r="AQ63" s="17">
        <v>1102.9032258064517</v>
      </c>
      <c r="AR63" s="17">
        <v>363874</v>
      </c>
      <c r="AS63" s="17">
        <v>33519</v>
      </c>
      <c r="AT63" s="17">
        <v>0</v>
      </c>
      <c r="AU63" s="17">
        <v>901.33333333333337</v>
      </c>
      <c r="AV63" s="17">
        <v>1090</v>
      </c>
      <c r="AW63" s="17">
        <v>434810</v>
      </c>
      <c r="AX63" s="17">
        <v>41916</v>
      </c>
      <c r="AY63" s="17">
        <v>0</v>
      </c>
      <c r="AZ63" s="17">
        <v>918.38709677419354</v>
      </c>
      <c r="BA63" s="17">
        <v>1087.741935483871</v>
      </c>
      <c r="BB63" s="17">
        <v>437784</v>
      </c>
      <c r="BC63" s="17">
        <v>47030</v>
      </c>
      <c r="BD63" s="17">
        <v>0</v>
      </c>
      <c r="BE63" s="17">
        <v>930</v>
      </c>
      <c r="BF63" s="17">
        <v>1074</v>
      </c>
      <c r="BG63" s="17">
        <v>489615</v>
      </c>
      <c r="BH63" s="17">
        <v>67385</v>
      </c>
      <c r="BI63" s="17">
        <v>0</v>
      </c>
      <c r="BJ63" s="17">
        <v>912.58064516129036</v>
      </c>
      <c r="BK63" s="17">
        <v>1054.516129032258</v>
      </c>
    </row>
    <row r="64" spans="1:63" x14ac:dyDescent="0.35">
      <c r="A64" s="41">
        <v>60</v>
      </c>
      <c r="B64" s="41" t="s">
        <v>245</v>
      </c>
      <c r="C64" s="42" t="s">
        <v>80</v>
      </c>
      <c r="D64" s="17">
        <v>310932</v>
      </c>
      <c r="E64" s="17">
        <v>26228</v>
      </c>
      <c r="F64" s="17">
        <v>0</v>
      </c>
      <c r="G64" s="17">
        <v>1027.5806451612902</v>
      </c>
      <c r="H64" s="17">
        <v>1194.516129032258</v>
      </c>
      <c r="I64" s="17">
        <v>292221</v>
      </c>
      <c r="J64" s="17">
        <v>52655</v>
      </c>
      <c r="K64" s="17">
        <v>0</v>
      </c>
      <c r="L64" s="17">
        <v>1029.2857142857142</v>
      </c>
      <c r="M64" s="17">
        <v>1170.7142857142858</v>
      </c>
      <c r="N64" s="17">
        <v>323619</v>
      </c>
      <c r="O64" s="17">
        <v>22498</v>
      </c>
      <c r="P64" s="17">
        <v>0</v>
      </c>
      <c r="Q64" s="17">
        <v>969.67741935483866</v>
      </c>
      <c r="R64" s="17">
        <v>1160</v>
      </c>
      <c r="S64" s="17">
        <v>298504</v>
      </c>
      <c r="T64" s="17">
        <v>21708</v>
      </c>
      <c r="U64" s="17">
        <v>0</v>
      </c>
      <c r="V64" s="17">
        <v>963.33333333333337</v>
      </c>
      <c r="W64" s="17">
        <v>1153.3333333333333</v>
      </c>
      <c r="X64" s="17">
        <v>298662</v>
      </c>
      <c r="Y64" s="17">
        <v>25548</v>
      </c>
      <c r="Z64" s="17">
        <v>0</v>
      </c>
      <c r="AA64" s="17">
        <v>920</v>
      </c>
      <c r="AB64" s="17">
        <v>1104.6774193548388</v>
      </c>
      <c r="AC64" s="17">
        <v>281217</v>
      </c>
      <c r="AD64" s="17">
        <v>15226</v>
      </c>
      <c r="AE64" s="17">
        <v>0</v>
      </c>
      <c r="AF64" s="17">
        <v>931.1</v>
      </c>
      <c r="AG64" s="17">
        <v>1090.5</v>
      </c>
      <c r="AH64" s="17">
        <v>303624</v>
      </c>
      <c r="AI64" s="17">
        <v>22282</v>
      </c>
      <c r="AJ64" s="17">
        <v>0</v>
      </c>
      <c r="AK64" s="17">
        <v>930.80645161290317</v>
      </c>
      <c r="AL64" s="17">
        <v>1093.2258064516129</v>
      </c>
      <c r="AM64" s="17">
        <v>296106</v>
      </c>
      <c r="AN64" s="17">
        <v>20986</v>
      </c>
      <c r="AO64" s="17">
        <v>0</v>
      </c>
      <c r="AP64" s="17">
        <v>915.9677419354839</v>
      </c>
      <c r="AQ64" s="17">
        <v>1101.6129032258063</v>
      </c>
      <c r="AR64" s="17">
        <v>262669</v>
      </c>
      <c r="AS64" s="17">
        <v>16768</v>
      </c>
      <c r="AT64" s="17">
        <v>0</v>
      </c>
      <c r="AU64" s="17">
        <v>901.33333333333337</v>
      </c>
      <c r="AV64" s="17">
        <v>1090</v>
      </c>
      <c r="AW64" s="17">
        <v>282737</v>
      </c>
      <c r="AX64" s="17">
        <v>15759</v>
      </c>
      <c r="AY64" s="17">
        <v>0</v>
      </c>
      <c r="AZ64" s="17">
        <v>918.38709677419354</v>
      </c>
      <c r="BA64" s="17">
        <v>1088.0645161290322</v>
      </c>
      <c r="BB64" s="17">
        <v>284438</v>
      </c>
      <c r="BC64" s="17">
        <v>41235</v>
      </c>
      <c r="BD64" s="17">
        <v>0</v>
      </c>
      <c r="BE64" s="17">
        <v>930</v>
      </c>
      <c r="BF64" s="17">
        <v>1074</v>
      </c>
      <c r="BG64" s="17">
        <v>349171</v>
      </c>
      <c r="BH64" s="17">
        <v>46296</v>
      </c>
      <c r="BI64" s="17">
        <v>0</v>
      </c>
      <c r="BJ64" s="17">
        <v>912.58064516129036</v>
      </c>
      <c r="BK64" s="17">
        <v>1054.516129032258</v>
      </c>
    </row>
    <row r="65" spans="1:63" x14ac:dyDescent="0.35">
      <c r="A65" s="41">
        <v>61</v>
      </c>
      <c r="B65" s="41" t="s">
        <v>245</v>
      </c>
      <c r="C65" s="43" t="s">
        <v>81</v>
      </c>
      <c r="D65" s="17">
        <v>424146</v>
      </c>
      <c r="E65" s="17">
        <v>32105</v>
      </c>
      <c r="F65" s="17">
        <v>0</v>
      </c>
      <c r="G65" s="17">
        <v>1025.1612903225807</v>
      </c>
      <c r="H65" s="17">
        <v>1184.8387096774193</v>
      </c>
      <c r="I65" s="17">
        <v>391098</v>
      </c>
      <c r="J65" s="17">
        <v>27209</v>
      </c>
      <c r="K65" s="17">
        <v>0</v>
      </c>
      <c r="L65" s="17">
        <v>1029.2857142857142</v>
      </c>
      <c r="M65" s="17">
        <v>1172.1428571428571</v>
      </c>
      <c r="N65" s="17">
        <v>487622</v>
      </c>
      <c r="O65" s="17">
        <v>20846</v>
      </c>
      <c r="P65" s="17">
        <v>0</v>
      </c>
      <c r="Q65" s="17">
        <v>969.67741935483866</v>
      </c>
      <c r="R65" s="17">
        <v>1160</v>
      </c>
      <c r="S65" s="17">
        <v>409216</v>
      </c>
      <c r="T65" s="17">
        <v>16981</v>
      </c>
      <c r="U65" s="17">
        <v>0</v>
      </c>
      <c r="V65" s="17">
        <v>963.33333333333337</v>
      </c>
      <c r="W65" s="17">
        <v>1153.3333333333333</v>
      </c>
      <c r="X65" s="17">
        <v>440398</v>
      </c>
      <c r="Y65" s="17">
        <v>27521</v>
      </c>
      <c r="Z65" s="17">
        <v>0</v>
      </c>
      <c r="AA65" s="17">
        <v>919.83870967741939</v>
      </c>
      <c r="AB65" s="17">
        <v>1104.6774193548388</v>
      </c>
      <c r="AC65" s="17">
        <v>399479</v>
      </c>
      <c r="AD65" s="17">
        <v>20288</v>
      </c>
      <c r="AE65" s="17">
        <v>0</v>
      </c>
      <c r="AF65" s="17">
        <v>931</v>
      </c>
      <c r="AG65" s="17">
        <v>1090.5</v>
      </c>
      <c r="AH65" s="17">
        <v>447854</v>
      </c>
      <c r="AI65" s="17">
        <v>30481</v>
      </c>
      <c r="AJ65" s="17">
        <v>0</v>
      </c>
      <c r="AK65" s="17">
        <v>930.80645161290317</v>
      </c>
      <c r="AL65" s="17">
        <v>1093.2258064516129</v>
      </c>
      <c r="AM65" s="17">
        <v>462893</v>
      </c>
      <c r="AN65" s="17">
        <v>40607</v>
      </c>
      <c r="AO65" s="17">
        <v>0</v>
      </c>
      <c r="AP65" s="17">
        <v>915.9677419354839</v>
      </c>
      <c r="AQ65" s="17">
        <v>1101.6129032258063</v>
      </c>
      <c r="AR65" s="17">
        <v>448992</v>
      </c>
      <c r="AS65" s="17">
        <v>30577</v>
      </c>
      <c r="AT65" s="17">
        <v>0</v>
      </c>
      <c r="AU65" s="17">
        <v>901.33333333333337</v>
      </c>
      <c r="AV65" s="17">
        <v>1090</v>
      </c>
      <c r="AW65" s="17">
        <v>470810</v>
      </c>
      <c r="AX65" s="17">
        <v>27565</v>
      </c>
      <c r="AY65" s="17">
        <v>0</v>
      </c>
      <c r="AZ65" s="17">
        <v>918.38709677419354</v>
      </c>
      <c r="BA65" s="17">
        <v>1088.0645161290322</v>
      </c>
      <c r="BB65" s="17">
        <v>503465</v>
      </c>
      <c r="BC65" s="17">
        <v>33667</v>
      </c>
      <c r="BD65" s="17">
        <v>0</v>
      </c>
      <c r="BE65" s="17">
        <v>930</v>
      </c>
      <c r="BF65" s="17">
        <v>1074</v>
      </c>
      <c r="BG65" s="17">
        <v>446291</v>
      </c>
      <c r="BH65" s="17">
        <v>38845</v>
      </c>
      <c r="BI65" s="17">
        <v>0</v>
      </c>
      <c r="BJ65" s="17">
        <v>912.58064516129036</v>
      </c>
      <c r="BK65" s="17">
        <v>1054.516129032258</v>
      </c>
    </row>
    <row r="66" spans="1:63" x14ac:dyDescent="0.35">
      <c r="A66" s="41">
        <v>62</v>
      </c>
      <c r="B66" s="41" t="s">
        <v>236</v>
      </c>
      <c r="C66" s="43" t="s">
        <v>82</v>
      </c>
      <c r="D66" s="17">
        <v>112464</v>
      </c>
      <c r="E66" s="17">
        <v>36584</v>
      </c>
      <c r="F66" s="17">
        <v>1234</v>
      </c>
      <c r="G66" s="17">
        <v>990.9677419354839</v>
      </c>
      <c r="H66" s="17">
        <v>1140.3225806451612</v>
      </c>
      <c r="I66" s="17">
        <v>125449</v>
      </c>
      <c r="J66" s="17">
        <v>27212</v>
      </c>
      <c r="K66" s="17">
        <v>1187</v>
      </c>
      <c r="L66" s="17">
        <v>984.85714285714289</v>
      </c>
      <c r="M66" s="17">
        <v>1140</v>
      </c>
      <c r="N66" s="17">
        <v>123067</v>
      </c>
      <c r="O66" s="17">
        <v>45590</v>
      </c>
      <c r="P66" s="17">
        <v>1704</v>
      </c>
      <c r="Q66" s="17">
        <v>910.32258064516134</v>
      </c>
      <c r="R66" s="17">
        <v>1127.9032258064517</v>
      </c>
      <c r="S66" s="17">
        <v>156345</v>
      </c>
      <c r="T66" s="17">
        <v>31543</v>
      </c>
      <c r="U66" s="17">
        <v>1994</v>
      </c>
      <c r="V66" s="17">
        <v>921.33333333333337</v>
      </c>
      <c r="W66" s="17">
        <v>1115.6666666666667</v>
      </c>
      <c r="X66" s="17">
        <v>126361</v>
      </c>
      <c r="Y66" s="17">
        <v>42930</v>
      </c>
      <c r="Z66" s="17">
        <v>4513</v>
      </c>
      <c r="AA66" s="17">
        <v>887.09677419354841</v>
      </c>
      <c r="AB66" s="17">
        <v>1052.5806451612902</v>
      </c>
      <c r="AC66" s="17">
        <v>150597</v>
      </c>
      <c r="AD66" s="17">
        <v>39386</v>
      </c>
      <c r="AE66" s="17">
        <v>3527</v>
      </c>
      <c r="AF66" s="17">
        <v>897.16666666666663</v>
      </c>
      <c r="AG66" s="17">
        <v>1050.5</v>
      </c>
      <c r="AH66" s="17">
        <v>106523</v>
      </c>
      <c r="AI66" s="17">
        <v>48701</v>
      </c>
      <c r="AJ66" s="17">
        <v>1912</v>
      </c>
      <c r="AK66" s="17">
        <v>897.90322580645159</v>
      </c>
      <c r="AL66" s="17">
        <v>1069.8387096774193</v>
      </c>
      <c r="AM66" s="17">
        <v>98096</v>
      </c>
      <c r="AN66" s="17">
        <v>44429</v>
      </c>
      <c r="AO66" s="17">
        <v>2847</v>
      </c>
      <c r="AP66" s="17">
        <v>883.38709677419354</v>
      </c>
      <c r="AQ66" s="17">
        <v>1083.8709677419354</v>
      </c>
      <c r="AR66" s="17">
        <v>102045</v>
      </c>
      <c r="AS66" s="17">
        <v>45343</v>
      </c>
      <c r="AT66" s="17">
        <v>2509</v>
      </c>
      <c r="AU66" s="17">
        <v>875.33333333333337</v>
      </c>
      <c r="AV66" s="17">
        <v>1050</v>
      </c>
      <c r="AW66" s="17">
        <v>122048</v>
      </c>
      <c r="AX66" s="17">
        <v>41171</v>
      </c>
      <c r="AY66" s="17">
        <v>0</v>
      </c>
      <c r="AZ66" s="17">
        <v>902.90322580645159</v>
      </c>
      <c r="BA66" s="17">
        <v>1042.5806451612902</v>
      </c>
      <c r="BB66" s="17">
        <v>95839</v>
      </c>
      <c r="BC66" s="17">
        <v>41618</v>
      </c>
      <c r="BD66" s="17">
        <v>0</v>
      </c>
      <c r="BE66" s="17">
        <v>910.83333333333337</v>
      </c>
      <c r="BF66" s="17">
        <v>1021.3333333333334</v>
      </c>
      <c r="BG66" s="17">
        <v>81954</v>
      </c>
      <c r="BH66" s="17">
        <v>30003</v>
      </c>
      <c r="BI66" s="17">
        <v>0</v>
      </c>
      <c r="BJ66" s="17">
        <v>900.80645161290317</v>
      </c>
      <c r="BK66" s="17">
        <v>1008.3870967741935</v>
      </c>
    </row>
    <row r="67" spans="1:63" x14ac:dyDescent="0.35">
      <c r="A67" s="41">
        <v>63</v>
      </c>
      <c r="B67" s="41" t="s">
        <v>236</v>
      </c>
      <c r="C67" s="43" t="s">
        <v>83</v>
      </c>
      <c r="D67" s="17">
        <v>58624</v>
      </c>
      <c r="E67" s="17">
        <v>13433</v>
      </c>
      <c r="F67" s="17">
        <v>1061</v>
      </c>
      <c r="G67" s="17">
        <v>990.9677419354839</v>
      </c>
      <c r="H67" s="17">
        <v>1140.3225806451612</v>
      </c>
      <c r="I67" s="17">
        <v>66140</v>
      </c>
      <c r="J67" s="17">
        <v>17909</v>
      </c>
      <c r="K67" s="17">
        <v>1301</v>
      </c>
      <c r="L67" s="17">
        <v>984.85714285714289</v>
      </c>
      <c r="M67" s="17">
        <v>1140</v>
      </c>
      <c r="N67" s="17">
        <v>64496</v>
      </c>
      <c r="O67" s="17">
        <v>18271</v>
      </c>
      <c r="P67" s="17">
        <v>1723</v>
      </c>
      <c r="Q67" s="17">
        <v>910.32258064516134</v>
      </c>
      <c r="R67" s="17">
        <v>1127.9032258064517</v>
      </c>
      <c r="S67" s="17">
        <v>87309</v>
      </c>
      <c r="T67" s="17">
        <v>16978</v>
      </c>
      <c r="U67" s="17">
        <v>3003</v>
      </c>
      <c r="V67" s="17">
        <v>921.33333333333337</v>
      </c>
      <c r="W67" s="17">
        <v>1115.6666666666667</v>
      </c>
      <c r="X67" s="17">
        <v>81121</v>
      </c>
      <c r="Y67" s="17">
        <v>18336</v>
      </c>
      <c r="Z67" s="17">
        <v>5501</v>
      </c>
      <c r="AA67" s="17">
        <v>887.09677419354841</v>
      </c>
      <c r="AB67" s="17">
        <v>1052.5806451612902</v>
      </c>
      <c r="AC67" s="17">
        <v>88102</v>
      </c>
      <c r="AD67" s="17">
        <v>26202</v>
      </c>
      <c r="AE67" s="17">
        <v>7103</v>
      </c>
      <c r="AF67" s="17">
        <v>897.16666666666663</v>
      </c>
      <c r="AG67" s="17">
        <v>1050.5</v>
      </c>
      <c r="AH67" s="17">
        <v>64847</v>
      </c>
      <c r="AI67" s="17">
        <v>16476</v>
      </c>
      <c r="AJ67" s="17">
        <v>7021</v>
      </c>
      <c r="AK67" s="17">
        <v>897.90322580645159</v>
      </c>
      <c r="AL67" s="17">
        <v>1069.8387096774193</v>
      </c>
      <c r="AM67" s="17">
        <v>73732</v>
      </c>
      <c r="AN67" s="17">
        <v>12832</v>
      </c>
      <c r="AO67" s="17">
        <v>2466</v>
      </c>
      <c r="AP67" s="17">
        <v>883.38709677419354</v>
      </c>
      <c r="AQ67" s="17">
        <v>1083.8709677419354</v>
      </c>
      <c r="AR67" s="17">
        <v>70769</v>
      </c>
      <c r="AS67" s="17">
        <v>18174</v>
      </c>
      <c r="AT67" s="17">
        <v>0</v>
      </c>
      <c r="AU67" s="17">
        <v>875.33333333333337</v>
      </c>
      <c r="AV67" s="17">
        <v>1050</v>
      </c>
      <c r="AW67" s="17">
        <v>80179</v>
      </c>
      <c r="AX67" s="17">
        <v>15932</v>
      </c>
      <c r="AY67" s="17">
        <v>10</v>
      </c>
      <c r="AZ67" s="17">
        <v>902.90322580645159</v>
      </c>
      <c r="BA67" s="17">
        <v>1042.5806451612902</v>
      </c>
      <c r="BB67" s="17">
        <v>74211</v>
      </c>
      <c r="BC67" s="17">
        <v>20213</v>
      </c>
      <c r="BD67" s="17">
        <v>0</v>
      </c>
      <c r="BE67" s="17">
        <v>910.83333333333337</v>
      </c>
      <c r="BF67" s="17">
        <v>1021.3333333333334</v>
      </c>
      <c r="BG67" s="17">
        <v>57763</v>
      </c>
      <c r="BH67" s="17">
        <v>16855</v>
      </c>
      <c r="BI67" s="17">
        <v>26</v>
      </c>
      <c r="BJ67" s="17">
        <v>900.93548387096769</v>
      </c>
      <c r="BK67" s="17">
        <v>1008.3870967741935</v>
      </c>
    </row>
    <row r="68" spans="1:63" x14ac:dyDescent="0.35">
      <c r="A68" s="41">
        <v>64</v>
      </c>
      <c r="B68" s="41" t="s">
        <v>236</v>
      </c>
      <c r="C68" s="43" t="s">
        <v>84</v>
      </c>
      <c r="D68" s="17">
        <v>57670</v>
      </c>
      <c r="E68" s="17">
        <v>38091</v>
      </c>
      <c r="F68" s="17">
        <v>798</v>
      </c>
      <c r="G68" s="17">
        <v>990.9677419354839</v>
      </c>
      <c r="H68" s="17">
        <v>1140.3225806451612</v>
      </c>
      <c r="I68" s="17">
        <v>56363</v>
      </c>
      <c r="J68" s="17">
        <v>49359</v>
      </c>
      <c r="K68" s="17">
        <v>810</v>
      </c>
      <c r="L68" s="17">
        <v>984.85714285714289</v>
      </c>
      <c r="M68" s="17">
        <v>1140</v>
      </c>
      <c r="N68" s="17">
        <v>60841</v>
      </c>
      <c r="O68" s="17">
        <v>45007</v>
      </c>
      <c r="P68" s="17">
        <v>1711</v>
      </c>
      <c r="Q68" s="17">
        <v>910.32258064516134</v>
      </c>
      <c r="R68" s="17">
        <v>1127.9032258064517</v>
      </c>
      <c r="S68" s="17">
        <v>70869</v>
      </c>
      <c r="T68" s="17">
        <v>30018</v>
      </c>
      <c r="U68" s="17">
        <v>4973</v>
      </c>
      <c r="V68" s="17">
        <v>921.33333333333337</v>
      </c>
      <c r="W68" s="17">
        <v>1115.6666666666667</v>
      </c>
      <c r="X68" s="17">
        <v>76011</v>
      </c>
      <c r="Y68" s="17">
        <v>32023</v>
      </c>
      <c r="Z68" s="17">
        <v>1678</v>
      </c>
      <c r="AA68" s="17">
        <v>887.09677419354841</v>
      </c>
      <c r="AB68" s="17">
        <v>1052.5806451612902</v>
      </c>
      <c r="AC68" s="17">
        <v>85972</v>
      </c>
      <c r="AD68" s="17">
        <v>38887</v>
      </c>
      <c r="AE68" s="17">
        <v>3161</v>
      </c>
      <c r="AF68" s="17">
        <v>897.16666666666663</v>
      </c>
      <c r="AG68" s="17">
        <v>1050.5</v>
      </c>
      <c r="AH68" s="17">
        <v>67781</v>
      </c>
      <c r="AI68" s="17">
        <v>42751</v>
      </c>
      <c r="AJ68" s="17">
        <v>6873</v>
      </c>
      <c r="AK68" s="17">
        <v>897.90322580645159</v>
      </c>
      <c r="AL68" s="17">
        <v>1069.8387096774193</v>
      </c>
      <c r="AM68" s="17">
        <v>70737</v>
      </c>
      <c r="AN68" s="17">
        <v>33952</v>
      </c>
      <c r="AO68" s="17">
        <v>5471</v>
      </c>
      <c r="AP68" s="17">
        <v>883.38709677419354</v>
      </c>
      <c r="AQ68" s="17">
        <v>1083.8709677419354</v>
      </c>
      <c r="AR68" s="17">
        <v>73225</v>
      </c>
      <c r="AS68" s="17">
        <v>39363</v>
      </c>
      <c r="AT68" s="17">
        <v>3514</v>
      </c>
      <c r="AU68" s="17">
        <v>875.33333333333337</v>
      </c>
      <c r="AV68" s="17">
        <v>1050</v>
      </c>
      <c r="AW68" s="17">
        <v>88907</v>
      </c>
      <c r="AX68" s="17">
        <v>32810</v>
      </c>
      <c r="AY68" s="17">
        <v>100</v>
      </c>
      <c r="AZ68" s="17">
        <v>902.90322580645159</v>
      </c>
      <c r="BA68" s="17">
        <v>1042.9032258064517</v>
      </c>
      <c r="BB68" s="17">
        <v>76341</v>
      </c>
      <c r="BC68" s="17">
        <v>31995</v>
      </c>
      <c r="BD68" s="17">
        <v>0</v>
      </c>
      <c r="BE68" s="17">
        <v>910.83333333333337</v>
      </c>
      <c r="BF68" s="17">
        <v>1021.3333333333334</v>
      </c>
      <c r="BG68" s="17">
        <v>64449</v>
      </c>
      <c r="BH68" s="17">
        <v>44057</v>
      </c>
      <c r="BI68" s="17">
        <v>0</v>
      </c>
      <c r="BJ68" s="17">
        <v>900.93548387096769</v>
      </c>
      <c r="BK68" s="17">
        <v>1008.3870967741935</v>
      </c>
    </row>
    <row r="69" spans="1:63" x14ac:dyDescent="0.35">
      <c r="A69" s="41">
        <v>65</v>
      </c>
      <c r="B69" s="41" t="s">
        <v>236</v>
      </c>
      <c r="C69" s="43" t="s">
        <v>85</v>
      </c>
      <c r="D69" s="17">
        <v>125032</v>
      </c>
      <c r="E69" s="17">
        <v>7338</v>
      </c>
      <c r="F69" s="17">
        <v>639</v>
      </c>
      <c r="G69" s="17">
        <v>990.9677419354839</v>
      </c>
      <c r="H69" s="17">
        <v>1140.3225806451612</v>
      </c>
      <c r="I69" s="17">
        <v>114837</v>
      </c>
      <c r="J69" s="17">
        <v>11072</v>
      </c>
      <c r="K69" s="17">
        <v>667</v>
      </c>
      <c r="L69" s="17">
        <v>984.85714285714289</v>
      </c>
      <c r="M69" s="17">
        <v>1140</v>
      </c>
      <c r="N69" s="17">
        <v>76442</v>
      </c>
      <c r="O69" s="17">
        <v>8077</v>
      </c>
      <c r="P69" s="17">
        <v>342</v>
      </c>
      <c r="Q69" s="17">
        <v>910.32258064516134</v>
      </c>
      <c r="R69" s="17">
        <v>1127.9032258064517</v>
      </c>
      <c r="S69" s="17">
        <v>37719</v>
      </c>
      <c r="T69" s="17">
        <v>3714</v>
      </c>
      <c r="U69" s="17">
        <v>397</v>
      </c>
      <c r="V69" s="17">
        <v>922</v>
      </c>
      <c r="W69" s="17">
        <v>1116.8333333333333</v>
      </c>
      <c r="X69" s="17">
        <v>3026</v>
      </c>
      <c r="Y69" s="17">
        <v>128</v>
      </c>
      <c r="Z69" s="17">
        <v>20</v>
      </c>
      <c r="AA69" s="17">
        <v>887.09677419354841</v>
      </c>
      <c r="AB69" s="17">
        <v>1052.5806451612902</v>
      </c>
      <c r="AC69" s="17">
        <v>85049</v>
      </c>
      <c r="AD69" s="17">
        <v>12707</v>
      </c>
      <c r="AE69" s="17">
        <v>2109</v>
      </c>
      <c r="AF69" s="17">
        <v>897.5333333333333</v>
      </c>
      <c r="AG69" s="17">
        <v>1050.5</v>
      </c>
      <c r="AH69" s="17">
        <v>59496</v>
      </c>
      <c r="AI69" s="17">
        <v>5601</v>
      </c>
      <c r="AJ69" s="17">
        <v>4511</v>
      </c>
      <c r="AK69" s="17">
        <v>897.90322580645159</v>
      </c>
      <c r="AL69" s="17">
        <v>1069.8387096774193</v>
      </c>
      <c r="AM69" s="17">
        <v>71326</v>
      </c>
      <c r="AN69" s="17">
        <v>7553</v>
      </c>
      <c r="AO69" s="17">
        <v>3747</v>
      </c>
      <c r="AP69" s="17">
        <v>883.38709677419354</v>
      </c>
      <c r="AQ69" s="17">
        <v>1083.8709677419354</v>
      </c>
      <c r="AR69" s="17">
        <v>52709</v>
      </c>
      <c r="AS69" s="17">
        <v>7072</v>
      </c>
      <c r="AT69" s="17">
        <v>3874</v>
      </c>
      <c r="AU69" s="17">
        <v>875.33333333333337</v>
      </c>
      <c r="AV69" s="17">
        <v>1049.6666666666667</v>
      </c>
      <c r="AW69" s="17">
        <v>0</v>
      </c>
      <c r="AX69" s="17">
        <v>0</v>
      </c>
      <c r="AY69" s="17">
        <v>0</v>
      </c>
      <c r="AZ69" s="17">
        <v>488.88888888888891</v>
      </c>
      <c r="BA69" s="17">
        <v>583.33333333333337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</row>
    <row r="70" spans="1:63" x14ac:dyDescent="0.35">
      <c r="A70" s="41">
        <v>66</v>
      </c>
      <c r="B70" s="41" t="s">
        <v>236</v>
      </c>
      <c r="C70" s="43" t="s">
        <v>86</v>
      </c>
      <c r="D70" s="17">
        <v>69063</v>
      </c>
      <c r="E70" s="17">
        <v>16148</v>
      </c>
      <c r="F70" s="17">
        <v>1042</v>
      </c>
      <c r="G70" s="17">
        <v>990.9677419354839</v>
      </c>
      <c r="H70" s="17">
        <v>1140.3225806451612</v>
      </c>
      <c r="I70" s="17">
        <v>59417</v>
      </c>
      <c r="J70" s="17">
        <v>21955</v>
      </c>
      <c r="K70" s="17">
        <v>404</v>
      </c>
      <c r="L70" s="17">
        <v>984.85714285714289</v>
      </c>
      <c r="M70" s="17">
        <v>1140</v>
      </c>
      <c r="N70" s="17">
        <v>63850</v>
      </c>
      <c r="O70" s="17">
        <v>15278</v>
      </c>
      <c r="P70" s="17">
        <v>789</v>
      </c>
      <c r="Q70" s="17">
        <v>910.32258064516134</v>
      </c>
      <c r="R70" s="17">
        <v>1127.9032258064517</v>
      </c>
      <c r="S70" s="17">
        <v>82495</v>
      </c>
      <c r="T70" s="17">
        <v>14356</v>
      </c>
      <c r="U70" s="17">
        <v>692</v>
      </c>
      <c r="V70" s="17">
        <v>921.33333333333337</v>
      </c>
      <c r="W70" s="17">
        <v>1115.5</v>
      </c>
      <c r="X70" s="17">
        <v>88308</v>
      </c>
      <c r="Y70" s="17">
        <v>15302</v>
      </c>
      <c r="Z70" s="17">
        <v>1771</v>
      </c>
      <c r="AA70" s="17">
        <v>887.09677419354841</v>
      </c>
      <c r="AB70" s="17">
        <v>1053.8709677419354</v>
      </c>
      <c r="AC70" s="17">
        <v>94127</v>
      </c>
      <c r="AD70" s="17">
        <v>12144</v>
      </c>
      <c r="AE70" s="17">
        <v>1722</v>
      </c>
      <c r="AF70" s="17">
        <v>897.16666666666663</v>
      </c>
      <c r="AG70" s="17">
        <v>1050.5</v>
      </c>
      <c r="AH70" s="17">
        <v>68074</v>
      </c>
      <c r="AI70" s="17">
        <v>16256</v>
      </c>
      <c r="AJ70" s="17">
        <v>1677</v>
      </c>
      <c r="AK70" s="17">
        <v>897.90322580645159</v>
      </c>
      <c r="AL70" s="17">
        <v>1069.8387096774193</v>
      </c>
      <c r="AM70" s="17">
        <v>71629</v>
      </c>
      <c r="AN70" s="17">
        <v>12044</v>
      </c>
      <c r="AO70" s="17">
        <v>5241</v>
      </c>
      <c r="AP70" s="17">
        <v>883.38709677419354</v>
      </c>
      <c r="AQ70" s="17">
        <v>1083.8709677419354</v>
      </c>
      <c r="AR70" s="17">
        <v>77755</v>
      </c>
      <c r="AS70" s="17">
        <v>15867</v>
      </c>
      <c r="AT70" s="17">
        <v>6124</v>
      </c>
      <c r="AU70" s="17">
        <v>875.33333333333337</v>
      </c>
      <c r="AV70" s="17">
        <v>1049.6666666666667</v>
      </c>
      <c r="AW70" s="17">
        <v>88434</v>
      </c>
      <c r="AX70" s="17">
        <v>14950</v>
      </c>
      <c r="AY70" s="17">
        <v>60</v>
      </c>
      <c r="AZ70" s="17">
        <v>902.90322580645159</v>
      </c>
      <c r="BA70" s="17">
        <v>1042.5806451612902</v>
      </c>
      <c r="BB70" s="17">
        <v>79173</v>
      </c>
      <c r="BC70" s="17">
        <v>15154</v>
      </c>
      <c r="BD70" s="17">
        <v>0</v>
      </c>
      <c r="BE70" s="17">
        <v>910.83333333333337</v>
      </c>
      <c r="BF70" s="17">
        <v>1021.3333333333334</v>
      </c>
      <c r="BG70" s="17">
        <v>67937</v>
      </c>
      <c r="BH70" s="17">
        <v>17835</v>
      </c>
      <c r="BI70" s="17">
        <v>0</v>
      </c>
      <c r="BJ70" s="17">
        <v>900.93548387096769</v>
      </c>
      <c r="BK70" s="17">
        <v>1008.3870967741935</v>
      </c>
    </row>
    <row r="71" spans="1:63" x14ac:dyDescent="0.35">
      <c r="A71" s="41">
        <v>67</v>
      </c>
      <c r="B71" s="41" t="s">
        <v>233</v>
      </c>
      <c r="C71" s="43" t="s">
        <v>87</v>
      </c>
      <c r="D71" s="17">
        <v>316169</v>
      </c>
      <c r="E71" s="17">
        <v>15215</v>
      </c>
      <c r="F71" s="17">
        <v>1906</v>
      </c>
      <c r="G71" s="17">
        <v>996.12903225806451</v>
      </c>
      <c r="H71" s="17">
        <v>1151.9354838709678</v>
      </c>
      <c r="I71" s="17">
        <v>308047</v>
      </c>
      <c r="J71" s="17">
        <v>18642</v>
      </c>
      <c r="K71" s="17">
        <v>2095</v>
      </c>
      <c r="L71" s="17">
        <v>970.35714285714289</v>
      </c>
      <c r="M71" s="17">
        <v>1146.4285714285713</v>
      </c>
      <c r="N71" s="17">
        <v>333524</v>
      </c>
      <c r="O71" s="17">
        <v>24140</v>
      </c>
      <c r="P71" s="17">
        <v>1926</v>
      </c>
      <c r="Q71" s="17">
        <v>905</v>
      </c>
      <c r="R71" s="17">
        <v>1140</v>
      </c>
      <c r="S71" s="17">
        <v>330741</v>
      </c>
      <c r="T71" s="17">
        <v>22041</v>
      </c>
      <c r="U71" s="17">
        <v>2464</v>
      </c>
      <c r="V71" s="17">
        <v>918.83333333333337</v>
      </c>
      <c r="W71" s="17">
        <v>1140</v>
      </c>
      <c r="X71" s="17">
        <v>366229</v>
      </c>
      <c r="Y71" s="17">
        <v>16510</v>
      </c>
      <c r="Z71" s="17">
        <v>3392</v>
      </c>
      <c r="AA71" s="17">
        <v>888.22580645161293</v>
      </c>
      <c r="AB71" s="17">
        <v>1113.5483870967741</v>
      </c>
      <c r="AC71" s="17">
        <v>357476</v>
      </c>
      <c r="AD71" s="17">
        <v>14967</v>
      </c>
      <c r="AE71" s="17">
        <v>3421</v>
      </c>
      <c r="AF71" s="17">
        <v>900.5</v>
      </c>
      <c r="AG71" s="17">
        <v>1067.6666666666667</v>
      </c>
      <c r="AH71" s="17">
        <v>344572</v>
      </c>
      <c r="AI71" s="17">
        <v>22085</v>
      </c>
      <c r="AJ71" s="17">
        <v>3634</v>
      </c>
      <c r="AK71" s="17">
        <v>890.61290322580646</v>
      </c>
      <c r="AL71" s="17">
        <v>1102.5806451612902</v>
      </c>
      <c r="AM71" s="17">
        <v>320291</v>
      </c>
      <c r="AN71" s="17">
        <v>23215</v>
      </c>
      <c r="AO71" s="17">
        <v>4838</v>
      </c>
      <c r="AP71" s="17">
        <v>880.91612903225814</v>
      </c>
      <c r="AQ71" s="17">
        <v>1072.5806451612902</v>
      </c>
      <c r="AR71" s="17">
        <v>347142</v>
      </c>
      <c r="AS71" s="17">
        <v>17994</v>
      </c>
      <c r="AT71" s="17">
        <v>5879</v>
      </c>
      <c r="AU71" s="17">
        <v>865.5</v>
      </c>
      <c r="AV71" s="17">
        <v>1050</v>
      </c>
      <c r="AW71" s="17">
        <v>422535</v>
      </c>
      <c r="AX71" s="17">
        <v>19167</v>
      </c>
      <c r="AY71" s="17">
        <v>0</v>
      </c>
      <c r="AZ71" s="17">
        <v>900.9677419354839</v>
      </c>
      <c r="BA71" s="17">
        <v>1043.8709677419354</v>
      </c>
      <c r="BB71" s="17">
        <v>387992</v>
      </c>
      <c r="BC71" s="17">
        <v>16819</v>
      </c>
      <c r="BD71" s="17">
        <v>0</v>
      </c>
      <c r="BE71" s="17">
        <v>917.5</v>
      </c>
      <c r="BF71" s="17">
        <v>1040</v>
      </c>
      <c r="BG71" s="17">
        <v>362945</v>
      </c>
      <c r="BH71" s="17">
        <v>21149</v>
      </c>
      <c r="BI71" s="17">
        <v>0</v>
      </c>
      <c r="BJ71" s="17">
        <v>900.74193548387098</v>
      </c>
      <c r="BK71" s="17">
        <v>1025.3225806451612</v>
      </c>
    </row>
    <row r="72" spans="1:63" x14ac:dyDescent="0.35">
      <c r="A72" s="41">
        <v>68</v>
      </c>
      <c r="B72" s="41" t="s">
        <v>231</v>
      </c>
      <c r="C72" s="43" t="s">
        <v>88</v>
      </c>
      <c r="D72" s="17">
        <v>89155</v>
      </c>
      <c r="E72" s="17">
        <v>6456</v>
      </c>
      <c r="F72" s="17">
        <v>0</v>
      </c>
      <c r="G72" s="17">
        <v>1017.258064516129</v>
      </c>
      <c r="H72" s="17">
        <v>1163.8709677419354</v>
      </c>
      <c r="I72" s="17">
        <v>80923</v>
      </c>
      <c r="J72" s="17">
        <v>9630</v>
      </c>
      <c r="K72" s="17">
        <v>0</v>
      </c>
      <c r="L72" s="17">
        <v>1002.1428571428571</v>
      </c>
      <c r="M72" s="17">
        <v>1160</v>
      </c>
      <c r="N72" s="17">
        <v>99054</v>
      </c>
      <c r="O72" s="17">
        <v>11594</v>
      </c>
      <c r="P72" s="17">
        <v>0</v>
      </c>
      <c r="Q72" s="17">
        <v>930</v>
      </c>
      <c r="R72" s="17">
        <v>1160</v>
      </c>
      <c r="S72" s="17">
        <v>98447</v>
      </c>
      <c r="T72" s="17">
        <v>9033</v>
      </c>
      <c r="U72" s="17">
        <v>0</v>
      </c>
      <c r="V72" s="17">
        <v>951.33333333333337</v>
      </c>
      <c r="W72" s="17">
        <v>1154.6666666666667</v>
      </c>
      <c r="X72" s="17">
        <v>115454</v>
      </c>
      <c r="Y72" s="17">
        <v>8278</v>
      </c>
      <c r="Z72" s="17">
        <v>0</v>
      </c>
      <c r="AA72" s="17">
        <v>909.48387096774195</v>
      </c>
      <c r="AB72" s="17">
        <v>1094.1935483870968</v>
      </c>
      <c r="AC72" s="17">
        <v>102126</v>
      </c>
      <c r="AD72" s="17">
        <v>4979</v>
      </c>
      <c r="AE72" s="17">
        <v>0</v>
      </c>
      <c r="AF72" s="17">
        <v>919.66666666666663</v>
      </c>
      <c r="AG72" s="17">
        <v>1073.3333333333333</v>
      </c>
      <c r="AH72" s="17">
        <v>108532</v>
      </c>
      <c r="AI72" s="17">
        <v>10777</v>
      </c>
      <c r="AJ72" s="17">
        <v>0</v>
      </c>
      <c r="AK72" s="17">
        <v>917.74193548387098</v>
      </c>
      <c r="AL72" s="17">
        <v>1092.5806451612902</v>
      </c>
      <c r="AM72" s="17">
        <v>104886</v>
      </c>
      <c r="AN72" s="17">
        <v>7641</v>
      </c>
      <c r="AO72" s="17">
        <v>0</v>
      </c>
      <c r="AP72" s="17">
        <v>909.19354838709683</v>
      </c>
      <c r="AQ72" s="17">
        <v>1092.5806451612902</v>
      </c>
      <c r="AR72" s="17">
        <v>113547</v>
      </c>
      <c r="AS72" s="17">
        <v>6704</v>
      </c>
      <c r="AT72" s="17">
        <v>0</v>
      </c>
      <c r="AU72" s="17">
        <v>891.66666666666663</v>
      </c>
      <c r="AV72" s="17">
        <v>1090</v>
      </c>
      <c r="AW72" s="17">
        <v>107222</v>
      </c>
      <c r="AX72" s="17">
        <v>12743</v>
      </c>
      <c r="AY72" s="17">
        <v>0</v>
      </c>
      <c r="AZ72" s="17">
        <v>912.58064516129036</v>
      </c>
      <c r="BA72" s="17">
        <v>1087.4193548387098</v>
      </c>
      <c r="BB72" s="17">
        <v>119984</v>
      </c>
      <c r="BC72" s="17">
        <v>7003</v>
      </c>
      <c r="BD72" s="17">
        <v>0</v>
      </c>
      <c r="BE72" s="17">
        <v>920</v>
      </c>
      <c r="BF72" s="17">
        <v>1073.3333333333333</v>
      </c>
      <c r="BG72" s="17">
        <v>129766</v>
      </c>
      <c r="BH72" s="17">
        <v>15058</v>
      </c>
      <c r="BI72" s="17">
        <v>0</v>
      </c>
      <c r="BJ72" s="17">
        <v>892.25806451612902</v>
      </c>
      <c r="BK72" s="17">
        <v>1060</v>
      </c>
    </row>
    <row r="73" spans="1:63" x14ac:dyDescent="0.35">
      <c r="A73" s="41">
        <v>69</v>
      </c>
      <c r="B73" s="41" t="s">
        <v>243</v>
      </c>
      <c r="C73" s="43" t="s">
        <v>89</v>
      </c>
      <c r="D73" s="17">
        <v>243558</v>
      </c>
      <c r="E73" s="17">
        <v>54712</v>
      </c>
      <c r="F73" s="17">
        <v>0</v>
      </c>
      <c r="G73" s="17">
        <v>1046.7741935483871</v>
      </c>
      <c r="H73" s="17">
        <v>1150</v>
      </c>
      <c r="I73" s="17">
        <v>201044</v>
      </c>
      <c r="J73" s="17">
        <v>58943</v>
      </c>
      <c r="K73" s="17">
        <v>0</v>
      </c>
      <c r="L73" s="17">
        <v>1009.2857142857143</v>
      </c>
      <c r="M73" s="17">
        <v>1148.5714285714287</v>
      </c>
      <c r="N73" s="17">
        <v>241825</v>
      </c>
      <c r="O73" s="17">
        <v>65748</v>
      </c>
      <c r="P73" s="17">
        <v>0</v>
      </c>
      <c r="Q73" s="17">
        <v>950.48387096774195</v>
      </c>
      <c r="R73" s="17">
        <v>1140</v>
      </c>
      <c r="S73" s="17">
        <v>268673</v>
      </c>
      <c r="T73" s="17">
        <v>66209</v>
      </c>
      <c r="U73" s="17">
        <v>0</v>
      </c>
      <c r="V73" s="17">
        <v>946.66666666666663</v>
      </c>
      <c r="W73" s="17">
        <v>1117</v>
      </c>
      <c r="X73" s="17">
        <v>227255</v>
      </c>
      <c r="Y73" s="17">
        <v>64331</v>
      </c>
      <c r="Z73" s="17">
        <v>1227</v>
      </c>
      <c r="AA73" s="17">
        <v>915.80645161290317</v>
      </c>
      <c r="AB73" s="17">
        <v>1081.6129032258063</v>
      </c>
      <c r="AC73" s="17">
        <v>207055</v>
      </c>
      <c r="AD73" s="17">
        <v>61757</v>
      </c>
      <c r="AE73" s="17">
        <v>1983</v>
      </c>
      <c r="AF73" s="17">
        <v>926.16666666666663</v>
      </c>
      <c r="AG73" s="17">
        <v>1079</v>
      </c>
      <c r="AH73" s="17">
        <v>213709</v>
      </c>
      <c r="AI73" s="17">
        <v>51802</v>
      </c>
      <c r="AJ73" s="17">
        <v>2329</v>
      </c>
      <c r="AK73" s="17">
        <v>925.48387096774195</v>
      </c>
      <c r="AL73" s="17">
        <v>1090</v>
      </c>
      <c r="AM73" s="17">
        <v>227645</v>
      </c>
      <c r="AN73" s="17">
        <v>55802</v>
      </c>
      <c r="AO73" s="17">
        <v>2078</v>
      </c>
      <c r="AP73" s="17">
        <v>921.29032258064512</v>
      </c>
      <c r="AQ73" s="17">
        <v>1107.741935483871</v>
      </c>
      <c r="AR73" s="17">
        <v>181140</v>
      </c>
      <c r="AS73" s="17">
        <v>45382</v>
      </c>
      <c r="AT73" s="17">
        <v>1928</v>
      </c>
      <c r="AU73" s="17">
        <v>900.66666666666663</v>
      </c>
      <c r="AV73" s="17">
        <v>1100</v>
      </c>
      <c r="AW73" s="17">
        <v>232841</v>
      </c>
      <c r="AX73" s="17">
        <v>54790</v>
      </c>
      <c r="AY73" s="17">
        <v>2435</v>
      </c>
      <c r="AZ73" s="17">
        <v>916.45161290322585</v>
      </c>
      <c r="BA73" s="17">
        <v>1095.1612903225807</v>
      </c>
      <c r="BB73" s="17">
        <v>228645</v>
      </c>
      <c r="BC73" s="17">
        <v>61706</v>
      </c>
      <c r="BD73" s="17">
        <v>1835</v>
      </c>
      <c r="BE73" s="17">
        <v>924</v>
      </c>
      <c r="BF73" s="17">
        <v>1079</v>
      </c>
      <c r="BG73" s="17">
        <v>288513</v>
      </c>
      <c r="BH73" s="17">
        <v>76954</v>
      </c>
      <c r="BI73" s="17">
        <v>1321</v>
      </c>
      <c r="BJ73" s="17">
        <v>906.77419354838707</v>
      </c>
      <c r="BK73" s="17">
        <v>1054.516129032258</v>
      </c>
    </row>
    <row r="74" spans="1:63" x14ac:dyDescent="0.35">
      <c r="A74" s="41">
        <v>70</v>
      </c>
      <c r="B74" s="41" t="s">
        <v>238</v>
      </c>
      <c r="C74" s="43" t="s">
        <v>90</v>
      </c>
      <c r="D74" s="17">
        <v>91292</v>
      </c>
      <c r="E74" s="17">
        <v>5017</v>
      </c>
      <c r="F74" s="17">
        <v>651</v>
      </c>
      <c r="G74" s="17">
        <v>1030.9677419354839</v>
      </c>
      <c r="H74" s="17">
        <v>1150</v>
      </c>
      <c r="I74" s="17">
        <v>94037</v>
      </c>
      <c r="J74" s="17">
        <v>5585</v>
      </c>
      <c r="K74" s="17">
        <v>602</v>
      </c>
      <c r="L74" s="17">
        <v>1004.4642857142857</v>
      </c>
      <c r="M74" s="17">
        <v>1148.5714285714287</v>
      </c>
      <c r="N74" s="17">
        <v>118247</v>
      </c>
      <c r="O74" s="17">
        <v>6655</v>
      </c>
      <c r="P74" s="17">
        <v>693</v>
      </c>
      <c r="Q74" s="17">
        <v>951.29032258064512</v>
      </c>
      <c r="R74" s="17">
        <v>1131.2903225806451</v>
      </c>
      <c r="S74" s="17">
        <v>115185</v>
      </c>
      <c r="T74" s="17">
        <v>4985</v>
      </c>
      <c r="U74" s="17">
        <v>858</v>
      </c>
      <c r="V74" s="17">
        <v>946.66666666666663</v>
      </c>
      <c r="W74" s="17">
        <v>1112.8333333333333</v>
      </c>
      <c r="X74" s="17">
        <v>120474</v>
      </c>
      <c r="Y74" s="17">
        <v>5555</v>
      </c>
      <c r="Z74" s="17">
        <v>990</v>
      </c>
      <c r="AA74" s="17">
        <v>915.80645161290317</v>
      </c>
      <c r="AB74" s="17">
        <v>1078.7096774193549</v>
      </c>
      <c r="AC74" s="17">
        <v>98510</v>
      </c>
      <c r="AD74" s="17">
        <v>2326</v>
      </c>
      <c r="AE74" s="17">
        <v>885</v>
      </c>
      <c r="AF74" s="17">
        <v>926.16666666666663</v>
      </c>
      <c r="AG74" s="17">
        <v>1073</v>
      </c>
      <c r="AH74" s="17">
        <v>95113</v>
      </c>
      <c r="AI74" s="17">
        <v>6439</v>
      </c>
      <c r="AJ74" s="17">
        <v>766</v>
      </c>
      <c r="AK74" s="17">
        <v>925.48387096774195</v>
      </c>
      <c r="AL74" s="17">
        <v>1090</v>
      </c>
      <c r="AM74" s="17">
        <v>91036</v>
      </c>
      <c r="AN74" s="17">
        <v>5212</v>
      </c>
      <c r="AO74" s="17">
        <v>159</v>
      </c>
      <c r="AP74" s="17">
        <v>916.61290322580646</v>
      </c>
      <c r="AQ74" s="17">
        <v>1106.1290322580646</v>
      </c>
      <c r="AR74" s="17">
        <v>102776</v>
      </c>
      <c r="AS74" s="17">
        <v>8650</v>
      </c>
      <c r="AT74" s="17">
        <v>517</v>
      </c>
      <c r="AU74" s="17">
        <v>900.33333333333337</v>
      </c>
      <c r="AV74" s="17">
        <v>1100</v>
      </c>
      <c r="AW74" s="17">
        <v>105279</v>
      </c>
      <c r="AX74" s="17">
        <v>6802</v>
      </c>
      <c r="AY74" s="17">
        <v>561</v>
      </c>
      <c r="AZ74" s="17">
        <v>916.45161290322585</v>
      </c>
      <c r="BA74" s="17">
        <v>1094.516129032258</v>
      </c>
      <c r="BB74" s="17">
        <v>111384</v>
      </c>
      <c r="BC74" s="17">
        <v>6845</v>
      </c>
      <c r="BD74" s="17">
        <v>228</v>
      </c>
      <c r="BE74" s="17">
        <v>921.66666666666663</v>
      </c>
      <c r="BF74" s="17">
        <v>1075.6666666666667</v>
      </c>
      <c r="BG74" s="17">
        <v>115334</v>
      </c>
      <c r="BH74" s="17">
        <v>3386</v>
      </c>
      <c r="BI74" s="17">
        <v>288</v>
      </c>
      <c r="BJ74" s="17">
        <v>901.45161290322585</v>
      </c>
      <c r="BK74" s="17">
        <v>1049.0322580645161</v>
      </c>
    </row>
    <row r="75" spans="1:63" x14ac:dyDescent="0.35">
      <c r="A75" s="41">
        <v>71</v>
      </c>
      <c r="B75" s="41" t="s">
        <v>237</v>
      </c>
      <c r="C75" s="43" t="s">
        <v>91</v>
      </c>
      <c r="D75" s="17">
        <v>247769</v>
      </c>
      <c r="E75" s="17">
        <v>22880</v>
      </c>
      <c r="F75" s="17">
        <v>0</v>
      </c>
      <c r="G75" s="17">
        <v>1007.741935483871</v>
      </c>
      <c r="H75" s="17">
        <v>1150</v>
      </c>
      <c r="I75" s="17">
        <v>201435</v>
      </c>
      <c r="J75" s="17">
        <v>31152</v>
      </c>
      <c r="K75" s="17">
        <v>0</v>
      </c>
      <c r="L75" s="17">
        <v>1000.1785714285714</v>
      </c>
      <c r="M75" s="17">
        <v>1150</v>
      </c>
      <c r="N75" s="17">
        <v>226046</v>
      </c>
      <c r="O75" s="17">
        <v>23751</v>
      </c>
      <c r="P75" s="17">
        <v>0</v>
      </c>
      <c r="Q75" s="17">
        <v>941.45161290322585</v>
      </c>
      <c r="R75" s="17">
        <v>1150</v>
      </c>
      <c r="S75" s="17">
        <v>244888</v>
      </c>
      <c r="T75" s="17">
        <v>21384</v>
      </c>
      <c r="U75" s="17">
        <v>0</v>
      </c>
      <c r="V75" s="17">
        <v>944.33333333333337</v>
      </c>
      <c r="W75" s="17">
        <v>1135</v>
      </c>
      <c r="X75" s="17">
        <v>192500</v>
      </c>
      <c r="Y75" s="17">
        <v>20972</v>
      </c>
      <c r="Z75" s="17">
        <v>0</v>
      </c>
      <c r="AA75" s="17">
        <v>913.22580645161293</v>
      </c>
      <c r="AB75" s="17">
        <v>1087.4193548387098</v>
      </c>
      <c r="AC75" s="17">
        <v>136476</v>
      </c>
      <c r="AD75" s="17">
        <v>20835</v>
      </c>
      <c r="AE75" s="17">
        <v>0</v>
      </c>
      <c r="AF75" s="17">
        <v>924.83333333333337</v>
      </c>
      <c r="AG75" s="17">
        <v>1079.6666666666667</v>
      </c>
      <c r="AH75" s="17">
        <v>126993</v>
      </c>
      <c r="AI75" s="17">
        <v>22633</v>
      </c>
      <c r="AJ75" s="17">
        <v>0</v>
      </c>
      <c r="AK75" s="17">
        <v>920.64516129032256</v>
      </c>
      <c r="AL75" s="17">
        <v>1090</v>
      </c>
      <c r="AM75" s="17">
        <v>120379</v>
      </c>
      <c r="AN75" s="17">
        <v>23288</v>
      </c>
      <c r="AO75" s="17">
        <v>0</v>
      </c>
      <c r="AP75" s="17">
        <v>910</v>
      </c>
      <c r="AQ75" s="17">
        <v>1109.3548387096773</v>
      </c>
      <c r="AR75" s="17">
        <v>129962</v>
      </c>
      <c r="AS75" s="17">
        <v>23724</v>
      </c>
      <c r="AT75" s="17">
        <v>0</v>
      </c>
      <c r="AU75" s="17">
        <v>892</v>
      </c>
      <c r="AV75" s="17">
        <v>1100</v>
      </c>
      <c r="AW75" s="17">
        <v>126528</v>
      </c>
      <c r="AX75" s="17">
        <v>25132</v>
      </c>
      <c r="AY75" s="17">
        <v>0</v>
      </c>
      <c r="AZ75" s="17">
        <v>913.22580645161293</v>
      </c>
      <c r="BA75" s="17">
        <v>1088.0645161290322</v>
      </c>
      <c r="BB75" s="17">
        <v>126900</v>
      </c>
      <c r="BC75" s="17">
        <v>33252</v>
      </c>
      <c r="BD75" s="17">
        <v>0</v>
      </c>
      <c r="BE75" s="17">
        <v>919.33333333333337</v>
      </c>
      <c r="BF75" s="17">
        <v>1063.3333333333333</v>
      </c>
      <c r="BG75" s="17">
        <v>137052</v>
      </c>
      <c r="BH75" s="17">
        <v>23359</v>
      </c>
      <c r="BI75" s="17">
        <v>0</v>
      </c>
      <c r="BJ75" s="17">
        <v>895.32258064516134</v>
      </c>
      <c r="BK75" s="17">
        <v>1044.8387096774193</v>
      </c>
    </row>
    <row r="76" spans="1:63" x14ac:dyDescent="0.35">
      <c r="A76" s="41">
        <v>72</v>
      </c>
      <c r="B76" s="41" t="s">
        <v>246</v>
      </c>
      <c r="C76" s="43" t="s">
        <v>92</v>
      </c>
      <c r="D76" s="17">
        <v>213314</v>
      </c>
      <c r="E76" s="17">
        <v>33237</v>
      </c>
      <c r="F76" s="17">
        <v>0</v>
      </c>
      <c r="G76" s="17">
        <v>1003.0645161290323</v>
      </c>
      <c r="H76" s="17">
        <v>1150</v>
      </c>
      <c r="I76" s="17">
        <v>211313</v>
      </c>
      <c r="J76" s="17">
        <v>24255</v>
      </c>
      <c r="K76" s="17">
        <v>0</v>
      </c>
      <c r="L76" s="17">
        <v>1000</v>
      </c>
      <c r="M76" s="17">
        <v>1150</v>
      </c>
      <c r="N76" s="17">
        <v>239744</v>
      </c>
      <c r="O76" s="17">
        <v>22958</v>
      </c>
      <c r="P76" s="17">
        <v>0</v>
      </c>
      <c r="Q76" s="17">
        <v>948.70967741935488</v>
      </c>
      <c r="R76" s="17">
        <v>1141.6129032258063</v>
      </c>
      <c r="S76" s="17">
        <v>224016</v>
      </c>
      <c r="T76" s="17">
        <v>39007</v>
      </c>
      <c r="U76" s="17">
        <v>0</v>
      </c>
      <c r="V76" s="17">
        <v>944.33333333333337</v>
      </c>
      <c r="W76" s="17">
        <v>1113.6666666666667</v>
      </c>
      <c r="X76" s="17">
        <v>219240</v>
      </c>
      <c r="Y76" s="17">
        <v>52568</v>
      </c>
      <c r="Z76" s="17">
        <v>0</v>
      </c>
      <c r="AA76" s="17">
        <v>909.0322580645161</v>
      </c>
      <c r="AB76" s="17">
        <v>1075.8064516129032</v>
      </c>
      <c r="AC76" s="17">
        <v>199676</v>
      </c>
      <c r="AD76" s="17">
        <v>33118</v>
      </c>
      <c r="AE76" s="17">
        <v>0</v>
      </c>
      <c r="AF76" s="17">
        <v>923</v>
      </c>
      <c r="AG76" s="17">
        <v>1076</v>
      </c>
      <c r="AH76" s="17">
        <v>200772</v>
      </c>
      <c r="AI76" s="17">
        <v>24442</v>
      </c>
      <c r="AJ76" s="17">
        <v>0</v>
      </c>
      <c r="AK76" s="17">
        <v>920</v>
      </c>
      <c r="AL76" s="17">
        <v>1090</v>
      </c>
      <c r="AM76" s="17">
        <v>195855</v>
      </c>
      <c r="AN76" s="17">
        <v>19760</v>
      </c>
      <c r="AO76" s="17">
        <v>0</v>
      </c>
      <c r="AP76" s="17">
        <v>911.29032258064512</v>
      </c>
      <c r="AQ76" s="17">
        <v>1109.3548387096773</v>
      </c>
      <c r="AR76" s="17">
        <v>196287</v>
      </c>
      <c r="AS76" s="17">
        <v>34126</v>
      </c>
      <c r="AT76" s="17">
        <v>0</v>
      </c>
      <c r="AU76" s="17">
        <v>892</v>
      </c>
      <c r="AV76" s="17">
        <v>1100</v>
      </c>
      <c r="AW76" s="17">
        <v>219230</v>
      </c>
      <c r="AX76" s="17">
        <v>39856</v>
      </c>
      <c r="AY76" s="17">
        <v>0</v>
      </c>
      <c r="AZ76" s="17">
        <v>912.09677419354841</v>
      </c>
      <c r="BA76" s="17">
        <v>1087.741935483871</v>
      </c>
      <c r="BB76" s="17">
        <v>221207</v>
      </c>
      <c r="BC76" s="17">
        <v>38341</v>
      </c>
      <c r="BD76" s="17">
        <v>0</v>
      </c>
      <c r="BE76" s="17">
        <v>919.33333333333337</v>
      </c>
      <c r="BF76" s="17">
        <v>1063.3333333333333</v>
      </c>
      <c r="BG76" s="17">
        <v>176446</v>
      </c>
      <c r="BH76" s="17">
        <v>20486</v>
      </c>
      <c r="BI76" s="17">
        <v>0</v>
      </c>
      <c r="BJ76" s="17">
        <v>898.87096774193549</v>
      </c>
      <c r="BK76" s="17">
        <v>1050</v>
      </c>
    </row>
    <row r="77" spans="1:63" x14ac:dyDescent="0.35">
      <c r="A77" s="41">
        <v>73</v>
      </c>
      <c r="B77" s="41" t="s">
        <v>235</v>
      </c>
      <c r="C77" s="43" t="s">
        <v>93</v>
      </c>
      <c r="D77" s="17">
        <v>241365</v>
      </c>
      <c r="E77" s="17">
        <v>18267</v>
      </c>
      <c r="F77" s="17">
        <v>0</v>
      </c>
      <c r="G77" s="17">
        <v>1000</v>
      </c>
      <c r="H77" s="17">
        <v>1180.3225806451612</v>
      </c>
      <c r="I77" s="17">
        <v>330005</v>
      </c>
      <c r="J77" s="17">
        <v>21962</v>
      </c>
      <c r="K77" s="17">
        <v>0</v>
      </c>
      <c r="L77" s="17">
        <v>989.28571428571433</v>
      </c>
      <c r="M77" s="17">
        <v>1173.5714285714287</v>
      </c>
      <c r="N77" s="17">
        <v>320531</v>
      </c>
      <c r="O77" s="17">
        <v>20140</v>
      </c>
      <c r="P77" s="17">
        <v>0</v>
      </c>
      <c r="Q77" s="17">
        <v>945.80645161290317</v>
      </c>
      <c r="R77" s="17">
        <v>1169.3548387096773</v>
      </c>
      <c r="S77" s="17">
        <v>314592</v>
      </c>
      <c r="T77" s="17">
        <v>29311</v>
      </c>
      <c r="U77" s="17">
        <v>0</v>
      </c>
      <c r="V77" s="17">
        <v>950.66666666666663</v>
      </c>
      <c r="W77" s="17">
        <v>1158.3333333333333</v>
      </c>
      <c r="X77" s="17">
        <v>294997</v>
      </c>
      <c r="Y77" s="17">
        <v>21192</v>
      </c>
      <c r="Z77" s="17">
        <v>0</v>
      </c>
      <c r="AA77" s="17">
        <v>920</v>
      </c>
      <c r="AB77" s="17">
        <v>1133.8709677419354</v>
      </c>
      <c r="AC77" s="17">
        <v>252003</v>
      </c>
      <c r="AD77" s="17">
        <v>13431</v>
      </c>
      <c r="AE77" s="17">
        <v>0</v>
      </c>
      <c r="AF77" s="17">
        <v>920.66666666666663</v>
      </c>
      <c r="AG77" s="17">
        <v>1130</v>
      </c>
      <c r="AH77" s="17">
        <v>233150</v>
      </c>
      <c r="AI77" s="17">
        <v>15232</v>
      </c>
      <c r="AJ77" s="17">
        <v>0</v>
      </c>
      <c r="AK77" s="17">
        <v>917.41935483870964</v>
      </c>
      <c r="AL77" s="17">
        <v>1108.3870967741937</v>
      </c>
      <c r="AM77" s="17">
        <v>237131</v>
      </c>
      <c r="AN77" s="17">
        <v>16464</v>
      </c>
      <c r="AO77" s="17">
        <v>0</v>
      </c>
      <c r="AP77" s="17">
        <v>914.0322580645161</v>
      </c>
      <c r="AQ77" s="17">
        <v>1116.7741935483871</v>
      </c>
      <c r="AR77" s="17">
        <v>232728</v>
      </c>
      <c r="AS77" s="17">
        <v>14466</v>
      </c>
      <c r="AT77" s="17">
        <v>0</v>
      </c>
      <c r="AU77" s="17">
        <v>896.66666666666663</v>
      </c>
      <c r="AV77" s="17">
        <v>1100</v>
      </c>
      <c r="AW77" s="17">
        <v>349265</v>
      </c>
      <c r="AX77" s="17">
        <v>18250</v>
      </c>
      <c r="AY77" s="17">
        <v>0</v>
      </c>
      <c r="AZ77" s="17">
        <v>933.54838709677415</v>
      </c>
      <c r="BA77" s="17">
        <v>1087.4193548387098</v>
      </c>
      <c r="BB77" s="17">
        <v>246492</v>
      </c>
      <c r="BC77" s="17">
        <v>14269</v>
      </c>
      <c r="BD77" s="17">
        <v>0</v>
      </c>
      <c r="BE77" s="17">
        <v>943.16666666666663</v>
      </c>
      <c r="BF77" s="17">
        <v>1047.3333333333333</v>
      </c>
      <c r="BG77" s="17">
        <v>185150</v>
      </c>
      <c r="BH77" s="17">
        <v>16830</v>
      </c>
      <c r="BI77" s="17">
        <v>0</v>
      </c>
      <c r="BJ77" s="17">
        <v>917.58064516129036</v>
      </c>
      <c r="BK77" s="17">
        <v>1040</v>
      </c>
    </row>
    <row r="78" spans="1:63" x14ac:dyDescent="0.35">
      <c r="A78" s="41">
        <v>74</v>
      </c>
      <c r="B78" s="41" t="s">
        <v>241</v>
      </c>
      <c r="C78" s="43" t="s">
        <v>94</v>
      </c>
      <c r="D78" s="17">
        <v>51689</v>
      </c>
      <c r="E78" s="17">
        <v>6512</v>
      </c>
      <c r="F78" s="17">
        <v>0</v>
      </c>
      <c r="G78" s="17">
        <v>1014.4516129032259</v>
      </c>
      <c r="H78" s="17">
        <v>1190</v>
      </c>
      <c r="I78" s="17">
        <v>57081</v>
      </c>
      <c r="J78" s="17">
        <v>8449</v>
      </c>
      <c r="K78" s="17">
        <v>0</v>
      </c>
      <c r="L78" s="17">
        <v>1007.25</v>
      </c>
      <c r="M78" s="17">
        <v>1177.8571428571429</v>
      </c>
      <c r="N78" s="17">
        <v>62140</v>
      </c>
      <c r="O78" s="17">
        <v>7224</v>
      </c>
      <c r="P78" s="17">
        <v>0</v>
      </c>
      <c r="Q78" s="17">
        <v>949.58064516129036</v>
      </c>
      <c r="R78" s="17">
        <v>1162.9032258064517</v>
      </c>
      <c r="S78" s="17">
        <v>73307</v>
      </c>
      <c r="T78" s="17">
        <v>6862</v>
      </c>
      <c r="U78" s="17">
        <v>0</v>
      </c>
      <c r="V78" s="17">
        <v>952.33333333333337</v>
      </c>
      <c r="W78" s="17">
        <v>1153.3333333333333</v>
      </c>
      <c r="X78" s="17">
        <v>51463</v>
      </c>
      <c r="Y78" s="17">
        <v>3045</v>
      </c>
      <c r="Z78" s="17">
        <v>0</v>
      </c>
      <c r="AA78" s="17">
        <v>919.0322580645161</v>
      </c>
      <c r="AB78" s="17">
        <v>1127.4193548387098</v>
      </c>
      <c r="AC78" s="17">
        <v>54663</v>
      </c>
      <c r="AD78" s="17">
        <v>6345</v>
      </c>
      <c r="AE78" s="17">
        <v>0</v>
      </c>
      <c r="AF78" s="17">
        <v>923.66666666666663</v>
      </c>
      <c r="AG78" s="17">
        <v>1105.6666666666667</v>
      </c>
      <c r="AH78" s="17">
        <v>50988</v>
      </c>
      <c r="AI78" s="17">
        <v>4486</v>
      </c>
      <c r="AJ78" s="17">
        <v>0</v>
      </c>
      <c r="AK78" s="17">
        <v>918.06451612903231</v>
      </c>
      <c r="AL78" s="17">
        <v>1105.1612903225807</v>
      </c>
      <c r="AM78" s="17">
        <v>41851</v>
      </c>
      <c r="AN78" s="17">
        <v>4799</v>
      </c>
      <c r="AO78" s="17">
        <v>0</v>
      </c>
      <c r="AP78" s="17">
        <v>921.45161290322585</v>
      </c>
      <c r="AQ78" s="17">
        <v>1121.9354838709678</v>
      </c>
      <c r="AR78" s="17">
        <v>45654</v>
      </c>
      <c r="AS78" s="17">
        <v>4189</v>
      </c>
      <c r="AT78" s="17">
        <v>0</v>
      </c>
      <c r="AU78" s="17">
        <v>901.66666666666663</v>
      </c>
      <c r="AV78" s="17">
        <v>1110.6666666666667</v>
      </c>
      <c r="AW78" s="17">
        <v>80351</v>
      </c>
      <c r="AX78" s="17">
        <v>3407</v>
      </c>
      <c r="AY78" s="17">
        <v>0</v>
      </c>
      <c r="AZ78" s="17">
        <v>943.06451612903231</v>
      </c>
      <c r="BA78" s="17">
        <v>1098.3870967741937</v>
      </c>
      <c r="BB78" s="17">
        <v>53586</v>
      </c>
      <c r="BC78" s="17">
        <v>2164</v>
      </c>
      <c r="BD78" s="17">
        <v>0</v>
      </c>
      <c r="BE78" s="17">
        <v>950</v>
      </c>
      <c r="BF78" s="17">
        <v>1050</v>
      </c>
      <c r="BG78" s="17">
        <v>40715</v>
      </c>
      <c r="BH78" s="17">
        <v>2050</v>
      </c>
      <c r="BI78" s="17">
        <v>0</v>
      </c>
      <c r="BJ78" s="17">
        <v>925</v>
      </c>
      <c r="BK78" s="17">
        <v>1050</v>
      </c>
    </row>
    <row r="79" spans="1:63" x14ac:dyDescent="0.35">
      <c r="A79" s="41">
        <v>75</v>
      </c>
      <c r="B79" s="41" t="s">
        <v>241</v>
      </c>
      <c r="C79" s="43" t="s">
        <v>95</v>
      </c>
      <c r="D79" s="17">
        <v>94123</v>
      </c>
      <c r="E79" s="17">
        <v>10081</v>
      </c>
      <c r="F79" s="17">
        <v>0</v>
      </c>
      <c r="G79" s="17">
        <v>1017.3548387096774</v>
      </c>
      <c r="H79" s="17">
        <v>1190</v>
      </c>
      <c r="I79" s="17">
        <v>78107</v>
      </c>
      <c r="J79" s="17">
        <v>10766</v>
      </c>
      <c r="K79" s="17">
        <v>0</v>
      </c>
      <c r="L79" s="17">
        <v>1008.6785714285714</v>
      </c>
      <c r="M79" s="17">
        <v>1177.8571428571429</v>
      </c>
      <c r="N79" s="17">
        <v>91073</v>
      </c>
      <c r="O79" s="17">
        <v>11684</v>
      </c>
      <c r="P79" s="17">
        <v>0</v>
      </c>
      <c r="Q79" s="17">
        <v>949.58064516129036</v>
      </c>
      <c r="R79" s="17">
        <v>1162.9032258064517</v>
      </c>
      <c r="S79" s="17">
        <v>105104</v>
      </c>
      <c r="T79" s="17">
        <v>14944</v>
      </c>
      <c r="U79" s="17">
        <v>0</v>
      </c>
      <c r="V79" s="17">
        <v>952.33333333333337</v>
      </c>
      <c r="W79" s="17">
        <v>1153.3333333333333</v>
      </c>
      <c r="X79" s="17">
        <v>120463</v>
      </c>
      <c r="Y79" s="17">
        <v>14711</v>
      </c>
      <c r="Z79" s="17">
        <v>0</v>
      </c>
      <c r="AA79" s="17">
        <v>919.0322580645161</v>
      </c>
      <c r="AB79" s="17">
        <v>1127.4193548387098</v>
      </c>
      <c r="AC79" s="17">
        <v>122629</v>
      </c>
      <c r="AD79" s="17">
        <v>13805</v>
      </c>
      <c r="AE79" s="17">
        <v>0</v>
      </c>
      <c r="AF79" s="17">
        <v>923.66666666666663</v>
      </c>
      <c r="AG79" s="17">
        <v>1105.6666666666667</v>
      </c>
      <c r="AH79" s="17">
        <v>108434</v>
      </c>
      <c r="AI79" s="17">
        <v>13613</v>
      </c>
      <c r="AJ79" s="17">
        <v>0</v>
      </c>
      <c r="AK79" s="17">
        <v>918.06451612903231</v>
      </c>
      <c r="AL79" s="17">
        <v>1105.1612903225807</v>
      </c>
      <c r="AM79" s="17">
        <v>113486</v>
      </c>
      <c r="AN79" s="17">
        <v>14190</v>
      </c>
      <c r="AO79" s="17">
        <v>0</v>
      </c>
      <c r="AP79" s="17">
        <v>921.45161290322585</v>
      </c>
      <c r="AQ79" s="17">
        <v>1121.9354838709678</v>
      </c>
      <c r="AR79" s="17">
        <v>149432</v>
      </c>
      <c r="AS79" s="17">
        <v>16015</v>
      </c>
      <c r="AT79" s="17">
        <v>0</v>
      </c>
      <c r="AU79" s="17">
        <v>901.66666666666663</v>
      </c>
      <c r="AV79" s="17">
        <v>1110.6666666666667</v>
      </c>
      <c r="AW79" s="17">
        <v>282740</v>
      </c>
      <c r="AX79" s="17">
        <v>18850</v>
      </c>
      <c r="AY79" s="17">
        <v>0</v>
      </c>
      <c r="AZ79" s="17">
        <v>943.06451612903231</v>
      </c>
      <c r="BA79" s="17">
        <v>1098.3870967741937</v>
      </c>
      <c r="BB79" s="17">
        <v>135229</v>
      </c>
      <c r="BC79" s="17">
        <v>12858</v>
      </c>
      <c r="BD79" s="17">
        <v>0</v>
      </c>
      <c r="BE79" s="17">
        <v>950</v>
      </c>
      <c r="BF79" s="17">
        <v>1050</v>
      </c>
      <c r="BG79" s="17">
        <v>110291</v>
      </c>
      <c r="BH79" s="17">
        <v>12771</v>
      </c>
      <c r="BI79" s="17">
        <v>0</v>
      </c>
      <c r="BJ79" s="17">
        <v>925</v>
      </c>
      <c r="BK79" s="17">
        <v>1050</v>
      </c>
    </row>
    <row r="80" spans="1:63" x14ac:dyDescent="0.35">
      <c r="A80" s="41">
        <v>76</v>
      </c>
      <c r="B80" s="41" t="s">
        <v>241</v>
      </c>
      <c r="C80" s="43" t="s">
        <v>96</v>
      </c>
      <c r="D80" s="17">
        <v>37285</v>
      </c>
      <c r="E80" s="17">
        <v>2122</v>
      </c>
      <c r="F80" s="17">
        <v>0</v>
      </c>
      <c r="G80" s="17">
        <v>1017.3548387096774</v>
      </c>
      <c r="H80" s="17">
        <v>1190</v>
      </c>
      <c r="I80" s="17">
        <v>32698</v>
      </c>
      <c r="J80" s="17">
        <v>811</v>
      </c>
      <c r="K80" s="17">
        <v>0</v>
      </c>
      <c r="L80" s="17">
        <v>1005.2857142857143</v>
      </c>
      <c r="M80" s="17">
        <v>1177.8571428571429</v>
      </c>
      <c r="N80" s="17">
        <v>24994</v>
      </c>
      <c r="O80" s="17">
        <v>1173</v>
      </c>
      <c r="P80" s="17">
        <v>0</v>
      </c>
      <c r="Q80" s="17">
        <v>948.70967741935488</v>
      </c>
      <c r="R80" s="17">
        <v>1162.5806451612902</v>
      </c>
      <c r="S80" s="17">
        <v>33969</v>
      </c>
      <c r="T80" s="17">
        <v>388</v>
      </c>
      <c r="U80" s="17">
        <v>0</v>
      </c>
      <c r="V80" s="17">
        <v>964.33333333333337</v>
      </c>
      <c r="W80" s="17">
        <v>1153.3333333333333</v>
      </c>
      <c r="X80" s="17">
        <v>32074</v>
      </c>
      <c r="Y80" s="17">
        <v>1241</v>
      </c>
      <c r="Z80" s="17">
        <v>0</v>
      </c>
      <c r="AA80" s="17">
        <v>927.58064516129036</v>
      </c>
      <c r="AB80" s="17">
        <v>1127.4193548387098</v>
      </c>
      <c r="AC80" s="17">
        <v>35031</v>
      </c>
      <c r="AD80" s="17">
        <v>3783</v>
      </c>
      <c r="AE80" s="17">
        <v>0</v>
      </c>
      <c r="AF80" s="17">
        <v>927</v>
      </c>
      <c r="AG80" s="17">
        <v>1109</v>
      </c>
      <c r="AH80" s="17">
        <v>32205</v>
      </c>
      <c r="AI80" s="17">
        <v>1159</v>
      </c>
      <c r="AJ80" s="17">
        <v>0</v>
      </c>
      <c r="AK80" s="17">
        <v>924.67741935483866</v>
      </c>
      <c r="AL80" s="17">
        <v>1108.3870967741937</v>
      </c>
      <c r="AM80" s="17">
        <v>35237</v>
      </c>
      <c r="AN80" s="17">
        <v>488</v>
      </c>
      <c r="AO80" s="17">
        <v>0</v>
      </c>
      <c r="AP80" s="17">
        <v>925.64516129032256</v>
      </c>
      <c r="AQ80" s="17">
        <v>1121.9354838709678</v>
      </c>
      <c r="AR80" s="17">
        <v>41368</v>
      </c>
      <c r="AS80" s="17">
        <v>549</v>
      </c>
      <c r="AT80" s="17">
        <v>0</v>
      </c>
      <c r="AU80" s="17">
        <v>904.16666666666663</v>
      </c>
      <c r="AV80" s="17">
        <v>1111.3333333333333</v>
      </c>
      <c r="AW80" s="17">
        <v>66513</v>
      </c>
      <c r="AX80" s="17">
        <v>1004</v>
      </c>
      <c r="AY80" s="17">
        <v>50</v>
      </c>
      <c r="AZ80" s="17">
        <v>943.51612903225805</v>
      </c>
      <c r="BA80" s="17">
        <v>1098.3870967741937</v>
      </c>
      <c r="BB80" s="17">
        <v>50060</v>
      </c>
      <c r="BC80" s="17">
        <v>1415</v>
      </c>
      <c r="BD80" s="17">
        <v>50</v>
      </c>
      <c r="BE80" s="17">
        <v>953.33333333333337</v>
      </c>
      <c r="BF80" s="17">
        <v>1050</v>
      </c>
      <c r="BG80" s="17">
        <v>41910</v>
      </c>
      <c r="BH80" s="17">
        <v>1594</v>
      </c>
      <c r="BI80" s="17">
        <v>0</v>
      </c>
      <c r="BJ80" s="17">
        <v>929.87096774193549</v>
      </c>
      <c r="BK80" s="17">
        <v>1050</v>
      </c>
    </row>
    <row r="81" spans="1:63" x14ac:dyDescent="0.35">
      <c r="A81" s="41">
        <v>77</v>
      </c>
      <c r="B81" s="41" t="s">
        <v>241</v>
      </c>
      <c r="C81" s="43" t="s">
        <v>97</v>
      </c>
      <c r="D81" s="17">
        <v>67100</v>
      </c>
      <c r="E81" s="17">
        <v>7554</v>
      </c>
      <c r="F81" s="17">
        <v>0</v>
      </c>
      <c r="G81" s="17">
        <v>1017.3548387096774</v>
      </c>
      <c r="H81" s="17">
        <v>1190</v>
      </c>
      <c r="I81" s="17">
        <v>64675</v>
      </c>
      <c r="J81" s="17">
        <v>5319</v>
      </c>
      <c r="K81" s="17">
        <v>0</v>
      </c>
      <c r="L81" s="17">
        <v>1005.2857142857143</v>
      </c>
      <c r="M81" s="17">
        <v>1177.8571428571429</v>
      </c>
      <c r="N81" s="17">
        <v>72195</v>
      </c>
      <c r="O81" s="17">
        <v>5049</v>
      </c>
      <c r="P81" s="17">
        <v>0</v>
      </c>
      <c r="Q81" s="17">
        <v>949.67741935483866</v>
      </c>
      <c r="R81" s="17">
        <v>1162.9032258064517</v>
      </c>
      <c r="S81" s="17">
        <v>91500</v>
      </c>
      <c r="T81" s="17">
        <v>12843</v>
      </c>
      <c r="U81" s="17">
        <v>0</v>
      </c>
      <c r="V81" s="17">
        <v>965.33333333333337</v>
      </c>
      <c r="W81" s="17">
        <v>1153.3333333333333</v>
      </c>
      <c r="X81" s="17">
        <v>60957</v>
      </c>
      <c r="Y81" s="17">
        <v>15665</v>
      </c>
      <c r="Z81" s="17">
        <v>0</v>
      </c>
      <c r="AA81" s="17">
        <v>927.90322580645159</v>
      </c>
      <c r="AB81" s="17">
        <v>1127.4193548387098</v>
      </c>
      <c r="AC81" s="17">
        <v>77385</v>
      </c>
      <c r="AD81" s="17">
        <v>7222</v>
      </c>
      <c r="AE81" s="17">
        <v>0</v>
      </c>
      <c r="AF81" s="17">
        <v>927</v>
      </c>
      <c r="AG81" s="17">
        <v>1109</v>
      </c>
      <c r="AH81" s="17">
        <v>67584</v>
      </c>
      <c r="AI81" s="17">
        <v>9065</v>
      </c>
      <c r="AJ81" s="17">
        <v>0</v>
      </c>
      <c r="AK81" s="17">
        <v>924.67741935483866</v>
      </c>
      <c r="AL81" s="17">
        <v>1108.3870967741937</v>
      </c>
      <c r="AM81" s="17">
        <v>49639</v>
      </c>
      <c r="AN81" s="17">
        <v>6816</v>
      </c>
      <c r="AO81" s="17">
        <v>0</v>
      </c>
      <c r="AP81" s="17">
        <v>925.64516129032256</v>
      </c>
      <c r="AQ81" s="17">
        <v>1121.9354838709678</v>
      </c>
      <c r="AR81" s="17">
        <v>53134</v>
      </c>
      <c r="AS81" s="17">
        <v>5675</v>
      </c>
      <c r="AT81" s="17">
        <v>0</v>
      </c>
      <c r="AU81" s="17">
        <v>904.16666666666663</v>
      </c>
      <c r="AV81" s="17">
        <v>1110.6666666666667</v>
      </c>
      <c r="AW81" s="17">
        <v>95327</v>
      </c>
      <c r="AX81" s="17">
        <v>8002</v>
      </c>
      <c r="AY81" s="17">
        <v>0</v>
      </c>
      <c r="AZ81" s="17">
        <v>943.22580645161293</v>
      </c>
      <c r="BA81" s="17">
        <v>1098.3870967741937</v>
      </c>
      <c r="BB81" s="17">
        <v>64566</v>
      </c>
      <c r="BC81" s="17">
        <v>8116</v>
      </c>
      <c r="BD81" s="17">
        <v>0</v>
      </c>
      <c r="BE81" s="17">
        <v>953.33333333333337</v>
      </c>
      <c r="BF81" s="17">
        <v>1050</v>
      </c>
      <c r="BG81" s="17">
        <v>58526</v>
      </c>
      <c r="BH81" s="17">
        <v>9340</v>
      </c>
      <c r="BI81" s="17">
        <v>0</v>
      </c>
      <c r="BJ81" s="17">
        <v>930.16129032258061</v>
      </c>
      <c r="BK81" s="17">
        <v>1050</v>
      </c>
    </row>
    <row r="82" spans="1:63" x14ac:dyDescent="0.35">
      <c r="A82" s="41">
        <v>78</v>
      </c>
      <c r="B82" s="41" t="s">
        <v>235</v>
      </c>
      <c r="C82" s="43" t="s">
        <v>98</v>
      </c>
      <c r="D82" s="17">
        <v>186786</v>
      </c>
      <c r="E82" s="17">
        <v>2754</v>
      </c>
      <c r="F82" s="17">
        <v>0</v>
      </c>
      <c r="G82" s="17">
        <v>1002.9032258064516</v>
      </c>
      <c r="H82" s="17">
        <v>1180.3225806451612</v>
      </c>
      <c r="I82" s="17">
        <v>159804</v>
      </c>
      <c r="J82" s="17">
        <v>3405</v>
      </c>
      <c r="K82" s="17">
        <v>0</v>
      </c>
      <c r="L82" s="17">
        <v>990.71428571428567</v>
      </c>
      <c r="M82" s="17">
        <v>1173.9285714285713</v>
      </c>
      <c r="N82" s="17">
        <v>137918</v>
      </c>
      <c r="O82" s="17">
        <v>4212</v>
      </c>
      <c r="P82" s="17">
        <v>0</v>
      </c>
      <c r="Q82" s="17">
        <v>945.80645161290317</v>
      </c>
      <c r="R82" s="17">
        <v>1170</v>
      </c>
      <c r="S82" s="17">
        <v>166389</v>
      </c>
      <c r="T82" s="17">
        <v>4724</v>
      </c>
      <c r="U82" s="17">
        <v>0</v>
      </c>
      <c r="V82" s="17">
        <v>950.66666666666663</v>
      </c>
      <c r="W82" s="17">
        <v>1159</v>
      </c>
      <c r="X82" s="17">
        <v>128139</v>
      </c>
      <c r="Y82" s="17">
        <v>5510</v>
      </c>
      <c r="Z82" s="17">
        <v>0</v>
      </c>
      <c r="AA82" s="17">
        <v>920</v>
      </c>
      <c r="AB82" s="17">
        <v>1133.8709677419354</v>
      </c>
      <c r="AC82" s="17">
        <v>151660</v>
      </c>
      <c r="AD82" s="17">
        <v>5745</v>
      </c>
      <c r="AE82" s="17">
        <v>0</v>
      </c>
      <c r="AF82" s="17">
        <v>920.66666666666663</v>
      </c>
      <c r="AG82" s="17">
        <v>1130</v>
      </c>
      <c r="AH82" s="17">
        <v>130274</v>
      </c>
      <c r="AI82" s="17">
        <v>5176</v>
      </c>
      <c r="AJ82" s="17">
        <v>0</v>
      </c>
      <c r="AK82" s="17">
        <v>917.25806451612902</v>
      </c>
      <c r="AL82" s="17">
        <v>1106.7741935483871</v>
      </c>
      <c r="AM82" s="17">
        <v>182940</v>
      </c>
      <c r="AN82" s="17">
        <v>6164</v>
      </c>
      <c r="AO82" s="17">
        <v>0</v>
      </c>
      <c r="AP82" s="17">
        <v>913.06451612903231</v>
      </c>
      <c r="AQ82" s="17">
        <v>1116.7741935483871</v>
      </c>
      <c r="AR82" s="17">
        <v>153351</v>
      </c>
      <c r="AS82" s="17">
        <v>4805</v>
      </c>
      <c r="AT82" s="17">
        <v>0</v>
      </c>
      <c r="AU82" s="17">
        <v>896.66666666666663</v>
      </c>
      <c r="AV82" s="17">
        <v>1100</v>
      </c>
      <c r="AW82" s="17">
        <v>226663</v>
      </c>
      <c r="AX82" s="17">
        <v>5407</v>
      </c>
      <c r="AY82" s="17">
        <v>0</v>
      </c>
      <c r="AZ82" s="17">
        <v>937.41935483870964</v>
      </c>
      <c r="BA82" s="17">
        <v>1087.4193548387098</v>
      </c>
      <c r="BB82" s="17">
        <v>185762</v>
      </c>
      <c r="BC82" s="17">
        <v>3636</v>
      </c>
      <c r="BD82" s="17">
        <v>0</v>
      </c>
      <c r="BE82" s="17">
        <v>943</v>
      </c>
      <c r="BF82" s="17">
        <v>1047.3333333333333</v>
      </c>
      <c r="BG82" s="17">
        <v>136241</v>
      </c>
      <c r="BH82" s="17">
        <v>6681</v>
      </c>
      <c r="BI82" s="17">
        <v>0</v>
      </c>
      <c r="BJ82" s="17">
        <v>911.77419354838707</v>
      </c>
      <c r="BK82" s="17">
        <v>1040</v>
      </c>
    </row>
    <row r="83" spans="1:63" x14ac:dyDescent="0.35">
      <c r="A83" s="41">
        <v>79</v>
      </c>
      <c r="B83" s="41" t="s">
        <v>241</v>
      </c>
      <c r="C83" s="43" t="s">
        <v>99</v>
      </c>
      <c r="D83" s="17">
        <v>126337</v>
      </c>
      <c r="E83" s="17">
        <v>10426</v>
      </c>
      <c r="F83" s="17">
        <v>0</v>
      </c>
      <c r="G83" s="17">
        <v>1020.258064516129</v>
      </c>
      <c r="H83" s="17">
        <v>1190</v>
      </c>
      <c r="I83" s="17">
        <v>121304</v>
      </c>
      <c r="J83" s="17">
        <v>12608</v>
      </c>
      <c r="K83" s="17">
        <v>0</v>
      </c>
      <c r="L83" s="17">
        <v>1010.1071428571429</v>
      </c>
      <c r="M83" s="17">
        <v>1177.8571428571429</v>
      </c>
      <c r="N83" s="17">
        <v>113571</v>
      </c>
      <c r="O83" s="17">
        <v>6620</v>
      </c>
      <c r="P83" s="17">
        <v>0</v>
      </c>
      <c r="Q83" s="17">
        <v>949.58064516129036</v>
      </c>
      <c r="R83" s="17">
        <v>1162.9032258064517</v>
      </c>
      <c r="S83" s="17">
        <v>145436</v>
      </c>
      <c r="T83" s="17">
        <v>11401</v>
      </c>
      <c r="U83" s="17">
        <v>0</v>
      </c>
      <c r="V83" s="17">
        <v>952.33333333333337</v>
      </c>
      <c r="W83" s="17">
        <v>1153.3333333333333</v>
      </c>
      <c r="X83" s="17">
        <v>154264</v>
      </c>
      <c r="Y83" s="17">
        <v>14296</v>
      </c>
      <c r="Z83" s="17">
        <v>0</v>
      </c>
      <c r="AA83" s="17">
        <v>919.0322580645161</v>
      </c>
      <c r="AB83" s="17">
        <v>1127.4193548387098</v>
      </c>
      <c r="AC83" s="17">
        <v>193598</v>
      </c>
      <c r="AD83" s="17">
        <v>10283</v>
      </c>
      <c r="AE83" s="17">
        <v>0</v>
      </c>
      <c r="AF83" s="17">
        <v>923.66666666666663</v>
      </c>
      <c r="AG83" s="17">
        <v>1105.6666666666667</v>
      </c>
      <c r="AH83" s="17">
        <v>114625</v>
      </c>
      <c r="AI83" s="17">
        <v>6707</v>
      </c>
      <c r="AJ83" s="17">
        <v>0</v>
      </c>
      <c r="AK83" s="17">
        <v>918.06451612903231</v>
      </c>
      <c r="AL83" s="17">
        <v>1105.1612903225807</v>
      </c>
      <c r="AM83" s="17">
        <v>38109</v>
      </c>
      <c r="AN83" s="17">
        <v>3971</v>
      </c>
      <c r="AO83" s="17">
        <v>0</v>
      </c>
      <c r="AP83" s="17">
        <v>921.45161290322585</v>
      </c>
      <c r="AQ83" s="17">
        <v>1121.9354838709678</v>
      </c>
      <c r="AR83" s="17">
        <v>129313</v>
      </c>
      <c r="AS83" s="17">
        <v>9116</v>
      </c>
      <c r="AT83" s="17">
        <v>0</v>
      </c>
      <c r="AU83" s="17">
        <v>901.66666666666663</v>
      </c>
      <c r="AV83" s="17">
        <v>1110.6666666666667</v>
      </c>
      <c r="AW83" s="17">
        <v>235892</v>
      </c>
      <c r="AX83" s="17">
        <v>14401</v>
      </c>
      <c r="AY83" s="17">
        <v>0</v>
      </c>
      <c r="AZ83" s="17">
        <v>943.06451612903231</v>
      </c>
      <c r="BA83" s="17">
        <v>1098.3870967741937</v>
      </c>
      <c r="BB83" s="17">
        <v>209041</v>
      </c>
      <c r="BC83" s="17">
        <v>16017</v>
      </c>
      <c r="BD83" s="17">
        <v>0</v>
      </c>
      <c r="BE83" s="17">
        <v>950</v>
      </c>
      <c r="BF83" s="17">
        <v>1050</v>
      </c>
      <c r="BG83" s="17">
        <v>162566</v>
      </c>
      <c r="BH83" s="17">
        <v>15864</v>
      </c>
      <c r="BI83" s="17">
        <v>0</v>
      </c>
      <c r="BJ83" s="17">
        <v>925</v>
      </c>
      <c r="BK83" s="17">
        <v>1050</v>
      </c>
    </row>
    <row r="84" spans="1:63" x14ac:dyDescent="0.35">
      <c r="A84" s="41">
        <v>80</v>
      </c>
      <c r="B84" s="41" t="s">
        <v>243</v>
      </c>
      <c r="C84" s="43" t="s">
        <v>100</v>
      </c>
      <c r="D84" s="17">
        <v>150471</v>
      </c>
      <c r="E84" s="17">
        <v>15373</v>
      </c>
      <c r="F84" s="17">
        <v>0</v>
      </c>
      <c r="G84" s="17">
        <v>1022.5806451612904</v>
      </c>
      <c r="H84" s="17">
        <v>1150</v>
      </c>
      <c r="I84" s="17">
        <v>135630</v>
      </c>
      <c r="J84" s="17">
        <v>19366</v>
      </c>
      <c r="K84" s="17">
        <v>0</v>
      </c>
      <c r="L84" s="17">
        <v>997.85714285714289</v>
      </c>
      <c r="M84" s="17">
        <v>1148.5714285714287</v>
      </c>
      <c r="N84" s="17">
        <v>147519</v>
      </c>
      <c r="O84" s="17">
        <v>29170</v>
      </c>
      <c r="P84" s="17">
        <v>0</v>
      </c>
      <c r="Q84" s="17">
        <v>938.87096774193549</v>
      </c>
      <c r="R84" s="17">
        <v>1140</v>
      </c>
      <c r="S84" s="17">
        <v>136044</v>
      </c>
      <c r="T84" s="17">
        <v>20100</v>
      </c>
      <c r="U84" s="17">
        <v>0</v>
      </c>
      <c r="V84" s="17">
        <v>946.66666666666663</v>
      </c>
      <c r="W84" s="17">
        <v>1117</v>
      </c>
      <c r="X84" s="17">
        <v>136301</v>
      </c>
      <c r="Y84" s="17">
        <v>18115</v>
      </c>
      <c r="Z84" s="17">
        <v>0</v>
      </c>
      <c r="AA84" s="17">
        <v>914.0322580645161</v>
      </c>
      <c r="AB84" s="17">
        <v>1081.6129032258063</v>
      </c>
      <c r="AC84" s="17">
        <v>132852</v>
      </c>
      <c r="AD84" s="17">
        <v>18602</v>
      </c>
      <c r="AE84" s="17">
        <v>0</v>
      </c>
      <c r="AF84" s="17">
        <v>920.16666666666663</v>
      </c>
      <c r="AG84" s="17">
        <v>1071</v>
      </c>
      <c r="AH84" s="17">
        <v>131712</v>
      </c>
      <c r="AI84" s="17">
        <v>23130</v>
      </c>
      <c r="AJ84" s="17">
        <v>0</v>
      </c>
      <c r="AK84" s="17">
        <v>920.32258064516134</v>
      </c>
      <c r="AL84" s="17">
        <v>1090</v>
      </c>
      <c r="AM84" s="17">
        <v>111270</v>
      </c>
      <c r="AN84" s="17">
        <v>23328</v>
      </c>
      <c r="AO84" s="17">
        <v>0</v>
      </c>
      <c r="AP84" s="17">
        <v>915.48387096774195</v>
      </c>
      <c r="AQ84" s="17">
        <v>1107.741935483871</v>
      </c>
      <c r="AR84" s="17">
        <v>124539</v>
      </c>
      <c r="AS84" s="17">
        <v>20109</v>
      </c>
      <c r="AT84" s="17">
        <v>0</v>
      </c>
      <c r="AU84" s="17">
        <v>893.66666666666663</v>
      </c>
      <c r="AV84" s="17">
        <v>1100</v>
      </c>
      <c r="AW84" s="17">
        <v>105456</v>
      </c>
      <c r="AX84" s="17">
        <v>17541</v>
      </c>
      <c r="AY84" s="17">
        <v>48</v>
      </c>
      <c r="AZ84" s="17">
        <v>913.22580645161293</v>
      </c>
      <c r="BA84" s="17">
        <v>1093.2258064516129</v>
      </c>
      <c r="BB84" s="17">
        <v>107720</v>
      </c>
      <c r="BC84" s="17">
        <v>24594</v>
      </c>
      <c r="BD84" s="17">
        <v>0</v>
      </c>
      <c r="BE84" s="17">
        <v>919.5</v>
      </c>
      <c r="BF84" s="17">
        <v>1075.6666666666667</v>
      </c>
      <c r="BG84" s="17">
        <v>128694</v>
      </c>
      <c r="BH84" s="17">
        <v>27590</v>
      </c>
      <c r="BI84" s="17">
        <v>0</v>
      </c>
      <c r="BJ84" s="17">
        <v>901.45161290322585</v>
      </c>
      <c r="BK84" s="17">
        <v>1060</v>
      </c>
    </row>
    <row r="85" spans="1:63" x14ac:dyDescent="0.35">
      <c r="A85" s="41">
        <v>81</v>
      </c>
      <c r="B85" s="41" t="s">
        <v>243</v>
      </c>
      <c r="C85" s="43" t="s">
        <v>101</v>
      </c>
      <c r="D85" s="17">
        <v>147651</v>
      </c>
      <c r="E85" s="17">
        <v>37472</v>
      </c>
      <c r="F85" s="17">
        <v>0</v>
      </c>
      <c r="G85" s="17">
        <v>1022.5806451612904</v>
      </c>
      <c r="H85" s="17">
        <v>1150</v>
      </c>
      <c r="I85" s="17">
        <v>144638</v>
      </c>
      <c r="J85" s="17">
        <v>49656</v>
      </c>
      <c r="K85" s="17">
        <v>0</v>
      </c>
      <c r="L85" s="17">
        <v>997.85714285714289</v>
      </c>
      <c r="M85" s="17">
        <v>1148.5714285714287</v>
      </c>
      <c r="N85" s="17">
        <v>156819</v>
      </c>
      <c r="O85" s="17">
        <v>37160</v>
      </c>
      <c r="P85" s="17">
        <v>0</v>
      </c>
      <c r="Q85" s="17">
        <v>938.87096774193549</v>
      </c>
      <c r="R85" s="17">
        <v>1140</v>
      </c>
      <c r="S85" s="17">
        <v>149710</v>
      </c>
      <c r="T85" s="17">
        <v>38982</v>
      </c>
      <c r="U85" s="17">
        <v>0</v>
      </c>
      <c r="V85" s="17">
        <v>947</v>
      </c>
      <c r="W85" s="17">
        <v>1117</v>
      </c>
      <c r="X85" s="17">
        <v>158748</v>
      </c>
      <c r="Y85" s="17">
        <v>38763</v>
      </c>
      <c r="Z85" s="17">
        <v>0</v>
      </c>
      <c r="AA85" s="17">
        <v>914.35483870967744</v>
      </c>
      <c r="AB85" s="17">
        <v>1081.6129032258063</v>
      </c>
      <c r="AC85" s="17">
        <v>127580</v>
      </c>
      <c r="AD85" s="17">
        <v>39389</v>
      </c>
      <c r="AE85" s="17">
        <v>0</v>
      </c>
      <c r="AF85" s="17">
        <v>920.16666666666663</v>
      </c>
      <c r="AG85" s="17">
        <v>1071</v>
      </c>
      <c r="AH85" s="17">
        <v>125646</v>
      </c>
      <c r="AI85" s="17">
        <v>51662</v>
      </c>
      <c r="AJ85" s="17">
        <v>0</v>
      </c>
      <c r="AK85" s="17">
        <v>920.32258064516134</v>
      </c>
      <c r="AL85" s="17">
        <v>1090</v>
      </c>
      <c r="AM85" s="17">
        <v>118257</v>
      </c>
      <c r="AN85" s="17">
        <v>61120</v>
      </c>
      <c r="AO85" s="17">
        <v>0</v>
      </c>
      <c r="AP85" s="17">
        <v>915.48387096774195</v>
      </c>
      <c r="AQ85" s="17">
        <v>1107.741935483871</v>
      </c>
      <c r="AR85" s="17">
        <v>98691</v>
      </c>
      <c r="AS85" s="17">
        <v>53577</v>
      </c>
      <c r="AT85" s="17">
        <v>0</v>
      </c>
      <c r="AU85" s="17">
        <v>893.66666666666663</v>
      </c>
      <c r="AV85" s="17">
        <v>1100</v>
      </c>
      <c r="AW85" s="17">
        <v>108120</v>
      </c>
      <c r="AX85" s="17">
        <v>62518</v>
      </c>
      <c r="AY85" s="17">
        <v>0</v>
      </c>
      <c r="AZ85" s="17">
        <v>913.22580645161293</v>
      </c>
      <c r="BA85" s="17">
        <v>1093.2258064516129</v>
      </c>
      <c r="BB85" s="17">
        <v>107225</v>
      </c>
      <c r="BC85" s="17">
        <v>77924</v>
      </c>
      <c r="BD85" s="17">
        <v>0</v>
      </c>
      <c r="BE85" s="17">
        <v>919.5</v>
      </c>
      <c r="BF85" s="17">
        <v>1075.6666666666667</v>
      </c>
      <c r="BG85" s="17">
        <v>121090</v>
      </c>
      <c r="BH85" s="17">
        <v>54177</v>
      </c>
      <c r="BI85" s="17">
        <v>0</v>
      </c>
      <c r="BJ85" s="17">
        <v>901.45161290322585</v>
      </c>
      <c r="BK85" s="17">
        <v>1060</v>
      </c>
    </row>
    <row r="86" spans="1:63" x14ac:dyDescent="0.35">
      <c r="A86" s="41">
        <v>82</v>
      </c>
      <c r="B86" s="41" t="s">
        <v>244</v>
      </c>
      <c r="C86" s="43" t="s">
        <v>102</v>
      </c>
      <c r="D86" s="17">
        <v>0</v>
      </c>
      <c r="E86" s="17">
        <v>0</v>
      </c>
      <c r="F86" s="17">
        <v>0</v>
      </c>
      <c r="G86" s="17">
        <v>1036.1290322580646</v>
      </c>
      <c r="H86" s="17">
        <v>1180</v>
      </c>
      <c r="I86" s="17">
        <v>0</v>
      </c>
      <c r="J86" s="17">
        <v>0</v>
      </c>
      <c r="K86" s="17">
        <v>0</v>
      </c>
      <c r="L86" s="17">
        <v>1014.2857142857143</v>
      </c>
      <c r="M86" s="17">
        <v>1173.9285714285713</v>
      </c>
      <c r="N86" s="17">
        <v>0</v>
      </c>
      <c r="O86" s="17">
        <v>0</v>
      </c>
      <c r="P86" s="17">
        <v>0</v>
      </c>
      <c r="Q86" s="17">
        <v>961.29032258064512</v>
      </c>
      <c r="R86" s="17">
        <v>1170</v>
      </c>
      <c r="S86" s="17">
        <v>0</v>
      </c>
      <c r="T86" s="17">
        <v>0</v>
      </c>
      <c r="U86" s="17">
        <v>0</v>
      </c>
      <c r="V86" s="17">
        <v>957.5</v>
      </c>
      <c r="W86" s="17">
        <v>1154.3333333333333</v>
      </c>
      <c r="X86" s="17">
        <v>0</v>
      </c>
      <c r="Y86" s="17">
        <v>0</v>
      </c>
      <c r="Z86" s="17">
        <v>0</v>
      </c>
      <c r="AA86" s="17">
        <v>921.29032258064512</v>
      </c>
      <c r="AB86" s="17">
        <v>1114.8387096774193</v>
      </c>
      <c r="AC86" s="17">
        <v>0</v>
      </c>
      <c r="AD86" s="17">
        <v>0</v>
      </c>
      <c r="AE86" s="17">
        <v>0</v>
      </c>
      <c r="AF86" s="17">
        <v>920.83333333333337</v>
      </c>
      <c r="AG86" s="17">
        <v>1092.3333333333333</v>
      </c>
      <c r="AH86" s="17">
        <v>49947</v>
      </c>
      <c r="AI86" s="17">
        <v>4113</v>
      </c>
      <c r="AJ86" s="17">
        <v>0</v>
      </c>
      <c r="AK86" s="17">
        <v>918.22580645161293</v>
      </c>
      <c r="AL86" s="17">
        <v>1105.8064516129032</v>
      </c>
      <c r="AM86" s="17">
        <v>75361</v>
      </c>
      <c r="AN86" s="17">
        <v>5469</v>
      </c>
      <c r="AO86" s="17">
        <v>0</v>
      </c>
      <c r="AP86" s="17">
        <v>915.9677419354839</v>
      </c>
      <c r="AQ86" s="17">
        <v>1116.7741935483871</v>
      </c>
      <c r="AR86" s="17">
        <v>89634</v>
      </c>
      <c r="AS86" s="17">
        <v>4796</v>
      </c>
      <c r="AT86" s="17">
        <v>0</v>
      </c>
      <c r="AU86" s="17">
        <v>891.66666666666663</v>
      </c>
      <c r="AV86" s="17">
        <v>1100</v>
      </c>
      <c r="AW86" s="17">
        <v>131258</v>
      </c>
      <c r="AX86" s="17">
        <v>6028</v>
      </c>
      <c r="AY86" s="17">
        <v>0</v>
      </c>
      <c r="AZ86" s="17">
        <v>935.48387096774195</v>
      </c>
      <c r="BA86" s="17">
        <v>1097.0967741935483</v>
      </c>
      <c r="BB86" s="17">
        <v>97618</v>
      </c>
      <c r="BC86" s="17">
        <v>2494</v>
      </c>
      <c r="BD86" s="17">
        <v>0</v>
      </c>
      <c r="BE86" s="17">
        <v>943.33333333333337</v>
      </c>
      <c r="BF86" s="17">
        <v>1065</v>
      </c>
      <c r="BG86" s="17">
        <v>88781</v>
      </c>
      <c r="BH86" s="17">
        <v>11643</v>
      </c>
      <c r="BI86" s="17">
        <v>0</v>
      </c>
      <c r="BJ86" s="17">
        <v>905.16129032258061</v>
      </c>
      <c r="BK86" s="17">
        <v>1060</v>
      </c>
    </row>
    <row r="87" spans="1:63" x14ac:dyDescent="0.35">
      <c r="A87" s="41">
        <v>83</v>
      </c>
      <c r="B87" s="41" t="s">
        <v>233</v>
      </c>
      <c r="C87" s="43" t="s">
        <v>103</v>
      </c>
      <c r="D87" s="17">
        <v>146400</v>
      </c>
      <c r="E87" s="17">
        <v>6990</v>
      </c>
      <c r="F87" s="17">
        <v>0</v>
      </c>
      <c r="G87" s="17">
        <v>996.12903225806451</v>
      </c>
      <c r="H87" s="17">
        <v>1141.9354838709678</v>
      </c>
      <c r="I87" s="17">
        <v>146494</v>
      </c>
      <c r="J87" s="17">
        <v>7560</v>
      </c>
      <c r="K87" s="17">
        <v>0</v>
      </c>
      <c r="L87" s="17">
        <v>970.35714285714289</v>
      </c>
      <c r="M87" s="17">
        <v>1140</v>
      </c>
      <c r="N87" s="17">
        <v>185351</v>
      </c>
      <c r="O87" s="17">
        <v>10731</v>
      </c>
      <c r="P87" s="17">
        <v>0</v>
      </c>
      <c r="Q87" s="17">
        <v>904.41935483870964</v>
      </c>
      <c r="R87" s="17">
        <v>1126.4516129032259</v>
      </c>
      <c r="S87" s="17">
        <v>207131</v>
      </c>
      <c r="T87" s="17">
        <v>9741</v>
      </c>
      <c r="U87" s="17">
        <v>0</v>
      </c>
      <c r="V87" s="17">
        <v>918.83333333333337</v>
      </c>
      <c r="W87" s="17">
        <v>1120</v>
      </c>
      <c r="X87" s="17">
        <v>173357</v>
      </c>
      <c r="Y87" s="17">
        <v>7913</v>
      </c>
      <c r="Z87" s="17">
        <v>0</v>
      </c>
      <c r="AA87" s="17">
        <v>888.54838709677415</v>
      </c>
      <c r="AB87" s="17">
        <v>1109.3548387096773</v>
      </c>
      <c r="AC87" s="17">
        <v>151097</v>
      </c>
      <c r="AD87" s="17">
        <v>6390</v>
      </c>
      <c r="AE87" s="17">
        <v>0</v>
      </c>
      <c r="AF87" s="17">
        <v>900.5</v>
      </c>
      <c r="AG87" s="17">
        <v>1072.9666666666667</v>
      </c>
      <c r="AH87" s="17">
        <v>131818</v>
      </c>
      <c r="AI87" s="17">
        <v>4501</v>
      </c>
      <c r="AJ87" s="17">
        <v>0</v>
      </c>
      <c r="AK87" s="17">
        <v>901</v>
      </c>
      <c r="AL87" s="17">
        <v>1101.1290322580646</v>
      </c>
      <c r="AM87" s="17">
        <v>123604</v>
      </c>
      <c r="AN87" s="17">
        <v>6712</v>
      </c>
      <c r="AO87" s="17">
        <v>0</v>
      </c>
      <c r="AP87" s="17">
        <v>885.9677419354839</v>
      </c>
      <c r="AQ87" s="17">
        <v>1082.258064516129</v>
      </c>
      <c r="AR87" s="17">
        <v>145794</v>
      </c>
      <c r="AS87" s="17">
        <v>9628</v>
      </c>
      <c r="AT87" s="17">
        <v>0</v>
      </c>
      <c r="AU87" s="17">
        <v>866.16666666666663</v>
      </c>
      <c r="AV87" s="17">
        <v>1050</v>
      </c>
      <c r="AW87" s="17">
        <v>155823</v>
      </c>
      <c r="AX87" s="17">
        <v>7779</v>
      </c>
      <c r="AY87" s="17">
        <v>0</v>
      </c>
      <c r="AZ87" s="17">
        <v>903.38709677419354</v>
      </c>
      <c r="BA87" s="17">
        <v>1043.8709677419354</v>
      </c>
      <c r="BB87" s="17">
        <v>148282</v>
      </c>
      <c r="BC87" s="17">
        <v>6555</v>
      </c>
      <c r="BD87" s="17">
        <v>0</v>
      </c>
      <c r="BE87" s="17">
        <v>921.26666666666665</v>
      </c>
      <c r="BF87" s="17">
        <v>1032</v>
      </c>
      <c r="BG87" s="17">
        <v>200888</v>
      </c>
      <c r="BH87" s="17">
        <v>14828</v>
      </c>
      <c r="BI87" s="17">
        <v>0</v>
      </c>
      <c r="BJ87" s="17">
        <v>899.35483870967744</v>
      </c>
      <c r="BK87" s="17">
        <v>1018.2903225806451</v>
      </c>
    </row>
    <row r="88" spans="1:63" x14ac:dyDescent="0.35">
      <c r="A88" s="41">
        <v>84</v>
      </c>
      <c r="B88" s="41" t="s">
        <v>235</v>
      </c>
      <c r="C88" s="43" t="s">
        <v>104</v>
      </c>
      <c r="D88" s="17">
        <v>185020</v>
      </c>
      <c r="E88" s="17">
        <v>11146</v>
      </c>
      <c r="F88" s="17">
        <v>0</v>
      </c>
      <c r="G88" s="17">
        <v>1000</v>
      </c>
      <c r="H88" s="17">
        <v>1180.3225806451612</v>
      </c>
      <c r="I88" s="17">
        <v>159467</v>
      </c>
      <c r="J88" s="17">
        <v>14285</v>
      </c>
      <c r="K88" s="17">
        <v>0</v>
      </c>
      <c r="L88" s="17">
        <v>989.28571428571433</v>
      </c>
      <c r="M88" s="17">
        <v>1173.9285714285713</v>
      </c>
      <c r="N88" s="17">
        <v>159553</v>
      </c>
      <c r="O88" s="17">
        <v>12149</v>
      </c>
      <c r="P88" s="17">
        <v>0</v>
      </c>
      <c r="Q88" s="17">
        <v>945.80645161290317</v>
      </c>
      <c r="R88" s="17">
        <v>1170</v>
      </c>
      <c r="S88" s="17">
        <v>22979</v>
      </c>
      <c r="T88" s="17">
        <v>12264</v>
      </c>
      <c r="U88" s="17">
        <v>0</v>
      </c>
      <c r="V88" s="17">
        <v>950.66666666666663</v>
      </c>
      <c r="W88" s="17">
        <v>1159</v>
      </c>
      <c r="X88" s="17">
        <v>133</v>
      </c>
      <c r="Y88" s="17">
        <v>8879</v>
      </c>
      <c r="Z88" s="17">
        <v>0</v>
      </c>
      <c r="AA88" s="17">
        <v>920</v>
      </c>
      <c r="AB88" s="17">
        <v>1133.8709677419354</v>
      </c>
      <c r="AC88" s="17">
        <v>0</v>
      </c>
      <c r="AD88" s="17">
        <v>9557</v>
      </c>
      <c r="AE88" s="17">
        <v>0</v>
      </c>
      <c r="AF88" s="17">
        <v>920.5</v>
      </c>
      <c r="AG88" s="17">
        <v>1130</v>
      </c>
      <c r="AH88" s="17">
        <v>0</v>
      </c>
      <c r="AI88" s="17">
        <v>11835</v>
      </c>
      <c r="AJ88" s="17">
        <v>0</v>
      </c>
      <c r="AK88" s="17">
        <v>918.70967741935488</v>
      </c>
      <c r="AL88" s="17">
        <v>1106.4516129032259</v>
      </c>
      <c r="AM88" s="17">
        <v>0</v>
      </c>
      <c r="AN88" s="17">
        <v>17413</v>
      </c>
      <c r="AO88" s="17">
        <v>0</v>
      </c>
      <c r="AP88" s="17">
        <v>918.87096774193549</v>
      </c>
      <c r="AQ88" s="17">
        <v>1116.6129032258063</v>
      </c>
      <c r="AR88" s="17">
        <v>0</v>
      </c>
      <c r="AS88" s="17">
        <v>0</v>
      </c>
      <c r="AT88" s="17">
        <v>0</v>
      </c>
      <c r="AU88" s="17">
        <v>897</v>
      </c>
      <c r="AV88" s="17">
        <v>1100</v>
      </c>
      <c r="AW88" s="17">
        <v>0</v>
      </c>
      <c r="AX88" s="17">
        <v>8664</v>
      </c>
      <c r="AY88" s="17">
        <v>0</v>
      </c>
      <c r="AZ88" s="17">
        <v>933.87096774193549</v>
      </c>
      <c r="BA88" s="17">
        <v>1088.7096774193549</v>
      </c>
      <c r="BB88" s="17">
        <v>41672</v>
      </c>
      <c r="BC88" s="17">
        <v>13058</v>
      </c>
      <c r="BD88" s="17">
        <v>0</v>
      </c>
      <c r="BE88" s="17">
        <v>943</v>
      </c>
      <c r="BF88" s="17">
        <v>1050.6666666666667</v>
      </c>
      <c r="BG88" s="17">
        <v>112014</v>
      </c>
      <c r="BH88" s="17">
        <v>13685</v>
      </c>
      <c r="BI88" s="17">
        <v>0</v>
      </c>
      <c r="BJ88" s="17">
        <v>916.61290322580646</v>
      </c>
      <c r="BK88" s="17">
        <v>1040</v>
      </c>
    </row>
    <row r="89" spans="1:63" x14ac:dyDescent="0.35">
      <c r="A89" s="41">
        <v>85</v>
      </c>
      <c r="B89" s="41" t="s">
        <v>242</v>
      </c>
      <c r="C89" s="43" t="s">
        <v>105</v>
      </c>
      <c r="D89" s="17">
        <v>129064</v>
      </c>
      <c r="E89" s="17">
        <v>15049</v>
      </c>
      <c r="F89" s="17">
        <v>943</v>
      </c>
      <c r="G89" s="17">
        <v>1011.2903225806451</v>
      </c>
      <c r="H89" s="17">
        <v>1158.0645161290322</v>
      </c>
      <c r="I89" s="17">
        <v>138088</v>
      </c>
      <c r="J89" s="17">
        <v>11966</v>
      </c>
      <c r="K89" s="17">
        <v>1050</v>
      </c>
      <c r="L89" s="17">
        <v>998.92857142857144</v>
      </c>
      <c r="M89" s="17">
        <v>1150</v>
      </c>
      <c r="N89" s="17">
        <v>145226</v>
      </c>
      <c r="O89" s="17">
        <v>15445</v>
      </c>
      <c r="P89" s="17">
        <v>1130</v>
      </c>
      <c r="Q89" s="17">
        <v>940.32258064516134</v>
      </c>
      <c r="R89" s="17">
        <v>1150</v>
      </c>
      <c r="S89" s="17">
        <v>133414</v>
      </c>
      <c r="T89" s="17">
        <v>10310</v>
      </c>
      <c r="U89" s="17">
        <v>841</v>
      </c>
      <c r="V89" s="17">
        <v>944.33333333333337</v>
      </c>
      <c r="W89" s="17">
        <v>1126.3333333333333</v>
      </c>
      <c r="X89" s="17">
        <v>137246</v>
      </c>
      <c r="Y89" s="17">
        <v>12289</v>
      </c>
      <c r="Z89" s="17">
        <v>855</v>
      </c>
      <c r="AA89" s="17">
        <v>913.22580645161293</v>
      </c>
      <c r="AB89" s="17">
        <v>1075.8064516129032</v>
      </c>
      <c r="AC89" s="17">
        <v>111993</v>
      </c>
      <c r="AD89" s="17">
        <v>9845</v>
      </c>
      <c r="AE89" s="17">
        <v>0</v>
      </c>
      <c r="AF89" s="17">
        <v>923.5</v>
      </c>
      <c r="AG89" s="17">
        <v>1076</v>
      </c>
      <c r="AH89" s="17">
        <v>111303</v>
      </c>
      <c r="AI89" s="17">
        <v>9950</v>
      </c>
      <c r="AJ89" s="17">
        <v>0</v>
      </c>
      <c r="AK89" s="17">
        <v>920</v>
      </c>
      <c r="AL89" s="17">
        <v>1090</v>
      </c>
      <c r="AM89" s="17">
        <v>109441</v>
      </c>
      <c r="AN89" s="17">
        <v>10697</v>
      </c>
      <c r="AO89" s="17">
        <v>0</v>
      </c>
      <c r="AP89" s="17">
        <v>910</v>
      </c>
      <c r="AQ89" s="17">
        <v>1109.3548387096773</v>
      </c>
      <c r="AR89" s="17">
        <v>118471</v>
      </c>
      <c r="AS89" s="17">
        <v>10133</v>
      </c>
      <c r="AT89" s="17">
        <v>0</v>
      </c>
      <c r="AU89" s="17">
        <v>891.66666666666663</v>
      </c>
      <c r="AV89" s="17">
        <v>1100</v>
      </c>
      <c r="AW89" s="17">
        <v>127012</v>
      </c>
      <c r="AX89" s="17">
        <v>10456</v>
      </c>
      <c r="AY89" s="17">
        <v>0</v>
      </c>
      <c r="AZ89" s="17">
        <v>912.09677419354841</v>
      </c>
      <c r="BA89" s="17">
        <v>1087.741935483871</v>
      </c>
      <c r="BB89" s="17">
        <v>129887</v>
      </c>
      <c r="BC89" s="17">
        <v>11619</v>
      </c>
      <c r="BD89" s="17">
        <v>0</v>
      </c>
      <c r="BE89" s="17">
        <v>919.16666666666663</v>
      </c>
      <c r="BF89" s="17">
        <v>1063.3333333333333</v>
      </c>
      <c r="BG89" s="17">
        <v>166514</v>
      </c>
      <c r="BH89" s="17">
        <v>14104</v>
      </c>
      <c r="BI89" s="17">
        <v>0</v>
      </c>
      <c r="BJ89" s="17">
        <v>895.32258064516134</v>
      </c>
      <c r="BK89" s="17">
        <v>1044.8387096774193</v>
      </c>
    </row>
    <row r="90" spans="1:63" x14ac:dyDescent="0.35">
      <c r="A90" s="41">
        <v>86</v>
      </c>
      <c r="B90" s="41" t="s">
        <v>235</v>
      </c>
      <c r="C90" s="43" t="s">
        <v>106</v>
      </c>
      <c r="D90" s="17">
        <v>176864</v>
      </c>
      <c r="E90" s="17">
        <v>6308</v>
      </c>
      <c r="F90" s="17">
        <v>0</v>
      </c>
      <c r="G90" s="17">
        <v>1000</v>
      </c>
      <c r="H90" s="17">
        <v>1180.3225806451612</v>
      </c>
      <c r="I90" s="17">
        <v>188070</v>
      </c>
      <c r="J90" s="17">
        <v>9349</v>
      </c>
      <c r="K90" s="17">
        <v>0</v>
      </c>
      <c r="L90" s="17">
        <v>988.57142857142856</v>
      </c>
      <c r="M90" s="17">
        <v>1173.9285714285713</v>
      </c>
      <c r="N90" s="17">
        <v>217576</v>
      </c>
      <c r="O90" s="17">
        <v>12848</v>
      </c>
      <c r="P90" s="17">
        <v>0</v>
      </c>
      <c r="Q90" s="17">
        <v>944.83870967741939</v>
      </c>
      <c r="R90" s="17">
        <v>1170</v>
      </c>
      <c r="S90" s="17">
        <v>204256</v>
      </c>
      <c r="T90" s="17">
        <v>16126</v>
      </c>
      <c r="U90" s="17">
        <v>0</v>
      </c>
      <c r="V90" s="17">
        <v>950.66666666666663</v>
      </c>
      <c r="W90" s="17">
        <v>1159</v>
      </c>
      <c r="X90" s="17">
        <v>187678</v>
      </c>
      <c r="Y90" s="17">
        <v>6945</v>
      </c>
      <c r="Z90" s="17">
        <v>0</v>
      </c>
      <c r="AA90" s="17">
        <v>920</v>
      </c>
      <c r="AB90" s="17">
        <v>1133.8709677419354</v>
      </c>
      <c r="AC90" s="17">
        <v>187438</v>
      </c>
      <c r="AD90" s="17">
        <v>6675</v>
      </c>
      <c r="AE90" s="17">
        <v>0</v>
      </c>
      <c r="AF90" s="17">
        <v>920.66666666666663</v>
      </c>
      <c r="AG90" s="17">
        <v>1129</v>
      </c>
      <c r="AH90" s="17">
        <v>189341</v>
      </c>
      <c r="AI90" s="17">
        <v>5119</v>
      </c>
      <c r="AJ90" s="17">
        <v>0</v>
      </c>
      <c r="AK90" s="17">
        <v>916.93548387096769</v>
      </c>
      <c r="AL90" s="17">
        <v>1106.7741935483871</v>
      </c>
      <c r="AM90" s="17">
        <v>213637</v>
      </c>
      <c r="AN90" s="17">
        <v>5935</v>
      </c>
      <c r="AO90" s="17">
        <v>0</v>
      </c>
      <c r="AP90" s="17">
        <v>913.87096774193549</v>
      </c>
      <c r="AQ90" s="17">
        <v>1116.7741935483871</v>
      </c>
      <c r="AR90" s="17">
        <v>173376</v>
      </c>
      <c r="AS90" s="17">
        <v>4372</v>
      </c>
      <c r="AT90" s="17">
        <v>0</v>
      </c>
      <c r="AU90" s="17">
        <v>896.66666666666663</v>
      </c>
      <c r="AV90" s="17">
        <v>1100</v>
      </c>
      <c r="AW90" s="17">
        <v>229519</v>
      </c>
      <c r="AX90" s="17">
        <v>5970</v>
      </c>
      <c r="AY90" s="17">
        <v>0</v>
      </c>
      <c r="AZ90" s="17">
        <v>933.54838709677415</v>
      </c>
      <c r="BA90" s="17">
        <v>1087.4193548387098</v>
      </c>
      <c r="BB90" s="17">
        <v>164168</v>
      </c>
      <c r="BC90" s="17">
        <v>5239</v>
      </c>
      <c r="BD90" s="17">
        <v>0</v>
      </c>
      <c r="BE90" s="17">
        <v>943</v>
      </c>
      <c r="BF90" s="17">
        <v>1047.3333333333333</v>
      </c>
      <c r="BG90" s="17">
        <v>138536</v>
      </c>
      <c r="BH90" s="17">
        <v>6061</v>
      </c>
      <c r="BI90" s="17">
        <v>0</v>
      </c>
      <c r="BJ90" s="17">
        <v>912.41935483870964</v>
      </c>
      <c r="BK90" s="17">
        <v>1040</v>
      </c>
    </row>
    <row r="91" spans="1:63" x14ac:dyDescent="0.35">
      <c r="A91" s="41">
        <v>87</v>
      </c>
      <c r="B91" s="41" t="s">
        <v>244</v>
      </c>
      <c r="C91" s="42" t="s">
        <v>107</v>
      </c>
      <c r="D91" s="17">
        <v>234367</v>
      </c>
      <c r="E91" s="17">
        <v>10563</v>
      </c>
      <c r="F91" s="17">
        <v>0</v>
      </c>
      <c r="G91" s="17">
        <v>1016.1290322580645</v>
      </c>
      <c r="H91" s="17">
        <v>1180</v>
      </c>
      <c r="I91" s="17">
        <v>173179</v>
      </c>
      <c r="J91" s="17">
        <v>9433</v>
      </c>
      <c r="K91" s="17">
        <v>0</v>
      </c>
      <c r="L91" s="17">
        <v>1004.8214285714286</v>
      </c>
      <c r="M91" s="17">
        <v>1173.9285714285713</v>
      </c>
      <c r="N91" s="17">
        <v>218001</v>
      </c>
      <c r="O91" s="17">
        <v>10488</v>
      </c>
      <c r="P91" s="17">
        <v>0</v>
      </c>
      <c r="Q91" s="17">
        <v>942.90322580645159</v>
      </c>
      <c r="R91" s="17">
        <v>1170</v>
      </c>
      <c r="S91" s="17">
        <v>189791</v>
      </c>
      <c r="T91" s="17">
        <v>14343</v>
      </c>
      <c r="U91" s="17">
        <v>0</v>
      </c>
      <c r="V91" s="17">
        <v>957.5</v>
      </c>
      <c r="W91" s="17">
        <v>1151.6666666666667</v>
      </c>
      <c r="X91" s="17">
        <v>170497</v>
      </c>
      <c r="Y91" s="17">
        <v>11107</v>
      </c>
      <c r="Z91" s="17">
        <v>0</v>
      </c>
      <c r="AA91" s="17">
        <v>920.16129032258061</v>
      </c>
      <c r="AB91" s="17">
        <v>1111.6129032258063</v>
      </c>
      <c r="AC91" s="17">
        <v>195149</v>
      </c>
      <c r="AD91" s="17">
        <v>11418</v>
      </c>
      <c r="AE91" s="17">
        <v>0</v>
      </c>
      <c r="AF91" s="17">
        <v>922.83333333333337</v>
      </c>
      <c r="AG91" s="17">
        <v>1096.6666666666667</v>
      </c>
      <c r="AH91" s="17">
        <v>161078</v>
      </c>
      <c r="AI91" s="17">
        <v>10161</v>
      </c>
      <c r="AJ91" s="17">
        <v>0</v>
      </c>
      <c r="AK91" s="17">
        <v>918.22580645161293</v>
      </c>
      <c r="AL91" s="17">
        <v>1105.8064516129032</v>
      </c>
      <c r="AM91" s="17">
        <v>193938</v>
      </c>
      <c r="AN91" s="17">
        <v>8999</v>
      </c>
      <c r="AO91" s="17">
        <v>0</v>
      </c>
      <c r="AP91" s="17">
        <v>919.51612903225805</v>
      </c>
      <c r="AQ91" s="17">
        <v>1116.7741935483871</v>
      </c>
      <c r="AR91" s="17">
        <v>187998</v>
      </c>
      <c r="AS91" s="17">
        <v>10176</v>
      </c>
      <c r="AT91" s="17">
        <v>0</v>
      </c>
      <c r="AU91" s="17">
        <v>893.5</v>
      </c>
      <c r="AV91" s="17">
        <v>1100</v>
      </c>
      <c r="AW91" s="17">
        <v>214593</v>
      </c>
      <c r="AX91" s="17">
        <v>9862</v>
      </c>
      <c r="AY91" s="17">
        <v>0</v>
      </c>
      <c r="AZ91" s="17">
        <v>935.16129032258061</v>
      </c>
      <c r="BA91" s="17">
        <v>1097.0967741935483</v>
      </c>
      <c r="BB91" s="17">
        <v>179210</v>
      </c>
      <c r="BC91" s="17">
        <v>13412</v>
      </c>
      <c r="BD91" s="17">
        <v>0</v>
      </c>
      <c r="BE91" s="17">
        <v>943.33333333333337</v>
      </c>
      <c r="BF91" s="17">
        <v>1062</v>
      </c>
      <c r="BG91" s="17">
        <v>209035</v>
      </c>
      <c r="BH91" s="17">
        <v>16517</v>
      </c>
      <c r="BI91" s="17">
        <v>0</v>
      </c>
      <c r="BJ91" s="17">
        <v>905.16129032258061</v>
      </c>
      <c r="BK91" s="17">
        <v>1060</v>
      </c>
    </row>
    <row r="92" spans="1:63" x14ac:dyDescent="0.35">
      <c r="A92" s="41">
        <v>88</v>
      </c>
      <c r="B92" s="41" t="s">
        <v>235</v>
      </c>
      <c r="C92" s="43" t="s">
        <v>108</v>
      </c>
      <c r="D92" s="17">
        <v>123210</v>
      </c>
      <c r="E92" s="17">
        <v>4877</v>
      </c>
      <c r="F92" s="17">
        <v>815</v>
      </c>
      <c r="G92" s="17">
        <v>1001.4516129032259</v>
      </c>
      <c r="H92" s="17">
        <v>1180.3225806451612</v>
      </c>
      <c r="I92" s="17">
        <v>127883</v>
      </c>
      <c r="J92" s="17">
        <v>6794</v>
      </c>
      <c r="K92" s="17">
        <v>1</v>
      </c>
      <c r="L92" s="17">
        <v>990</v>
      </c>
      <c r="M92" s="17">
        <v>1173.9285714285713</v>
      </c>
      <c r="N92" s="17">
        <v>148816</v>
      </c>
      <c r="O92" s="17">
        <v>6844</v>
      </c>
      <c r="P92" s="17">
        <v>6</v>
      </c>
      <c r="Q92" s="17">
        <v>945.80645161290317</v>
      </c>
      <c r="R92" s="17">
        <v>1170</v>
      </c>
      <c r="S92" s="17">
        <v>165026</v>
      </c>
      <c r="T92" s="17">
        <v>7515</v>
      </c>
      <c r="U92" s="17">
        <v>0</v>
      </c>
      <c r="V92" s="17">
        <v>950.66666666666663</v>
      </c>
      <c r="W92" s="17">
        <v>1159</v>
      </c>
      <c r="X92" s="17">
        <v>134164</v>
      </c>
      <c r="Y92" s="17">
        <v>5047</v>
      </c>
      <c r="Z92" s="17">
        <v>0</v>
      </c>
      <c r="AA92" s="17">
        <v>920</v>
      </c>
      <c r="AB92" s="17">
        <v>1133.8709677419354</v>
      </c>
      <c r="AC92" s="17">
        <v>118190</v>
      </c>
      <c r="AD92" s="17">
        <v>5116</v>
      </c>
      <c r="AE92" s="17">
        <v>0</v>
      </c>
      <c r="AF92" s="17">
        <v>920.66666666666663</v>
      </c>
      <c r="AG92" s="17">
        <v>1130</v>
      </c>
      <c r="AH92" s="17">
        <v>81443</v>
      </c>
      <c r="AI92" s="17">
        <v>5411</v>
      </c>
      <c r="AJ92" s="17">
        <v>0</v>
      </c>
      <c r="AK92" s="17">
        <v>917.25806451612902</v>
      </c>
      <c r="AL92" s="17">
        <v>1106.7741935483871</v>
      </c>
      <c r="AM92" s="17">
        <v>78180</v>
      </c>
      <c r="AN92" s="17">
        <v>6855</v>
      </c>
      <c r="AO92" s="17">
        <v>0</v>
      </c>
      <c r="AP92" s="17">
        <v>916.93548387096769</v>
      </c>
      <c r="AQ92" s="17">
        <v>1116.7741935483871</v>
      </c>
      <c r="AR92" s="17">
        <v>75298</v>
      </c>
      <c r="AS92" s="17">
        <v>4887</v>
      </c>
      <c r="AT92" s="17">
        <v>0</v>
      </c>
      <c r="AU92" s="17">
        <v>898</v>
      </c>
      <c r="AV92" s="17">
        <v>1100</v>
      </c>
      <c r="AW92" s="17">
        <v>104136</v>
      </c>
      <c r="AX92" s="17">
        <v>4877</v>
      </c>
      <c r="AY92" s="17">
        <v>0</v>
      </c>
      <c r="AZ92" s="17">
        <v>937.41935483870964</v>
      </c>
      <c r="BA92" s="17">
        <v>1087.4193548387098</v>
      </c>
      <c r="BB92" s="17">
        <v>71805</v>
      </c>
      <c r="BC92" s="17">
        <v>13935</v>
      </c>
      <c r="BD92" s="17">
        <v>0</v>
      </c>
      <c r="BE92" s="17">
        <v>943</v>
      </c>
      <c r="BF92" s="17">
        <v>1047.3333333333333</v>
      </c>
      <c r="BG92" s="17">
        <v>69252</v>
      </c>
      <c r="BH92" s="17">
        <v>15005</v>
      </c>
      <c r="BI92" s="17">
        <v>0</v>
      </c>
      <c r="BJ92" s="17">
        <v>911.77419354838707</v>
      </c>
      <c r="BK92" s="17">
        <v>1040</v>
      </c>
    </row>
    <row r="93" spans="1:63" x14ac:dyDescent="0.35">
      <c r="A93" s="41">
        <v>89</v>
      </c>
      <c r="B93" s="41" t="s">
        <v>235</v>
      </c>
      <c r="C93" s="43" t="s">
        <v>109</v>
      </c>
      <c r="D93" s="17">
        <v>41009</v>
      </c>
      <c r="E93" s="17">
        <v>4501</v>
      </c>
      <c r="F93" s="17">
        <v>0</v>
      </c>
      <c r="G93" s="17">
        <v>999.0322580645161</v>
      </c>
      <c r="H93" s="17">
        <v>1180.3225806451612</v>
      </c>
      <c r="I93" s="17">
        <v>40552</v>
      </c>
      <c r="J93" s="17">
        <v>2769</v>
      </c>
      <c r="K93" s="17">
        <v>0</v>
      </c>
      <c r="L93" s="17">
        <v>988.03571428571433</v>
      </c>
      <c r="M93" s="17">
        <v>1173.9285714285713</v>
      </c>
      <c r="N93" s="17">
        <v>49416</v>
      </c>
      <c r="O93" s="17">
        <v>4811</v>
      </c>
      <c r="P93" s="17">
        <v>0</v>
      </c>
      <c r="Q93" s="17">
        <v>944.83870967741939</v>
      </c>
      <c r="R93" s="17">
        <v>1170</v>
      </c>
      <c r="S93" s="17">
        <v>58628</v>
      </c>
      <c r="T93" s="17">
        <v>3923</v>
      </c>
      <c r="U93" s="17">
        <v>0</v>
      </c>
      <c r="V93" s="17">
        <v>950.66666666666663</v>
      </c>
      <c r="W93" s="17">
        <v>1159</v>
      </c>
      <c r="X93" s="17">
        <v>44386</v>
      </c>
      <c r="Y93" s="17">
        <v>4645</v>
      </c>
      <c r="Z93" s="17">
        <v>0</v>
      </c>
      <c r="AA93" s="17">
        <v>920</v>
      </c>
      <c r="AB93" s="17">
        <v>1133.8709677419354</v>
      </c>
      <c r="AC93" s="17">
        <v>41727</v>
      </c>
      <c r="AD93" s="17">
        <v>2754</v>
      </c>
      <c r="AE93" s="17">
        <v>0</v>
      </c>
      <c r="AF93" s="17">
        <v>920.66666666666663</v>
      </c>
      <c r="AG93" s="17">
        <v>1130</v>
      </c>
      <c r="AH93" s="17">
        <v>40255</v>
      </c>
      <c r="AI93" s="17">
        <v>5210</v>
      </c>
      <c r="AJ93" s="17">
        <v>0</v>
      </c>
      <c r="AK93" s="17">
        <v>916.29032258064512</v>
      </c>
      <c r="AL93" s="17">
        <v>1106.7741935483871</v>
      </c>
      <c r="AM93" s="17">
        <v>48091</v>
      </c>
      <c r="AN93" s="17">
        <v>5230</v>
      </c>
      <c r="AO93" s="17">
        <v>0</v>
      </c>
      <c r="AP93" s="17">
        <v>913.06451612903231</v>
      </c>
      <c r="AQ93" s="17">
        <v>1116.7741935483871</v>
      </c>
      <c r="AR93" s="17">
        <v>42591</v>
      </c>
      <c r="AS93" s="17">
        <v>3955</v>
      </c>
      <c r="AT93" s="17">
        <v>0</v>
      </c>
      <c r="AU93" s="17">
        <v>894</v>
      </c>
      <c r="AV93" s="17">
        <v>1100</v>
      </c>
      <c r="AW93" s="17">
        <v>73157</v>
      </c>
      <c r="AX93" s="17">
        <v>3768</v>
      </c>
      <c r="AY93" s="17">
        <v>0</v>
      </c>
      <c r="AZ93" s="17">
        <v>933.54838709677415</v>
      </c>
      <c r="BA93" s="17">
        <v>1087.4193548387098</v>
      </c>
      <c r="BB93" s="17">
        <v>56697</v>
      </c>
      <c r="BC93" s="17">
        <v>4477</v>
      </c>
      <c r="BD93" s="17">
        <v>0</v>
      </c>
      <c r="BE93" s="17">
        <v>943</v>
      </c>
      <c r="BF93" s="17">
        <v>1047.3333333333333</v>
      </c>
      <c r="BG93" s="17">
        <v>50693</v>
      </c>
      <c r="BH93" s="17">
        <v>5329</v>
      </c>
      <c r="BI93" s="17">
        <v>0</v>
      </c>
      <c r="BJ93" s="17">
        <v>912.41935483870964</v>
      </c>
      <c r="BK93" s="17">
        <v>1040</v>
      </c>
    </row>
    <row r="94" spans="1:63" x14ac:dyDescent="0.35">
      <c r="A94" s="41">
        <v>90</v>
      </c>
      <c r="B94" s="41" t="s">
        <v>238</v>
      </c>
      <c r="C94" s="42" t="s">
        <v>110</v>
      </c>
      <c r="D94" s="17">
        <v>354557</v>
      </c>
      <c r="E94" s="17">
        <v>30629</v>
      </c>
      <c r="F94" s="17">
        <v>3218</v>
      </c>
      <c r="G94" s="17">
        <v>1030.9677419354839</v>
      </c>
      <c r="H94" s="17">
        <v>1150</v>
      </c>
      <c r="I94" s="17">
        <v>347283</v>
      </c>
      <c r="J94" s="17">
        <v>26030</v>
      </c>
      <c r="K94" s="17">
        <v>906</v>
      </c>
      <c r="L94" s="17">
        <v>1004.4642857142857</v>
      </c>
      <c r="M94" s="17">
        <v>1148.5714285714287</v>
      </c>
      <c r="N94" s="17">
        <v>372820</v>
      </c>
      <c r="O94" s="17">
        <v>33894</v>
      </c>
      <c r="P94" s="17">
        <v>2734</v>
      </c>
      <c r="Q94" s="17">
        <v>951.29032258064512</v>
      </c>
      <c r="R94" s="17">
        <v>1131.6129032258063</v>
      </c>
      <c r="S94" s="17">
        <v>352110</v>
      </c>
      <c r="T94" s="17">
        <v>32891</v>
      </c>
      <c r="U94" s="17">
        <v>3513</v>
      </c>
      <c r="V94" s="17">
        <v>946.66666666666663</v>
      </c>
      <c r="W94" s="17">
        <v>1112.8333333333333</v>
      </c>
      <c r="X94" s="17">
        <v>348553</v>
      </c>
      <c r="Y94" s="17">
        <v>28683</v>
      </c>
      <c r="Z94" s="17">
        <v>2348</v>
      </c>
      <c r="AA94" s="17">
        <v>915.80645161290317</v>
      </c>
      <c r="AB94" s="17">
        <v>1078.7096774193549</v>
      </c>
      <c r="AC94" s="17">
        <v>291214</v>
      </c>
      <c r="AD94" s="17">
        <v>25024</v>
      </c>
      <c r="AE94" s="17">
        <v>3324</v>
      </c>
      <c r="AF94" s="17">
        <v>925.83333333333337</v>
      </c>
      <c r="AG94" s="17">
        <v>1072.3333333333333</v>
      </c>
      <c r="AH94" s="17">
        <v>278211</v>
      </c>
      <c r="AI94" s="17">
        <v>31929</v>
      </c>
      <c r="AJ94" s="17">
        <v>2377</v>
      </c>
      <c r="AK94" s="17">
        <v>925.48387096774195</v>
      </c>
      <c r="AL94" s="17">
        <v>1090</v>
      </c>
      <c r="AM94" s="17">
        <v>261108</v>
      </c>
      <c r="AN94" s="17">
        <v>22470</v>
      </c>
      <c r="AO94" s="17">
        <v>0</v>
      </c>
      <c r="AP94" s="17">
        <v>916.61290322580646</v>
      </c>
      <c r="AQ94" s="17">
        <v>1107.0967741935483</v>
      </c>
      <c r="AR94" s="17">
        <v>271072</v>
      </c>
      <c r="AS94" s="17">
        <v>23633</v>
      </c>
      <c r="AT94" s="17">
        <v>0</v>
      </c>
      <c r="AU94" s="17">
        <v>900.33333333333337</v>
      </c>
      <c r="AV94" s="17">
        <v>1100</v>
      </c>
      <c r="AW94" s="17">
        <v>280119</v>
      </c>
      <c r="AX94" s="17">
        <v>24994</v>
      </c>
      <c r="AY94" s="17">
        <v>0</v>
      </c>
      <c r="AZ94" s="17">
        <v>916.45161290322585</v>
      </c>
      <c r="BA94" s="17">
        <v>1094.1935483870968</v>
      </c>
      <c r="BB94" s="17">
        <v>261153</v>
      </c>
      <c r="BC94" s="17">
        <v>22366</v>
      </c>
      <c r="BD94" s="17">
        <v>0</v>
      </c>
      <c r="BE94" s="17">
        <v>921.66666666666663</v>
      </c>
      <c r="BF94" s="17">
        <v>1075.6666666666667</v>
      </c>
      <c r="BG94" s="17">
        <v>274538</v>
      </c>
      <c r="BH94" s="17">
        <v>26949</v>
      </c>
      <c r="BI94" s="17">
        <v>0</v>
      </c>
      <c r="BJ94" s="17">
        <v>901.45161290322585</v>
      </c>
      <c r="BK94" s="17">
        <v>1049.0322580645161</v>
      </c>
    </row>
    <row r="95" spans="1:63" x14ac:dyDescent="0.35">
      <c r="A95" s="41">
        <v>91</v>
      </c>
      <c r="B95" s="41" t="s">
        <v>238</v>
      </c>
      <c r="C95" s="42" t="s">
        <v>111</v>
      </c>
      <c r="D95" s="17">
        <v>195077</v>
      </c>
      <c r="E95" s="17">
        <v>13412</v>
      </c>
      <c r="F95" s="17">
        <v>0</v>
      </c>
      <c r="G95" s="17">
        <v>1030.9677419354839</v>
      </c>
      <c r="H95" s="17">
        <v>1150</v>
      </c>
      <c r="I95" s="17">
        <v>181548</v>
      </c>
      <c r="J95" s="17">
        <v>13093</v>
      </c>
      <c r="K95" s="17">
        <v>0</v>
      </c>
      <c r="L95" s="17">
        <v>1004.4642857142857</v>
      </c>
      <c r="M95" s="17">
        <v>1148.5714285714287</v>
      </c>
      <c r="N95" s="17">
        <v>195972</v>
      </c>
      <c r="O95" s="17">
        <v>19138</v>
      </c>
      <c r="P95" s="17">
        <v>0</v>
      </c>
      <c r="Q95" s="17">
        <v>951.29032258064512</v>
      </c>
      <c r="R95" s="17">
        <v>1131.2903225806451</v>
      </c>
      <c r="S95" s="17">
        <v>196669</v>
      </c>
      <c r="T95" s="17">
        <v>14810</v>
      </c>
      <c r="U95" s="17">
        <v>0</v>
      </c>
      <c r="V95" s="17">
        <v>946.66666666666663</v>
      </c>
      <c r="W95" s="17">
        <v>1112.8333333333333</v>
      </c>
      <c r="X95" s="17">
        <v>198326</v>
      </c>
      <c r="Y95" s="17">
        <v>30290</v>
      </c>
      <c r="Z95" s="17">
        <v>0</v>
      </c>
      <c r="AA95" s="17">
        <v>915.80645161290317</v>
      </c>
      <c r="AB95" s="17">
        <v>1078.0645161290322</v>
      </c>
      <c r="AC95" s="17">
        <v>161659</v>
      </c>
      <c r="AD95" s="17">
        <v>21994</v>
      </c>
      <c r="AE95" s="17">
        <v>0</v>
      </c>
      <c r="AF95" s="17">
        <v>926.16666666666663</v>
      </c>
      <c r="AG95" s="17">
        <v>1073</v>
      </c>
      <c r="AH95" s="17">
        <v>184201</v>
      </c>
      <c r="AI95" s="17">
        <v>27584</v>
      </c>
      <c r="AJ95" s="17">
        <v>0</v>
      </c>
      <c r="AK95" s="17">
        <v>925.48387096774195</v>
      </c>
      <c r="AL95" s="17">
        <v>1090</v>
      </c>
      <c r="AM95" s="17">
        <v>138071</v>
      </c>
      <c r="AN95" s="17">
        <v>28657</v>
      </c>
      <c r="AO95" s="17">
        <v>0</v>
      </c>
      <c r="AP95" s="17">
        <v>916.61290322580646</v>
      </c>
      <c r="AQ95" s="17">
        <v>1104.1935483870968</v>
      </c>
      <c r="AR95" s="17">
        <v>162117</v>
      </c>
      <c r="AS95" s="17">
        <v>22866</v>
      </c>
      <c r="AT95" s="17">
        <v>0</v>
      </c>
      <c r="AU95" s="17">
        <v>900.33333333333337</v>
      </c>
      <c r="AV95" s="17">
        <v>1100</v>
      </c>
      <c r="AW95" s="17">
        <v>184968</v>
      </c>
      <c r="AX95" s="17">
        <v>15329</v>
      </c>
      <c r="AY95" s="17">
        <v>0</v>
      </c>
      <c r="AZ95" s="17">
        <v>916.45161290322585</v>
      </c>
      <c r="BA95" s="17">
        <v>1094.1935483870968</v>
      </c>
      <c r="BB95" s="17">
        <v>154519</v>
      </c>
      <c r="BC95" s="17">
        <v>11202</v>
      </c>
      <c r="BD95" s="17">
        <v>0</v>
      </c>
      <c r="BE95" s="17">
        <v>921.66666666666663</v>
      </c>
      <c r="BF95" s="17">
        <v>1075.6666666666667</v>
      </c>
      <c r="BG95" s="17">
        <v>169539</v>
      </c>
      <c r="BH95" s="17">
        <v>24442</v>
      </c>
      <c r="BI95" s="17">
        <v>0</v>
      </c>
      <c r="BJ95" s="17">
        <v>901.45161290322585</v>
      </c>
      <c r="BK95" s="17">
        <v>1049.0322580645161</v>
      </c>
    </row>
    <row r="96" spans="1:63" x14ac:dyDescent="0.35">
      <c r="A96" s="41">
        <v>92</v>
      </c>
      <c r="B96" s="41" t="s">
        <v>240</v>
      </c>
      <c r="C96" s="43" t="s">
        <v>112</v>
      </c>
      <c r="D96" s="17">
        <v>240482</v>
      </c>
      <c r="E96" s="17">
        <v>38401</v>
      </c>
      <c r="F96" s="17">
        <v>435</v>
      </c>
      <c r="G96" s="17">
        <v>1054.516129032258</v>
      </c>
      <c r="H96" s="17">
        <v>1199.3548387096773</v>
      </c>
      <c r="I96" s="17">
        <v>168760</v>
      </c>
      <c r="J96" s="17">
        <v>38091</v>
      </c>
      <c r="K96" s="17">
        <v>322</v>
      </c>
      <c r="L96" s="17">
        <v>1014.2857142857143</v>
      </c>
      <c r="M96" s="17">
        <v>1193.5714285714287</v>
      </c>
      <c r="N96" s="17">
        <v>199166</v>
      </c>
      <c r="O96" s="17">
        <v>41583</v>
      </c>
      <c r="P96" s="17">
        <v>395</v>
      </c>
      <c r="Q96" s="17">
        <v>955.80645161290317</v>
      </c>
      <c r="R96" s="17">
        <v>1162.5806451612902</v>
      </c>
      <c r="S96" s="17">
        <v>236889</v>
      </c>
      <c r="T96" s="17">
        <v>40281</v>
      </c>
      <c r="U96" s="17">
        <v>480</v>
      </c>
      <c r="V96" s="17">
        <v>956.66666666666663</v>
      </c>
      <c r="W96" s="17">
        <v>1150</v>
      </c>
      <c r="X96" s="17">
        <v>204893</v>
      </c>
      <c r="Y96" s="17">
        <v>30210</v>
      </c>
      <c r="Z96" s="17">
        <v>535</v>
      </c>
      <c r="AA96" s="17">
        <v>932.90322580645159</v>
      </c>
      <c r="AB96" s="17">
        <v>1125.1612903225807</v>
      </c>
      <c r="AC96" s="17">
        <v>185266</v>
      </c>
      <c r="AD96" s="17">
        <v>37860</v>
      </c>
      <c r="AE96" s="17">
        <v>517</v>
      </c>
      <c r="AF96" s="17">
        <v>925.66666666666663</v>
      </c>
      <c r="AG96" s="17">
        <v>1101.3333333333333</v>
      </c>
      <c r="AH96" s="17">
        <v>174930</v>
      </c>
      <c r="AI96" s="17">
        <v>39572</v>
      </c>
      <c r="AJ96" s="17">
        <v>753</v>
      </c>
      <c r="AK96" s="17">
        <v>931.93548387096769</v>
      </c>
      <c r="AL96" s="17">
        <v>1107.0967741935483</v>
      </c>
      <c r="AM96" s="17">
        <v>190254</v>
      </c>
      <c r="AN96" s="17">
        <v>46505</v>
      </c>
      <c r="AO96" s="17">
        <v>547</v>
      </c>
      <c r="AP96" s="17">
        <v>920.9677419354839</v>
      </c>
      <c r="AQ96" s="17">
        <v>1110.6451612903227</v>
      </c>
      <c r="AR96" s="17">
        <v>174348</v>
      </c>
      <c r="AS96" s="17">
        <v>32481</v>
      </c>
      <c r="AT96" s="17">
        <v>401</v>
      </c>
      <c r="AU96" s="17">
        <v>899</v>
      </c>
      <c r="AV96" s="17">
        <v>1099.6666666666667</v>
      </c>
      <c r="AW96" s="17">
        <v>179204</v>
      </c>
      <c r="AX96" s="17">
        <v>35367</v>
      </c>
      <c r="AY96" s="17">
        <v>554</v>
      </c>
      <c r="AZ96" s="17">
        <v>923.22580645161293</v>
      </c>
      <c r="BA96" s="17">
        <v>1093.8709677419354</v>
      </c>
      <c r="BB96" s="17">
        <v>185125</v>
      </c>
      <c r="BC96" s="17">
        <v>38934</v>
      </c>
      <c r="BD96" s="17">
        <v>211</v>
      </c>
      <c r="BE96" s="17">
        <v>933.66666666666663</v>
      </c>
      <c r="BF96" s="17">
        <v>1079.6666666666667</v>
      </c>
      <c r="BG96" s="17">
        <v>221281</v>
      </c>
      <c r="BH96" s="17">
        <v>45099</v>
      </c>
      <c r="BI96" s="17">
        <v>319</v>
      </c>
      <c r="BJ96" s="17">
        <v>910.9677419354839</v>
      </c>
      <c r="BK96" s="17">
        <v>1065.8064516129032</v>
      </c>
    </row>
    <row r="97" spans="1:63" x14ac:dyDescent="0.35">
      <c r="A97" s="41">
        <v>93</v>
      </c>
      <c r="B97" s="41" t="s">
        <v>247</v>
      </c>
      <c r="C97" s="43" t="s">
        <v>113</v>
      </c>
      <c r="D97" s="17">
        <v>224424</v>
      </c>
      <c r="E97" s="17">
        <v>34481</v>
      </c>
      <c r="F97" s="17">
        <v>0</v>
      </c>
      <c r="G97" s="17">
        <v>1022.258064516129</v>
      </c>
      <c r="H97" s="17">
        <v>1150</v>
      </c>
      <c r="I97" s="17">
        <v>232127</v>
      </c>
      <c r="J97" s="17">
        <v>25693</v>
      </c>
      <c r="K97" s="17">
        <v>0</v>
      </c>
      <c r="L97" s="17">
        <v>998.75</v>
      </c>
      <c r="M97" s="17">
        <v>1144.2857142857142</v>
      </c>
      <c r="N97" s="17">
        <v>262668</v>
      </c>
      <c r="O97" s="17">
        <v>22721</v>
      </c>
      <c r="P97" s="17">
        <v>0</v>
      </c>
      <c r="Q97" s="17">
        <v>938.87096774193549</v>
      </c>
      <c r="R97" s="17">
        <v>1130</v>
      </c>
      <c r="S97" s="17">
        <v>240219</v>
      </c>
      <c r="T97" s="17">
        <v>46974</v>
      </c>
      <c r="U97" s="17">
        <v>0</v>
      </c>
      <c r="V97" s="17">
        <v>945.33333333333337</v>
      </c>
      <c r="W97" s="17">
        <v>1111.6666666666667</v>
      </c>
      <c r="X97" s="17">
        <v>269086</v>
      </c>
      <c r="Y97" s="17">
        <v>29401</v>
      </c>
      <c r="Z97" s="17">
        <v>0</v>
      </c>
      <c r="AA97" s="17">
        <v>912.58064516129036</v>
      </c>
      <c r="AB97" s="17">
        <v>1073.2258064516129</v>
      </c>
      <c r="AC97" s="17">
        <v>260320</v>
      </c>
      <c r="AD97" s="17">
        <v>18154</v>
      </c>
      <c r="AE97" s="17">
        <v>0</v>
      </c>
      <c r="AF97" s="17">
        <v>920.66666666666663</v>
      </c>
      <c r="AG97" s="17">
        <v>1073</v>
      </c>
      <c r="AH97" s="17">
        <v>242433</v>
      </c>
      <c r="AI97" s="17">
        <v>20195</v>
      </c>
      <c r="AJ97" s="17">
        <v>0</v>
      </c>
      <c r="AK97" s="17">
        <v>922.25806451612902</v>
      </c>
      <c r="AL97" s="17">
        <v>1082.258064516129</v>
      </c>
      <c r="AM97" s="17">
        <v>206671</v>
      </c>
      <c r="AN97" s="17">
        <v>14781</v>
      </c>
      <c r="AO97" s="17">
        <v>0</v>
      </c>
      <c r="AP97" s="17">
        <v>910.32258064516134</v>
      </c>
      <c r="AQ97" s="17">
        <v>1107.4193548387098</v>
      </c>
      <c r="AR97" s="17">
        <v>183145</v>
      </c>
      <c r="AS97" s="17">
        <v>16034</v>
      </c>
      <c r="AT97" s="17">
        <v>0</v>
      </c>
      <c r="AU97" s="17">
        <v>893.66666666666663</v>
      </c>
      <c r="AV97" s="17">
        <v>1100</v>
      </c>
      <c r="AW97" s="17">
        <v>175839</v>
      </c>
      <c r="AX97" s="17">
        <v>11960</v>
      </c>
      <c r="AY97" s="17">
        <v>0</v>
      </c>
      <c r="AZ97" s="17">
        <v>915.16129032258061</v>
      </c>
      <c r="BA97" s="17">
        <v>1088.0645161290322</v>
      </c>
      <c r="BB97" s="17">
        <v>218784</v>
      </c>
      <c r="BC97" s="17">
        <v>19081</v>
      </c>
      <c r="BD97" s="17">
        <v>0</v>
      </c>
      <c r="BE97" s="17">
        <v>919.5</v>
      </c>
      <c r="BF97" s="17">
        <v>1062.6666666666667</v>
      </c>
      <c r="BG97" s="17">
        <v>232096</v>
      </c>
      <c r="BH97" s="17">
        <v>27653</v>
      </c>
      <c r="BI97" s="17">
        <v>0</v>
      </c>
      <c r="BJ97" s="17">
        <v>900.48387096774195</v>
      </c>
      <c r="BK97" s="17">
        <v>1039.0322580645161</v>
      </c>
    </row>
    <row r="98" spans="1:63" x14ac:dyDescent="0.35">
      <c r="A98" s="41">
        <v>94</v>
      </c>
      <c r="B98" s="41" t="s">
        <v>232</v>
      </c>
      <c r="C98" s="43" t="s">
        <v>114</v>
      </c>
      <c r="D98" s="17">
        <v>281537</v>
      </c>
      <c r="E98" s="17">
        <v>31840</v>
      </c>
      <c r="F98" s="17">
        <v>519</v>
      </c>
      <c r="G98" s="17">
        <v>1051.6129032258063</v>
      </c>
      <c r="H98" s="17">
        <v>1190</v>
      </c>
      <c r="I98" s="17">
        <v>193609</v>
      </c>
      <c r="J98" s="17">
        <v>32159</v>
      </c>
      <c r="K98" s="17">
        <v>669</v>
      </c>
      <c r="L98" s="17">
        <v>1016.4285714285714</v>
      </c>
      <c r="M98" s="17">
        <v>1190</v>
      </c>
      <c r="N98" s="17">
        <v>221270</v>
      </c>
      <c r="O98" s="17">
        <v>33519</v>
      </c>
      <c r="P98" s="17">
        <v>1201</v>
      </c>
      <c r="Q98" s="17">
        <v>956.77419354838707</v>
      </c>
      <c r="R98" s="17">
        <v>1166.1290322580646</v>
      </c>
      <c r="S98" s="17">
        <v>244785</v>
      </c>
      <c r="T98" s="17">
        <v>34534</v>
      </c>
      <c r="U98" s="17">
        <v>1033</v>
      </c>
      <c r="V98" s="17">
        <v>956.66666666666663</v>
      </c>
      <c r="W98" s="17">
        <v>1150</v>
      </c>
      <c r="X98" s="17">
        <v>220862</v>
      </c>
      <c r="Y98" s="17">
        <v>36704</v>
      </c>
      <c r="Z98" s="17">
        <v>757</v>
      </c>
      <c r="AA98" s="17">
        <v>933.22580645161293</v>
      </c>
      <c r="AB98" s="17">
        <v>1139.0322580645161</v>
      </c>
      <c r="AC98" s="17">
        <v>244100</v>
      </c>
      <c r="AD98" s="17">
        <v>28941</v>
      </c>
      <c r="AE98" s="17">
        <v>947</v>
      </c>
      <c r="AF98" s="17">
        <v>929.33333333333337</v>
      </c>
      <c r="AG98" s="17">
        <v>1119.3333333333333</v>
      </c>
      <c r="AH98" s="17">
        <v>250538</v>
      </c>
      <c r="AI98" s="17">
        <v>41359</v>
      </c>
      <c r="AJ98" s="17">
        <v>0</v>
      </c>
      <c r="AK98" s="17">
        <v>930.32258064516134</v>
      </c>
      <c r="AL98" s="17">
        <v>1104.516129032258</v>
      </c>
      <c r="AM98" s="17">
        <v>275484</v>
      </c>
      <c r="AN98" s="17">
        <v>34529</v>
      </c>
      <c r="AO98" s="17">
        <v>904</v>
      </c>
      <c r="AP98" s="17">
        <v>920.9677419354839</v>
      </c>
      <c r="AQ98" s="17">
        <v>1111.2903225806451</v>
      </c>
      <c r="AR98" s="17">
        <v>253647</v>
      </c>
      <c r="AS98" s="17">
        <v>36684</v>
      </c>
      <c r="AT98" s="17">
        <v>0</v>
      </c>
      <c r="AU98" s="17">
        <v>900</v>
      </c>
      <c r="AV98" s="17">
        <v>1100</v>
      </c>
      <c r="AW98" s="17">
        <v>330598</v>
      </c>
      <c r="AX98" s="17">
        <v>39212</v>
      </c>
      <c r="AY98" s="17">
        <v>0</v>
      </c>
      <c r="AZ98" s="17">
        <v>923.22580645161293</v>
      </c>
      <c r="BA98" s="17">
        <v>1094.1935483870968</v>
      </c>
      <c r="BB98" s="17">
        <v>271084</v>
      </c>
      <c r="BC98" s="17">
        <v>37277</v>
      </c>
      <c r="BD98" s="17">
        <v>0</v>
      </c>
      <c r="BE98" s="17">
        <v>940</v>
      </c>
      <c r="BF98" s="17">
        <v>1080</v>
      </c>
      <c r="BG98" s="17">
        <v>368344</v>
      </c>
      <c r="BH98" s="17">
        <v>53146</v>
      </c>
      <c r="BI98" s="17">
        <v>0</v>
      </c>
      <c r="BJ98" s="17">
        <v>910.32258064516134</v>
      </c>
      <c r="BK98" s="17">
        <v>1065.483870967742</v>
      </c>
    </row>
    <row r="99" spans="1:63" x14ac:dyDescent="0.35">
      <c r="A99" s="41">
        <v>95</v>
      </c>
      <c r="B99" s="41" t="s">
        <v>247</v>
      </c>
      <c r="C99" s="42" t="s">
        <v>115</v>
      </c>
      <c r="D99" s="17">
        <v>155365</v>
      </c>
      <c r="E99" s="17">
        <v>44582</v>
      </c>
      <c r="F99" s="17">
        <v>14</v>
      </c>
      <c r="G99" s="17">
        <v>1022.258064516129</v>
      </c>
      <c r="H99" s="17">
        <v>1150</v>
      </c>
      <c r="I99" s="17">
        <v>156921</v>
      </c>
      <c r="J99" s="17">
        <v>45574</v>
      </c>
      <c r="K99" s="17">
        <v>0</v>
      </c>
      <c r="L99" s="17">
        <v>998.75</v>
      </c>
      <c r="M99" s="17">
        <v>1144.2857142857142</v>
      </c>
      <c r="N99" s="17">
        <v>192551</v>
      </c>
      <c r="O99" s="17">
        <v>32592</v>
      </c>
      <c r="P99" s="17">
        <v>0</v>
      </c>
      <c r="Q99" s="17">
        <v>938.87096774193549</v>
      </c>
      <c r="R99" s="17">
        <v>1130</v>
      </c>
      <c r="S99" s="17">
        <v>181572</v>
      </c>
      <c r="T99" s="17">
        <v>36707</v>
      </c>
      <c r="U99" s="17">
        <v>0</v>
      </c>
      <c r="V99" s="17">
        <v>945.33333333333337</v>
      </c>
      <c r="W99" s="17">
        <v>1111.6666666666667</v>
      </c>
      <c r="X99" s="17">
        <v>162790</v>
      </c>
      <c r="Y99" s="17">
        <v>26295</v>
      </c>
      <c r="Z99" s="17">
        <v>0</v>
      </c>
      <c r="AA99" s="17">
        <v>912.58064516129036</v>
      </c>
      <c r="AB99" s="17">
        <v>1072.9032258064517</v>
      </c>
      <c r="AC99" s="17">
        <v>156612</v>
      </c>
      <c r="AD99" s="17">
        <v>28468</v>
      </c>
      <c r="AE99" s="17">
        <v>0</v>
      </c>
      <c r="AF99" s="17">
        <v>920.66666666666663</v>
      </c>
      <c r="AG99" s="17">
        <v>1073</v>
      </c>
      <c r="AH99" s="17">
        <v>149955</v>
      </c>
      <c r="AI99" s="17">
        <v>25962</v>
      </c>
      <c r="AJ99" s="17">
        <v>0</v>
      </c>
      <c r="AK99" s="17">
        <v>922.25806451612902</v>
      </c>
      <c r="AL99" s="17">
        <v>1082.258064516129</v>
      </c>
      <c r="AM99" s="17">
        <v>146360</v>
      </c>
      <c r="AN99" s="17">
        <v>20622</v>
      </c>
      <c r="AO99" s="17">
        <v>0</v>
      </c>
      <c r="AP99" s="17">
        <v>910.32258064516134</v>
      </c>
      <c r="AQ99" s="17">
        <v>1107.4193548387098</v>
      </c>
      <c r="AR99" s="17">
        <v>136899</v>
      </c>
      <c r="AS99" s="17">
        <v>18462</v>
      </c>
      <c r="AT99" s="17">
        <v>0</v>
      </c>
      <c r="AU99" s="17">
        <v>893.66666666666663</v>
      </c>
      <c r="AV99" s="17">
        <v>1100</v>
      </c>
      <c r="AW99" s="17">
        <v>142915</v>
      </c>
      <c r="AX99" s="17">
        <v>19914</v>
      </c>
      <c r="AY99" s="17">
        <v>0</v>
      </c>
      <c r="AZ99" s="17">
        <v>915.16129032258061</v>
      </c>
      <c r="BA99" s="17">
        <v>1088.0645161290322</v>
      </c>
      <c r="BB99" s="17">
        <v>141170</v>
      </c>
      <c r="BC99" s="17">
        <v>32441</v>
      </c>
      <c r="BD99" s="17">
        <v>0</v>
      </c>
      <c r="BE99" s="17">
        <v>919.5</v>
      </c>
      <c r="BF99" s="17">
        <v>1062.6666666666667</v>
      </c>
      <c r="BG99" s="17">
        <v>144480</v>
      </c>
      <c r="BH99" s="17">
        <v>24706</v>
      </c>
      <c r="BI99" s="17">
        <v>0</v>
      </c>
      <c r="BJ99" s="17">
        <v>900.48387096774195</v>
      </c>
      <c r="BK99" s="17">
        <v>1039.3548387096773</v>
      </c>
    </row>
    <row r="100" spans="1:63" x14ac:dyDescent="0.35">
      <c r="A100" s="41">
        <v>96</v>
      </c>
      <c r="B100" s="41" t="s">
        <v>231</v>
      </c>
      <c r="C100" s="42" t="s">
        <v>116</v>
      </c>
      <c r="D100" s="17">
        <v>246786</v>
      </c>
      <c r="E100" s="17">
        <v>134272</v>
      </c>
      <c r="F100" s="17">
        <v>0</v>
      </c>
      <c r="G100" s="17">
        <v>1012.258064516129</v>
      </c>
      <c r="H100" s="17">
        <v>1150.6451612903227</v>
      </c>
      <c r="I100" s="17">
        <v>187189</v>
      </c>
      <c r="J100" s="17">
        <v>164764</v>
      </c>
      <c r="K100" s="17">
        <v>0</v>
      </c>
      <c r="L100" s="17">
        <v>998.75</v>
      </c>
      <c r="M100" s="17">
        <v>1134.1071428571429</v>
      </c>
      <c r="N100" s="17">
        <v>216936</v>
      </c>
      <c r="O100" s="17">
        <v>182523</v>
      </c>
      <c r="P100" s="17">
        <v>0</v>
      </c>
      <c r="Q100" s="17">
        <v>927.25806451612902</v>
      </c>
      <c r="R100" s="17">
        <v>1129.3548387096773</v>
      </c>
      <c r="S100" s="17">
        <v>208732</v>
      </c>
      <c r="T100" s="17">
        <v>171429</v>
      </c>
      <c r="U100" s="17">
        <v>0</v>
      </c>
      <c r="V100" s="17">
        <v>943</v>
      </c>
      <c r="W100" s="17">
        <v>1120</v>
      </c>
      <c r="X100" s="17">
        <v>197404</v>
      </c>
      <c r="Y100" s="17">
        <v>147533</v>
      </c>
      <c r="Z100" s="17">
        <v>0</v>
      </c>
      <c r="AA100" s="17">
        <v>908.38709677419354</v>
      </c>
      <c r="AB100" s="17">
        <v>1090.6451612903227</v>
      </c>
      <c r="AC100" s="17">
        <v>169241</v>
      </c>
      <c r="AD100" s="17">
        <v>113201</v>
      </c>
      <c r="AE100" s="17">
        <v>0</v>
      </c>
      <c r="AF100" s="17">
        <v>919.5</v>
      </c>
      <c r="AG100" s="17">
        <v>1084.5</v>
      </c>
      <c r="AH100" s="17">
        <v>198786</v>
      </c>
      <c r="AI100" s="17">
        <v>94469</v>
      </c>
      <c r="AJ100" s="17">
        <v>0</v>
      </c>
      <c r="AK100" s="17">
        <v>917.74193548387098</v>
      </c>
      <c r="AL100" s="17">
        <v>1086.4516129032259</v>
      </c>
      <c r="AM100" s="17">
        <v>209043</v>
      </c>
      <c r="AN100" s="17">
        <v>92643</v>
      </c>
      <c r="AO100" s="17">
        <v>0</v>
      </c>
      <c r="AP100" s="17">
        <v>910</v>
      </c>
      <c r="AQ100" s="17">
        <v>1094.1935483870968</v>
      </c>
      <c r="AR100" s="17">
        <v>209777</v>
      </c>
      <c r="AS100" s="17">
        <v>84933</v>
      </c>
      <c r="AT100" s="17">
        <v>0</v>
      </c>
      <c r="AU100" s="17">
        <v>894.33333333333337</v>
      </c>
      <c r="AV100" s="17">
        <v>1080</v>
      </c>
      <c r="AW100" s="17">
        <v>231748</v>
      </c>
      <c r="AX100" s="17">
        <v>102278</v>
      </c>
      <c r="AY100" s="17">
        <v>0</v>
      </c>
      <c r="AZ100" s="17">
        <v>912.58064516129036</v>
      </c>
      <c r="BA100" s="17">
        <v>1074.8387096774193</v>
      </c>
      <c r="BB100" s="17">
        <v>242132</v>
      </c>
      <c r="BC100" s="17">
        <v>110658</v>
      </c>
      <c r="BD100" s="17">
        <v>0</v>
      </c>
      <c r="BE100" s="17">
        <v>920</v>
      </c>
      <c r="BF100" s="17">
        <v>1060</v>
      </c>
      <c r="BG100" s="17">
        <v>271252</v>
      </c>
      <c r="BH100" s="17">
        <v>119614</v>
      </c>
      <c r="BI100" s="17">
        <v>0</v>
      </c>
      <c r="BJ100" s="17">
        <v>892.25806451612902</v>
      </c>
      <c r="BK100" s="17">
        <v>1049.6774193548388</v>
      </c>
    </row>
    <row r="101" spans="1:63" x14ac:dyDescent="0.35">
      <c r="A101" s="41">
        <v>97</v>
      </c>
      <c r="B101" s="41" t="s">
        <v>246</v>
      </c>
      <c r="C101" s="43" t="s">
        <v>117</v>
      </c>
      <c r="D101" s="17">
        <v>143582</v>
      </c>
      <c r="E101" s="17">
        <v>36354</v>
      </c>
      <c r="F101" s="17">
        <v>0</v>
      </c>
      <c r="G101" s="17">
        <v>999.83870967741939</v>
      </c>
      <c r="H101" s="17">
        <v>1150</v>
      </c>
      <c r="I101" s="17">
        <v>199666</v>
      </c>
      <c r="J101" s="17">
        <v>35992</v>
      </c>
      <c r="K101" s="17">
        <v>0</v>
      </c>
      <c r="L101" s="17">
        <v>994.28571428571433</v>
      </c>
      <c r="M101" s="17">
        <v>1150</v>
      </c>
      <c r="N101" s="17">
        <v>226567</v>
      </c>
      <c r="O101" s="17">
        <v>39994</v>
      </c>
      <c r="P101" s="17">
        <v>0</v>
      </c>
      <c r="Q101" s="17">
        <v>940</v>
      </c>
      <c r="R101" s="17">
        <v>1141.6129032258063</v>
      </c>
      <c r="S101" s="17">
        <v>175573</v>
      </c>
      <c r="T101" s="17">
        <v>46884</v>
      </c>
      <c r="U101" s="17">
        <v>0</v>
      </c>
      <c r="V101" s="17">
        <v>944</v>
      </c>
      <c r="W101" s="17">
        <v>1113.6666666666667</v>
      </c>
      <c r="X101" s="17">
        <v>180100</v>
      </c>
      <c r="Y101" s="17">
        <v>37589</v>
      </c>
      <c r="Z101" s="17">
        <v>0</v>
      </c>
      <c r="AA101" s="17">
        <v>909.0322580645161</v>
      </c>
      <c r="AB101" s="17">
        <v>1075.8064516129032</v>
      </c>
      <c r="AC101" s="17">
        <v>175648</v>
      </c>
      <c r="AD101" s="17">
        <v>29662</v>
      </c>
      <c r="AE101" s="17">
        <v>0</v>
      </c>
      <c r="AF101" s="17">
        <v>923</v>
      </c>
      <c r="AG101" s="17">
        <v>1076</v>
      </c>
      <c r="AH101" s="17">
        <v>184310</v>
      </c>
      <c r="AI101" s="17">
        <v>23347</v>
      </c>
      <c r="AJ101" s="17">
        <v>0</v>
      </c>
      <c r="AK101" s="17">
        <v>920</v>
      </c>
      <c r="AL101" s="17">
        <v>1090</v>
      </c>
      <c r="AM101" s="17">
        <v>180655</v>
      </c>
      <c r="AN101" s="17">
        <v>31584</v>
      </c>
      <c r="AO101" s="17">
        <v>0</v>
      </c>
      <c r="AP101" s="17">
        <v>911.29032258064512</v>
      </c>
      <c r="AQ101" s="17">
        <v>1109.3548387096773</v>
      </c>
      <c r="AR101" s="17">
        <v>216055</v>
      </c>
      <c r="AS101" s="17">
        <v>29404</v>
      </c>
      <c r="AT101" s="17">
        <v>0</v>
      </c>
      <c r="AU101" s="17">
        <v>892</v>
      </c>
      <c r="AV101" s="17">
        <v>1100</v>
      </c>
      <c r="AW101" s="17">
        <v>177613</v>
      </c>
      <c r="AX101" s="17">
        <v>30029</v>
      </c>
      <c r="AY101" s="17">
        <v>0</v>
      </c>
      <c r="AZ101" s="17">
        <v>912.09677419354841</v>
      </c>
      <c r="BA101" s="17">
        <v>1087.741935483871</v>
      </c>
      <c r="BB101" s="17">
        <v>163318</v>
      </c>
      <c r="BC101" s="17">
        <v>31418</v>
      </c>
      <c r="BD101" s="17">
        <v>0</v>
      </c>
      <c r="BE101" s="17">
        <v>919.33333333333337</v>
      </c>
      <c r="BF101" s="17">
        <v>1063.3333333333333</v>
      </c>
      <c r="BG101" s="17">
        <v>185061</v>
      </c>
      <c r="BH101" s="17">
        <v>28328</v>
      </c>
      <c r="BI101" s="17">
        <v>0</v>
      </c>
      <c r="BJ101" s="17">
        <v>879.51612903225805</v>
      </c>
      <c r="BK101" s="17">
        <v>1050</v>
      </c>
    </row>
    <row r="102" spans="1:63" x14ac:dyDescent="0.35">
      <c r="A102" s="41">
        <v>98</v>
      </c>
      <c r="B102" s="41" t="s">
        <v>246</v>
      </c>
      <c r="C102" s="43" t="s">
        <v>118</v>
      </c>
      <c r="D102" s="17">
        <v>231683</v>
      </c>
      <c r="E102" s="17">
        <v>14742</v>
      </c>
      <c r="F102" s="17">
        <v>0</v>
      </c>
      <c r="G102" s="17">
        <v>999.83870967741939</v>
      </c>
      <c r="H102" s="17">
        <v>1150</v>
      </c>
      <c r="I102" s="17">
        <v>223286</v>
      </c>
      <c r="J102" s="17">
        <v>13303</v>
      </c>
      <c r="K102" s="17">
        <v>0</v>
      </c>
      <c r="L102" s="17">
        <v>994.28571428571433</v>
      </c>
      <c r="M102" s="17">
        <v>1150</v>
      </c>
      <c r="N102" s="17">
        <v>297779</v>
      </c>
      <c r="O102" s="17">
        <v>18365</v>
      </c>
      <c r="P102" s="17">
        <v>0</v>
      </c>
      <c r="Q102" s="17">
        <v>940</v>
      </c>
      <c r="R102" s="17">
        <v>1141.6129032258063</v>
      </c>
      <c r="S102" s="17">
        <v>249518</v>
      </c>
      <c r="T102" s="17">
        <v>13048</v>
      </c>
      <c r="U102" s="17">
        <v>0</v>
      </c>
      <c r="V102" s="17">
        <v>944</v>
      </c>
      <c r="W102" s="17">
        <v>1113.6666666666667</v>
      </c>
      <c r="X102" s="17">
        <v>252872</v>
      </c>
      <c r="Y102" s="17">
        <v>17519</v>
      </c>
      <c r="Z102" s="17">
        <v>0</v>
      </c>
      <c r="AA102" s="17">
        <v>909.0322580645161</v>
      </c>
      <c r="AB102" s="17">
        <v>1075.8064516129032</v>
      </c>
      <c r="AC102" s="17">
        <v>233578</v>
      </c>
      <c r="AD102" s="17">
        <v>11856</v>
      </c>
      <c r="AE102" s="17">
        <v>0</v>
      </c>
      <c r="AF102" s="17">
        <v>923</v>
      </c>
      <c r="AG102" s="17">
        <v>1076</v>
      </c>
      <c r="AH102" s="17">
        <v>226182</v>
      </c>
      <c r="AI102" s="17">
        <v>8877</v>
      </c>
      <c r="AJ102" s="17">
        <v>0</v>
      </c>
      <c r="AK102" s="17">
        <v>920</v>
      </c>
      <c r="AL102" s="17">
        <v>1090</v>
      </c>
      <c r="AM102" s="17">
        <v>221036</v>
      </c>
      <c r="AN102" s="17">
        <v>9155</v>
      </c>
      <c r="AO102" s="17">
        <v>0</v>
      </c>
      <c r="AP102" s="17">
        <v>911.29032258064512</v>
      </c>
      <c r="AQ102" s="17">
        <v>1109.3548387096773</v>
      </c>
      <c r="AR102" s="17">
        <v>229250</v>
      </c>
      <c r="AS102" s="17">
        <v>8505</v>
      </c>
      <c r="AT102" s="17">
        <v>0</v>
      </c>
      <c r="AU102" s="17">
        <v>892</v>
      </c>
      <c r="AV102" s="17">
        <v>1100</v>
      </c>
      <c r="AW102" s="17">
        <v>227940</v>
      </c>
      <c r="AX102" s="17">
        <v>9985</v>
      </c>
      <c r="AY102" s="17">
        <v>0</v>
      </c>
      <c r="AZ102" s="17">
        <v>912.09677419354841</v>
      </c>
      <c r="BA102" s="17">
        <v>1087.741935483871</v>
      </c>
      <c r="BB102" s="17">
        <v>232756</v>
      </c>
      <c r="BC102" s="17">
        <v>8732</v>
      </c>
      <c r="BD102" s="17">
        <v>0</v>
      </c>
      <c r="BE102" s="17">
        <v>919.33333333333337</v>
      </c>
      <c r="BF102" s="17">
        <v>1063.3333333333333</v>
      </c>
      <c r="BG102" s="17">
        <v>252013</v>
      </c>
      <c r="BH102" s="17">
        <v>7873</v>
      </c>
      <c r="BI102" s="17">
        <v>0</v>
      </c>
      <c r="BJ102" s="17">
        <v>879.51612903225805</v>
      </c>
      <c r="BK102" s="17">
        <v>1050</v>
      </c>
    </row>
    <row r="103" spans="1:63" x14ac:dyDescent="0.35">
      <c r="A103" s="41">
        <v>99</v>
      </c>
      <c r="B103" s="41" t="s">
        <v>240</v>
      </c>
      <c r="C103" s="43" t="s">
        <v>119</v>
      </c>
      <c r="D103" s="17">
        <v>112511</v>
      </c>
      <c r="E103" s="17">
        <v>15369</v>
      </c>
      <c r="F103" s="17">
        <v>0</v>
      </c>
      <c r="G103" s="17">
        <v>1052.2258064516129</v>
      </c>
      <c r="H103" s="17">
        <v>1190</v>
      </c>
      <c r="I103" s="17">
        <v>84308</v>
      </c>
      <c r="J103" s="17">
        <v>14559</v>
      </c>
      <c r="K103" s="17">
        <v>0</v>
      </c>
      <c r="L103" s="17">
        <v>1012.8571428571429</v>
      </c>
      <c r="M103" s="17">
        <v>1186.7857142857142</v>
      </c>
      <c r="N103" s="17">
        <v>87080</v>
      </c>
      <c r="O103" s="17">
        <v>15589</v>
      </c>
      <c r="P103" s="17">
        <v>0</v>
      </c>
      <c r="Q103" s="17">
        <v>952.25806451612902</v>
      </c>
      <c r="R103" s="17">
        <v>1162.5806451612902</v>
      </c>
      <c r="S103" s="17">
        <v>90618</v>
      </c>
      <c r="T103" s="17">
        <v>19660</v>
      </c>
      <c r="U103" s="17">
        <v>0</v>
      </c>
      <c r="V103" s="17">
        <v>956.66666666666663</v>
      </c>
      <c r="W103" s="17">
        <v>1150</v>
      </c>
      <c r="X103" s="17">
        <v>77954</v>
      </c>
      <c r="Y103" s="17">
        <v>13549</v>
      </c>
      <c r="Z103" s="17">
        <v>0</v>
      </c>
      <c r="AA103" s="17">
        <v>927.41935483870964</v>
      </c>
      <c r="AB103" s="17">
        <v>1119.6774193548388</v>
      </c>
      <c r="AC103" s="17">
        <v>61813</v>
      </c>
      <c r="AD103" s="17">
        <v>11608</v>
      </c>
      <c r="AE103" s="17">
        <v>0</v>
      </c>
      <c r="AF103" s="17">
        <v>924.66666666666663</v>
      </c>
      <c r="AG103" s="17">
        <v>1107.3333333333333</v>
      </c>
      <c r="AH103" s="17">
        <v>64850</v>
      </c>
      <c r="AI103" s="17">
        <v>11142</v>
      </c>
      <c r="AJ103" s="17">
        <v>0</v>
      </c>
      <c r="AK103" s="17">
        <v>930</v>
      </c>
      <c r="AL103" s="17">
        <v>1107.741935483871</v>
      </c>
      <c r="AM103" s="17">
        <v>66384</v>
      </c>
      <c r="AN103" s="17">
        <v>12037</v>
      </c>
      <c r="AO103" s="17">
        <v>0</v>
      </c>
      <c r="AP103" s="17">
        <v>915.80645161290317</v>
      </c>
      <c r="AQ103" s="17">
        <v>1111.2903225806451</v>
      </c>
      <c r="AR103" s="17">
        <v>71737</v>
      </c>
      <c r="AS103" s="17">
        <v>9912</v>
      </c>
      <c r="AT103" s="17">
        <v>0</v>
      </c>
      <c r="AU103" s="17">
        <v>891</v>
      </c>
      <c r="AV103" s="17">
        <v>1100</v>
      </c>
      <c r="AW103" s="17">
        <v>76541</v>
      </c>
      <c r="AX103" s="17">
        <v>10890</v>
      </c>
      <c r="AY103" s="17">
        <v>0</v>
      </c>
      <c r="AZ103" s="17">
        <v>922.90322580645159</v>
      </c>
      <c r="BA103" s="17">
        <v>1094.1935483870968</v>
      </c>
      <c r="BB103" s="17">
        <v>76699</v>
      </c>
      <c r="BC103" s="17">
        <v>11734</v>
      </c>
      <c r="BD103" s="17">
        <v>0</v>
      </c>
      <c r="BE103" s="17">
        <v>928.33333333333337</v>
      </c>
      <c r="BF103" s="17">
        <v>1080.3333333333333</v>
      </c>
      <c r="BG103" s="17">
        <v>83997</v>
      </c>
      <c r="BH103" s="17">
        <v>18208</v>
      </c>
      <c r="BI103" s="17">
        <v>0</v>
      </c>
      <c r="BJ103" s="17">
        <v>903.87096774193549</v>
      </c>
      <c r="BK103" s="17">
        <v>1065.8064516129032</v>
      </c>
    </row>
    <row r="104" spans="1:63" x14ac:dyDescent="0.35">
      <c r="A104" s="41">
        <v>100</v>
      </c>
      <c r="B104" s="41" t="s">
        <v>240</v>
      </c>
      <c r="C104" s="43" t="s">
        <v>120</v>
      </c>
      <c r="D104" s="17">
        <v>165756</v>
      </c>
      <c r="E104" s="17">
        <v>11282</v>
      </c>
      <c r="F104" s="17">
        <v>941</v>
      </c>
      <c r="G104" s="17">
        <v>1051.9354838709678</v>
      </c>
      <c r="H104" s="17">
        <v>1190</v>
      </c>
      <c r="I104" s="17">
        <v>125584</v>
      </c>
      <c r="J104" s="17">
        <v>10535</v>
      </c>
      <c r="K104" s="17">
        <v>1016</v>
      </c>
      <c r="L104" s="17">
        <v>1012.8571428571429</v>
      </c>
      <c r="M104" s="17">
        <v>1186.7857142857142</v>
      </c>
      <c r="N104" s="17">
        <v>152091</v>
      </c>
      <c r="O104" s="17">
        <v>11656</v>
      </c>
      <c r="P104" s="17">
        <v>1370</v>
      </c>
      <c r="Q104" s="17">
        <v>952.25806451612902</v>
      </c>
      <c r="R104" s="17">
        <v>1162.5806451612902</v>
      </c>
      <c r="S104" s="17">
        <v>151241</v>
      </c>
      <c r="T104" s="17">
        <v>11837</v>
      </c>
      <c r="U104" s="17">
        <v>1214</v>
      </c>
      <c r="V104" s="17">
        <v>956.66666666666663</v>
      </c>
      <c r="W104" s="17">
        <v>1150</v>
      </c>
      <c r="X104" s="17">
        <v>145102</v>
      </c>
      <c r="Y104" s="17">
        <v>11697</v>
      </c>
      <c r="Z104" s="17">
        <v>1258</v>
      </c>
      <c r="AA104" s="17">
        <v>927.41935483870964</v>
      </c>
      <c r="AB104" s="17">
        <v>1119.0322580645161</v>
      </c>
      <c r="AC104" s="17">
        <v>127472</v>
      </c>
      <c r="AD104" s="17">
        <v>10008</v>
      </c>
      <c r="AE104" s="17">
        <v>1501</v>
      </c>
      <c r="AF104" s="17">
        <v>924.66666666666663</v>
      </c>
      <c r="AG104" s="17">
        <v>1107.3333333333333</v>
      </c>
      <c r="AH104" s="17">
        <v>149626</v>
      </c>
      <c r="AI104" s="17">
        <v>10862</v>
      </c>
      <c r="AJ104" s="17">
        <v>2142</v>
      </c>
      <c r="AK104" s="17">
        <v>930</v>
      </c>
      <c r="AL104" s="17">
        <v>1107.4193548387098</v>
      </c>
      <c r="AM104" s="17">
        <v>146250</v>
      </c>
      <c r="AN104" s="17">
        <v>12011</v>
      </c>
      <c r="AO104" s="17">
        <v>1443</v>
      </c>
      <c r="AP104" s="17">
        <v>915.48387096774195</v>
      </c>
      <c r="AQ104" s="17">
        <v>1111.2903225806451</v>
      </c>
      <c r="AR104" s="17">
        <v>146404</v>
      </c>
      <c r="AS104" s="17">
        <v>11942</v>
      </c>
      <c r="AT104" s="17">
        <v>1355</v>
      </c>
      <c r="AU104" s="17">
        <v>890.66666666666663</v>
      </c>
      <c r="AV104" s="17">
        <v>1100</v>
      </c>
      <c r="AW104" s="17">
        <v>145057</v>
      </c>
      <c r="AX104" s="17">
        <v>13660</v>
      </c>
      <c r="AY104" s="17">
        <v>805</v>
      </c>
      <c r="AZ104" s="17">
        <v>923.22580645161293</v>
      </c>
      <c r="BA104" s="17">
        <v>1094.1935483870968</v>
      </c>
      <c r="BB104" s="17">
        <v>135173</v>
      </c>
      <c r="BC104" s="17">
        <v>16363</v>
      </c>
      <c r="BD104" s="17">
        <v>0</v>
      </c>
      <c r="BE104" s="17">
        <v>931.33333333333337</v>
      </c>
      <c r="BF104" s="17">
        <v>1080</v>
      </c>
      <c r="BG104" s="17">
        <v>153568</v>
      </c>
      <c r="BH104" s="17">
        <v>14089</v>
      </c>
      <c r="BI104" s="17">
        <v>0</v>
      </c>
      <c r="BJ104" s="17">
        <v>903.87096774193549</v>
      </c>
      <c r="BK104" s="17">
        <v>1065.8064516129032</v>
      </c>
    </row>
    <row r="105" spans="1:63" x14ac:dyDescent="0.35">
      <c r="A105" s="41">
        <v>101</v>
      </c>
      <c r="B105" s="41" t="s">
        <v>237</v>
      </c>
      <c r="C105" s="43" t="s">
        <v>121</v>
      </c>
      <c r="D105" s="17">
        <v>277327</v>
      </c>
      <c r="E105" s="17">
        <v>31920</v>
      </c>
      <c r="F105" s="17">
        <v>0</v>
      </c>
      <c r="G105" s="17">
        <v>1007.741935483871</v>
      </c>
      <c r="H105" s="17">
        <v>1150</v>
      </c>
      <c r="I105" s="17">
        <v>215584</v>
      </c>
      <c r="J105" s="17">
        <v>31054</v>
      </c>
      <c r="K105" s="17">
        <v>0</v>
      </c>
      <c r="L105" s="17">
        <v>1000.1785714285714</v>
      </c>
      <c r="M105" s="17">
        <v>1150</v>
      </c>
      <c r="N105" s="17">
        <v>247070</v>
      </c>
      <c r="O105" s="17">
        <v>31623</v>
      </c>
      <c r="P105" s="17">
        <v>0</v>
      </c>
      <c r="Q105" s="17">
        <v>941.45161290322585</v>
      </c>
      <c r="R105" s="17">
        <v>1150</v>
      </c>
      <c r="S105" s="17">
        <v>280040</v>
      </c>
      <c r="T105" s="17">
        <v>30020</v>
      </c>
      <c r="U105" s="17">
        <v>0</v>
      </c>
      <c r="V105" s="17">
        <v>944.33333333333337</v>
      </c>
      <c r="W105" s="17">
        <v>1135</v>
      </c>
      <c r="X105" s="17">
        <v>273111</v>
      </c>
      <c r="Y105" s="17">
        <v>30188</v>
      </c>
      <c r="Z105" s="17">
        <v>0</v>
      </c>
      <c r="AA105" s="17">
        <v>913.22580645161293</v>
      </c>
      <c r="AB105" s="17">
        <v>1087.4193548387098</v>
      </c>
      <c r="AC105" s="17">
        <v>278461</v>
      </c>
      <c r="AD105" s="17">
        <v>40965</v>
      </c>
      <c r="AE105" s="17">
        <v>0</v>
      </c>
      <c r="AF105" s="17">
        <v>925.13333333333333</v>
      </c>
      <c r="AG105" s="17">
        <v>1079.3333333333333</v>
      </c>
      <c r="AH105" s="17">
        <v>237239</v>
      </c>
      <c r="AI105" s="17">
        <v>35718</v>
      </c>
      <c r="AJ105" s="17">
        <v>0</v>
      </c>
      <c r="AK105" s="17">
        <v>920.64516129032256</v>
      </c>
      <c r="AL105" s="17">
        <v>1090</v>
      </c>
      <c r="AM105" s="17">
        <v>245582</v>
      </c>
      <c r="AN105" s="17">
        <v>33529</v>
      </c>
      <c r="AO105" s="17">
        <v>0</v>
      </c>
      <c r="AP105" s="17">
        <v>910</v>
      </c>
      <c r="AQ105" s="17">
        <v>1109.3548387096773</v>
      </c>
      <c r="AR105" s="17">
        <v>260380</v>
      </c>
      <c r="AS105" s="17">
        <v>34601</v>
      </c>
      <c r="AT105" s="17">
        <v>0</v>
      </c>
      <c r="AU105" s="17">
        <v>892</v>
      </c>
      <c r="AV105" s="17">
        <v>1100</v>
      </c>
      <c r="AW105" s="17">
        <v>260635</v>
      </c>
      <c r="AX105" s="17">
        <v>27832</v>
      </c>
      <c r="AY105" s="17">
        <v>0</v>
      </c>
      <c r="AZ105" s="17">
        <v>913.22580645161293</v>
      </c>
      <c r="BA105" s="17">
        <v>1088.0645161290322</v>
      </c>
      <c r="BB105" s="17">
        <v>264952</v>
      </c>
      <c r="BC105" s="17">
        <v>56549</v>
      </c>
      <c r="BD105" s="17">
        <v>0</v>
      </c>
      <c r="BE105" s="17">
        <v>919.33333333333337</v>
      </c>
      <c r="BF105" s="17">
        <v>1063.3333333333333</v>
      </c>
      <c r="BG105" s="17">
        <v>297876</v>
      </c>
      <c r="BH105" s="17">
        <v>48055</v>
      </c>
      <c r="BI105" s="17">
        <v>0</v>
      </c>
      <c r="BJ105" s="17">
        <v>895.32258064516134</v>
      </c>
      <c r="BK105" s="17">
        <v>1044.8387096774193</v>
      </c>
    </row>
    <row r="106" spans="1:63" x14ac:dyDescent="0.35">
      <c r="A106" s="41">
        <v>102</v>
      </c>
      <c r="B106" s="41" t="s">
        <v>243</v>
      </c>
      <c r="C106" s="43" t="s">
        <v>122</v>
      </c>
      <c r="D106" s="17">
        <v>301431</v>
      </c>
      <c r="E106" s="17">
        <v>55381</v>
      </c>
      <c r="F106" s="17">
        <v>3466</v>
      </c>
      <c r="G106" s="17">
        <v>1046.1290322580646</v>
      </c>
      <c r="H106" s="17">
        <v>1150</v>
      </c>
      <c r="I106" s="17">
        <v>337292</v>
      </c>
      <c r="J106" s="17">
        <v>61237</v>
      </c>
      <c r="K106" s="17">
        <v>2501</v>
      </c>
      <c r="L106" s="17">
        <v>1006.6071428571429</v>
      </c>
      <c r="M106" s="17">
        <v>1148.5714285714287</v>
      </c>
      <c r="N106" s="17">
        <v>396450</v>
      </c>
      <c r="O106" s="17">
        <v>56965</v>
      </c>
      <c r="P106" s="17">
        <v>3032</v>
      </c>
      <c r="Q106" s="17">
        <v>950.48387096774195</v>
      </c>
      <c r="R106" s="17">
        <v>1140</v>
      </c>
      <c r="S106" s="17">
        <v>428807</v>
      </c>
      <c r="T106" s="17">
        <v>59562</v>
      </c>
      <c r="U106" s="17">
        <v>3262</v>
      </c>
      <c r="V106" s="17">
        <v>946.66666666666663</v>
      </c>
      <c r="W106" s="17">
        <v>1117</v>
      </c>
      <c r="X106" s="17">
        <v>453004</v>
      </c>
      <c r="Y106" s="17">
        <v>55840</v>
      </c>
      <c r="Z106" s="17">
        <v>2327</v>
      </c>
      <c r="AA106" s="17">
        <v>915.80645161290317</v>
      </c>
      <c r="AB106" s="17">
        <v>1081.6129032258063</v>
      </c>
      <c r="AC106" s="17">
        <v>433676</v>
      </c>
      <c r="AD106" s="17">
        <v>53991</v>
      </c>
      <c r="AE106" s="17">
        <v>2300</v>
      </c>
      <c r="AF106" s="17">
        <v>926</v>
      </c>
      <c r="AG106" s="17">
        <v>1078.6666666666667</v>
      </c>
      <c r="AH106" s="17">
        <v>424815</v>
      </c>
      <c r="AI106" s="17">
        <v>49515</v>
      </c>
      <c r="AJ106" s="17">
        <v>1856</v>
      </c>
      <c r="AK106" s="17">
        <v>925.48387096774195</v>
      </c>
      <c r="AL106" s="17">
        <v>1090</v>
      </c>
      <c r="AM106" s="17">
        <v>472276</v>
      </c>
      <c r="AN106" s="17">
        <v>53457</v>
      </c>
      <c r="AO106" s="17">
        <v>1924</v>
      </c>
      <c r="AP106" s="17">
        <v>921.29032258064512</v>
      </c>
      <c r="AQ106" s="17">
        <v>1107.741935483871</v>
      </c>
      <c r="AR106" s="17">
        <v>459694</v>
      </c>
      <c r="AS106" s="17">
        <v>52630</v>
      </c>
      <c r="AT106" s="17">
        <v>1516</v>
      </c>
      <c r="AU106" s="17">
        <v>893.66666666666663</v>
      </c>
      <c r="AV106" s="17">
        <v>1100</v>
      </c>
      <c r="AW106" s="17">
        <v>483508</v>
      </c>
      <c r="AX106" s="17">
        <v>55539</v>
      </c>
      <c r="AY106" s="17">
        <v>2105</v>
      </c>
      <c r="AZ106" s="17">
        <v>914.51612903225805</v>
      </c>
      <c r="BA106" s="17">
        <v>1093.2258064516129</v>
      </c>
      <c r="BB106" s="17">
        <v>459465</v>
      </c>
      <c r="BC106" s="17">
        <v>62483</v>
      </c>
      <c r="BD106" s="17">
        <v>868</v>
      </c>
      <c r="BE106" s="17">
        <v>924</v>
      </c>
      <c r="BF106" s="17">
        <v>1079</v>
      </c>
      <c r="BG106" s="17">
        <v>563618</v>
      </c>
      <c r="BH106" s="17">
        <v>68382</v>
      </c>
      <c r="BI106" s="17">
        <v>1055</v>
      </c>
      <c r="BJ106" s="17">
        <v>906.77419354838707</v>
      </c>
      <c r="BK106" s="17">
        <v>1054.516129032258</v>
      </c>
    </row>
    <row r="107" spans="1:63" x14ac:dyDescent="0.35">
      <c r="A107" s="41">
        <v>103</v>
      </c>
      <c r="B107" s="41" t="s">
        <v>233</v>
      </c>
      <c r="C107" s="43" t="s">
        <v>123</v>
      </c>
      <c r="D107" s="17">
        <v>147636</v>
      </c>
      <c r="E107" s="17">
        <v>9392</v>
      </c>
      <c r="F107" s="17">
        <v>8222</v>
      </c>
      <c r="G107" s="17">
        <v>969.67741935483866</v>
      </c>
      <c r="H107" s="17">
        <v>1123.8709677419354</v>
      </c>
      <c r="I107" s="17">
        <v>151513</v>
      </c>
      <c r="J107" s="17">
        <v>16376</v>
      </c>
      <c r="K107" s="17">
        <v>3226</v>
      </c>
      <c r="L107" s="17">
        <v>967.75</v>
      </c>
      <c r="M107" s="17">
        <v>1120.7142857142858</v>
      </c>
      <c r="N107" s="17">
        <v>139550</v>
      </c>
      <c r="O107" s="17">
        <v>9236</v>
      </c>
      <c r="P107" s="17">
        <v>4082</v>
      </c>
      <c r="Q107" s="17">
        <v>899.74193548387098</v>
      </c>
      <c r="R107" s="17">
        <v>1120</v>
      </c>
      <c r="S107" s="17">
        <v>141833</v>
      </c>
      <c r="T107" s="17">
        <v>8437</v>
      </c>
      <c r="U107" s="17">
        <v>9400</v>
      </c>
      <c r="V107" s="17">
        <v>919.5</v>
      </c>
      <c r="W107" s="17">
        <v>1120</v>
      </c>
      <c r="X107" s="17">
        <v>137216</v>
      </c>
      <c r="Y107" s="17">
        <v>5845</v>
      </c>
      <c r="Z107" s="17">
        <v>14817</v>
      </c>
      <c r="AA107" s="17">
        <v>886.12903225806451</v>
      </c>
      <c r="AB107" s="17">
        <v>1097.3548387096773</v>
      </c>
      <c r="AC107" s="17">
        <v>137025</v>
      </c>
      <c r="AD107" s="17">
        <v>6170</v>
      </c>
      <c r="AE107" s="17">
        <v>15377</v>
      </c>
      <c r="AF107" s="17">
        <v>897</v>
      </c>
      <c r="AG107" s="17">
        <v>1057.4666666666667</v>
      </c>
      <c r="AH107" s="17">
        <v>134739</v>
      </c>
      <c r="AI107" s="17">
        <v>6451</v>
      </c>
      <c r="AJ107" s="17">
        <v>16870</v>
      </c>
      <c r="AK107" s="17">
        <v>889.22580645161293</v>
      </c>
      <c r="AL107" s="17">
        <v>1077.9677419354839</v>
      </c>
      <c r="AM107" s="17">
        <v>131259</v>
      </c>
      <c r="AN107" s="17">
        <v>5470</v>
      </c>
      <c r="AO107" s="17">
        <v>6053</v>
      </c>
      <c r="AP107" s="17">
        <v>876.67741935483866</v>
      </c>
      <c r="AQ107" s="17">
        <v>1069.6774193548388</v>
      </c>
      <c r="AR107" s="17">
        <v>162016</v>
      </c>
      <c r="AS107" s="17">
        <v>7588</v>
      </c>
      <c r="AT107" s="17">
        <v>7339</v>
      </c>
      <c r="AU107" s="17">
        <v>866</v>
      </c>
      <c r="AV107" s="17">
        <v>1050</v>
      </c>
      <c r="AW107" s="17">
        <v>162047</v>
      </c>
      <c r="AX107" s="17">
        <v>8651</v>
      </c>
      <c r="AY107" s="17">
        <v>6120</v>
      </c>
      <c r="AZ107" s="17">
        <v>900.83870967741939</v>
      </c>
      <c r="BA107" s="17">
        <v>1044.1935483870968</v>
      </c>
      <c r="BB107" s="17">
        <v>140193</v>
      </c>
      <c r="BC107" s="17">
        <v>6639</v>
      </c>
      <c r="BD107" s="17">
        <v>9597</v>
      </c>
      <c r="BE107" s="17">
        <v>913.73333333333335</v>
      </c>
      <c r="BF107" s="17">
        <v>1024.3333333333333</v>
      </c>
      <c r="BG107" s="17">
        <v>135411</v>
      </c>
      <c r="BH107" s="17">
        <v>9145</v>
      </c>
      <c r="BI107" s="17">
        <v>2158</v>
      </c>
      <c r="BJ107" s="17">
        <v>898.87096774193549</v>
      </c>
      <c r="BK107" s="17">
        <v>1013.2258064516129</v>
      </c>
    </row>
    <row r="108" spans="1:63" x14ac:dyDescent="0.35">
      <c r="A108" s="41">
        <v>104</v>
      </c>
      <c r="B108" s="41" t="s">
        <v>233</v>
      </c>
      <c r="C108" s="43" t="s">
        <v>124</v>
      </c>
      <c r="D108" s="17">
        <v>152851</v>
      </c>
      <c r="E108" s="17">
        <v>15841</v>
      </c>
      <c r="F108" s="17">
        <v>2520</v>
      </c>
      <c r="G108" s="17">
        <v>988.06451612903231</v>
      </c>
      <c r="H108" s="17">
        <v>1151.9354838709678</v>
      </c>
      <c r="I108" s="17">
        <v>169755</v>
      </c>
      <c r="J108" s="17">
        <v>20278</v>
      </c>
      <c r="K108" s="17">
        <v>2330</v>
      </c>
      <c r="L108" s="17">
        <v>967.85714285714289</v>
      </c>
      <c r="M108" s="17">
        <v>1139.2857142857142</v>
      </c>
      <c r="N108" s="17">
        <v>159113</v>
      </c>
      <c r="O108" s="17">
        <v>19972</v>
      </c>
      <c r="P108" s="17">
        <v>2214</v>
      </c>
      <c r="Q108" s="17">
        <v>902.48387096774195</v>
      </c>
      <c r="R108" s="17">
        <v>1120</v>
      </c>
      <c r="S108" s="17">
        <v>154858</v>
      </c>
      <c r="T108" s="17">
        <v>18780</v>
      </c>
      <c r="U108" s="17">
        <v>2444</v>
      </c>
      <c r="V108" s="17">
        <v>918.83333333333337</v>
      </c>
      <c r="W108" s="17">
        <v>1120</v>
      </c>
      <c r="X108" s="17">
        <v>154675</v>
      </c>
      <c r="Y108" s="17">
        <v>17373</v>
      </c>
      <c r="Z108" s="17">
        <v>3110</v>
      </c>
      <c r="AA108" s="17">
        <v>886.45161290322585</v>
      </c>
      <c r="AB108" s="17">
        <v>1101.6129032258063</v>
      </c>
      <c r="AC108" s="17">
        <v>163589</v>
      </c>
      <c r="AD108" s="17">
        <v>12280</v>
      </c>
      <c r="AE108" s="17">
        <v>2986</v>
      </c>
      <c r="AF108" s="17">
        <v>897.33333333333337</v>
      </c>
      <c r="AG108" s="17">
        <v>1065.4333333333334</v>
      </c>
      <c r="AH108" s="17">
        <v>147311</v>
      </c>
      <c r="AI108" s="17">
        <v>14067</v>
      </c>
      <c r="AJ108" s="17">
        <v>2979</v>
      </c>
      <c r="AK108" s="17">
        <v>891.41935483870964</v>
      </c>
      <c r="AL108" s="17">
        <v>1083.6774193548388</v>
      </c>
      <c r="AM108" s="17">
        <v>140325</v>
      </c>
      <c r="AN108" s="17">
        <v>12060</v>
      </c>
      <c r="AO108" s="17">
        <v>9309</v>
      </c>
      <c r="AP108" s="17">
        <v>881.61290322580646</v>
      </c>
      <c r="AQ108" s="17">
        <v>1072.5806451612902</v>
      </c>
      <c r="AR108" s="17">
        <v>161828</v>
      </c>
      <c r="AS108" s="17">
        <v>12121</v>
      </c>
      <c r="AT108" s="17">
        <v>1565</v>
      </c>
      <c r="AU108" s="17">
        <v>870.66666666666663</v>
      </c>
      <c r="AV108" s="17">
        <v>1050</v>
      </c>
      <c r="AW108" s="17">
        <v>159838</v>
      </c>
      <c r="AX108" s="17">
        <v>15253</v>
      </c>
      <c r="AY108" s="17">
        <v>3067</v>
      </c>
      <c r="AZ108" s="17">
        <v>900.9677419354839</v>
      </c>
      <c r="BA108" s="17">
        <v>1043.8709677419354</v>
      </c>
      <c r="BB108" s="17">
        <v>143985</v>
      </c>
      <c r="BC108" s="17">
        <v>16069</v>
      </c>
      <c r="BD108" s="17">
        <v>3467</v>
      </c>
      <c r="BE108" s="17">
        <v>917.33333333333337</v>
      </c>
      <c r="BF108" s="17">
        <v>1040</v>
      </c>
      <c r="BG108" s="17">
        <v>146303</v>
      </c>
      <c r="BH108" s="17">
        <v>19178</v>
      </c>
      <c r="BI108" s="17">
        <v>8053</v>
      </c>
      <c r="BJ108" s="17">
        <v>900.16129032258061</v>
      </c>
      <c r="BK108" s="17">
        <v>1018.7096774193549</v>
      </c>
    </row>
    <row r="109" spans="1:63" x14ac:dyDescent="0.35">
      <c r="A109" s="41">
        <v>105</v>
      </c>
      <c r="B109" s="41" t="s">
        <v>240</v>
      </c>
      <c r="C109" s="43" t="s">
        <v>125</v>
      </c>
      <c r="D109" s="17">
        <v>189232</v>
      </c>
      <c r="E109" s="17">
        <v>26044</v>
      </c>
      <c r="F109" s="17">
        <v>945</v>
      </c>
      <c r="G109" s="17">
        <v>1054.516129032258</v>
      </c>
      <c r="H109" s="17">
        <v>1200</v>
      </c>
      <c r="I109" s="17">
        <v>151370</v>
      </c>
      <c r="J109" s="17">
        <v>20072</v>
      </c>
      <c r="K109" s="17">
        <v>47</v>
      </c>
      <c r="L109" s="17">
        <v>1017.5</v>
      </c>
      <c r="M109" s="17">
        <v>1193.5714285714287</v>
      </c>
      <c r="N109" s="17">
        <v>178791</v>
      </c>
      <c r="O109" s="17">
        <v>25901</v>
      </c>
      <c r="P109" s="17">
        <v>0</v>
      </c>
      <c r="Q109" s="17">
        <v>956.77419354838707</v>
      </c>
      <c r="R109" s="17">
        <v>1162.5806451612902</v>
      </c>
      <c r="S109" s="17">
        <v>189383</v>
      </c>
      <c r="T109" s="17">
        <v>27624</v>
      </c>
      <c r="U109" s="17">
        <v>0</v>
      </c>
      <c r="V109" s="17">
        <v>956.66666666666663</v>
      </c>
      <c r="W109" s="17">
        <v>1150</v>
      </c>
      <c r="X109" s="17">
        <v>153832</v>
      </c>
      <c r="Y109" s="17">
        <v>24052</v>
      </c>
      <c r="Z109" s="17">
        <v>0</v>
      </c>
      <c r="AA109" s="17">
        <v>934.51612903225805</v>
      </c>
      <c r="AB109" s="17">
        <v>1128.3870967741937</v>
      </c>
      <c r="AC109" s="17">
        <v>134708</v>
      </c>
      <c r="AD109" s="17">
        <v>21107</v>
      </c>
      <c r="AE109" s="17">
        <v>0</v>
      </c>
      <c r="AF109" s="17">
        <v>929</v>
      </c>
      <c r="AG109" s="17">
        <v>1103.3333333333333</v>
      </c>
      <c r="AH109" s="17">
        <v>134507</v>
      </c>
      <c r="AI109" s="17">
        <v>30949</v>
      </c>
      <c r="AJ109" s="17">
        <v>0</v>
      </c>
      <c r="AK109" s="17">
        <v>930.64516129032256</v>
      </c>
      <c r="AL109" s="17">
        <v>1107.4193548387098</v>
      </c>
      <c r="AM109" s="17">
        <v>145442</v>
      </c>
      <c r="AN109" s="17">
        <v>26687</v>
      </c>
      <c r="AO109" s="17">
        <v>0</v>
      </c>
      <c r="AP109" s="17">
        <v>920.9677419354839</v>
      </c>
      <c r="AQ109" s="17">
        <v>1111.2903225806451</v>
      </c>
      <c r="AR109" s="17">
        <v>132853</v>
      </c>
      <c r="AS109" s="17">
        <v>24199</v>
      </c>
      <c r="AT109" s="17">
        <v>0</v>
      </c>
      <c r="AU109" s="17">
        <v>899</v>
      </c>
      <c r="AV109" s="17">
        <v>1100</v>
      </c>
      <c r="AW109" s="17">
        <v>162006</v>
      </c>
      <c r="AX109" s="17">
        <v>36760</v>
      </c>
      <c r="AY109" s="17">
        <v>0</v>
      </c>
      <c r="AZ109" s="17">
        <v>923.22580645161293</v>
      </c>
      <c r="BA109" s="17">
        <v>1094.8387096774193</v>
      </c>
      <c r="BB109" s="17">
        <v>119957</v>
      </c>
      <c r="BC109" s="17">
        <v>32601</v>
      </c>
      <c r="BD109" s="17">
        <v>0</v>
      </c>
      <c r="BE109" s="17">
        <v>940</v>
      </c>
      <c r="BF109" s="17">
        <v>1080</v>
      </c>
      <c r="BG109" s="17">
        <v>33542</v>
      </c>
      <c r="BH109" s="17">
        <v>12448</v>
      </c>
      <c r="BI109" s="17">
        <v>0</v>
      </c>
      <c r="BJ109" s="17">
        <v>698.8</v>
      </c>
      <c r="BK109" s="17">
        <v>818.4</v>
      </c>
    </row>
    <row r="110" spans="1:63" x14ac:dyDescent="0.35">
      <c r="A110" s="41">
        <v>106</v>
      </c>
      <c r="B110" s="41" t="s">
        <v>233</v>
      </c>
      <c r="C110" s="43" t="s">
        <v>126</v>
      </c>
      <c r="D110" s="17">
        <v>220701</v>
      </c>
      <c r="E110" s="17">
        <v>31969</v>
      </c>
      <c r="F110" s="17">
        <v>1123</v>
      </c>
      <c r="G110" s="17">
        <v>984.83870967741939</v>
      </c>
      <c r="H110" s="17">
        <v>1133.8709677419354</v>
      </c>
      <c r="I110" s="17">
        <v>261601</v>
      </c>
      <c r="J110" s="17">
        <v>31637</v>
      </c>
      <c r="K110" s="17">
        <v>1020</v>
      </c>
      <c r="L110" s="17">
        <v>970.35714285714289</v>
      </c>
      <c r="M110" s="17">
        <v>1130</v>
      </c>
      <c r="N110" s="17">
        <v>358646</v>
      </c>
      <c r="O110" s="17">
        <v>34899</v>
      </c>
      <c r="P110" s="17">
        <v>1196</v>
      </c>
      <c r="Q110" s="17">
        <v>899.35483870967744</v>
      </c>
      <c r="R110" s="17">
        <v>1123.2258064516129</v>
      </c>
      <c r="S110" s="17">
        <v>280396</v>
      </c>
      <c r="T110" s="17">
        <v>22597</v>
      </c>
      <c r="U110" s="17">
        <v>1137</v>
      </c>
      <c r="V110" s="17">
        <v>918.83333333333337</v>
      </c>
      <c r="W110" s="17">
        <v>1120</v>
      </c>
      <c r="X110" s="17">
        <v>265142</v>
      </c>
      <c r="Y110" s="17">
        <v>15727</v>
      </c>
      <c r="Z110" s="17">
        <v>1118</v>
      </c>
      <c r="AA110" s="17">
        <v>886.45161290322585</v>
      </c>
      <c r="AB110" s="17">
        <v>1100.3225806451612</v>
      </c>
      <c r="AC110" s="17">
        <v>250894</v>
      </c>
      <c r="AD110" s="17">
        <v>18559</v>
      </c>
      <c r="AE110" s="17">
        <v>1792</v>
      </c>
      <c r="AF110" s="17">
        <v>897.33333333333337</v>
      </c>
      <c r="AG110" s="17">
        <v>1062.0999999999999</v>
      </c>
      <c r="AH110" s="17">
        <v>235774</v>
      </c>
      <c r="AI110" s="17">
        <v>17615</v>
      </c>
      <c r="AJ110" s="17">
        <v>1966</v>
      </c>
      <c r="AK110" s="17">
        <v>889.32258064516134</v>
      </c>
      <c r="AL110" s="17">
        <v>1075.1290322580646</v>
      </c>
      <c r="AM110" s="17">
        <v>248971</v>
      </c>
      <c r="AN110" s="17">
        <v>17256</v>
      </c>
      <c r="AO110" s="17">
        <v>1951</v>
      </c>
      <c r="AP110" s="17">
        <v>879.77419354838707</v>
      </c>
      <c r="AQ110" s="17">
        <v>1072.5806451612902</v>
      </c>
      <c r="AR110" s="17">
        <v>265973</v>
      </c>
      <c r="AS110" s="17">
        <v>19471</v>
      </c>
      <c r="AT110" s="17">
        <v>3059</v>
      </c>
      <c r="AU110" s="17">
        <v>866</v>
      </c>
      <c r="AV110" s="17">
        <v>1050</v>
      </c>
      <c r="AW110" s="17">
        <v>251774</v>
      </c>
      <c r="AX110" s="17">
        <v>19317</v>
      </c>
      <c r="AY110" s="17">
        <v>3919</v>
      </c>
      <c r="AZ110" s="17">
        <v>900.77419354838707</v>
      </c>
      <c r="BA110" s="17">
        <v>1042.9032258064517</v>
      </c>
      <c r="BB110" s="17">
        <v>237907</v>
      </c>
      <c r="BC110" s="17">
        <v>16571</v>
      </c>
      <c r="BD110" s="17">
        <v>1459</v>
      </c>
      <c r="BE110" s="17">
        <v>913.73333333333335</v>
      </c>
      <c r="BF110" s="17">
        <v>1025.3333333333333</v>
      </c>
      <c r="BG110" s="17">
        <v>241281</v>
      </c>
      <c r="BH110" s="17">
        <v>20475</v>
      </c>
      <c r="BI110" s="17">
        <v>961</v>
      </c>
      <c r="BJ110" s="17">
        <v>898.70967741935488</v>
      </c>
      <c r="BK110" s="17">
        <v>1012.9032258064516</v>
      </c>
    </row>
    <row r="111" spans="1:63" x14ac:dyDescent="0.35">
      <c r="A111" s="41">
        <v>107</v>
      </c>
      <c r="B111" s="41" t="s">
        <v>243</v>
      </c>
      <c r="C111" s="42" t="s">
        <v>127</v>
      </c>
      <c r="D111" s="17">
        <v>212651</v>
      </c>
      <c r="E111" s="17">
        <v>14967</v>
      </c>
      <c r="F111" s="17">
        <v>18</v>
      </c>
      <c r="G111" s="17">
        <v>1046.1290322580646</v>
      </c>
      <c r="H111" s="17">
        <v>1150</v>
      </c>
      <c r="I111" s="17">
        <v>190385</v>
      </c>
      <c r="J111" s="17">
        <v>15646</v>
      </c>
      <c r="K111" s="17">
        <v>471</v>
      </c>
      <c r="L111" s="17">
        <v>1005</v>
      </c>
      <c r="M111" s="17">
        <v>1148.5714285714287</v>
      </c>
      <c r="N111" s="17">
        <v>206144</v>
      </c>
      <c r="O111" s="17">
        <v>13948</v>
      </c>
      <c r="P111" s="17">
        <v>620</v>
      </c>
      <c r="Q111" s="17">
        <v>951.29032258064512</v>
      </c>
      <c r="R111" s="17">
        <v>1131.6129032258063</v>
      </c>
      <c r="S111" s="17">
        <v>196560</v>
      </c>
      <c r="T111" s="17">
        <v>15448</v>
      </c>
      <c r="U111" s="17">
        <v>592</v>
      </c>
      <c r="V111" s="17">
        <v>946.66666666666663</v>
      </c>
      <c r="W111" s="17">
        <v>1112.8333333333333</v>
      </c>
      <c r="X111" s="17">
        <v>185419</v>
      </c>
      <c r="Y111" s="17">
        <v>13758</v>
      </c>
      <c r="Z111" s="17">
        <v>805</v>
      </c>
      <c r="AA111" s="17">
        <v>915.80645161290317</v>
      </c>
      <c r="AB111" s="17">
        <v>1079.0322580645161</v>
      </c>
      <c r="AC111" s="17">
        <v>151069</v>
      </c>
      <c r="AD111" s="17">
        <v>9448</v>
      </c>
      <c r="AE111" s="17">
        <v>927</v>
      </c>
      <c r="AF111" s="17">
        <v>926.16666666666663</v>
      </c>
      <c r="AG111" s="17">
        <v>1073</v>
      </c>
      <c r="AH111" s="17">
        <v>148489</v>
      </c>
      <c r="AI111" s="17">
        <v>12145</v>
      </c>
      <c r="AJ111" s="17">
        <v>948</v>
      </c>
      <c r="AK111" s="17">
        <v>925.48387096774195</v>
      </c>
      <c r="AL111" s="17">
        <v>1090</v>
      </c>
      <c r="AM111" s="17">
        <v>149963</v>
      </c>
      <c r="AN111" s="17">
        <v>12127</v>
      </c>
      <c r="AO111" s="17">
        <v>959</v>
      </c>
      <c r="AP111" s="17">
        <v>916.12903225806451</v>
      </c>
      <c r="AQ111" s="17">
        <v>1107.0967741935483</v>
      </c>
      <c r="AR111" s="17">
        <v>176124</v>
      </c>
      <c r="AS111" s="17">
        <v>17424</v>
      </c>
      <c r="AT111" s="17">
        <v>1180</v>
      </c>
      <c r="AU111" s="17">
        <v>900.66666666666663</v>
      </c>
      <c r="AV111" s="17">
        <v>1100</v>
      </c>
      <c r="AW111" s="17">
        <v>179138</v>
      </c>
      <c r="AX111" s="17">
        <v>19743</v>
      </c>
      <c r="AY111" s="17">
        <v>1129</v>
      </c>
      <c r="AZ111" s="17">
        <v>916.45161290322585</v>
      </c>
      <c r="BA111" s="17">
        <v>1095.1612903225807</v>
      </c>
      <c r="BB111" s="17">
        <v>175017</v>
      </c>
      <c r="BC111" s="17">
        <v>16314</v>
      </c>
      <c r="BD111" s="17">
        <v>871</v>
      </c>
      <c r="BE111" s="17">
        <v>921.83333333333337</v>
      </c>
      <c r="BF111" s="17">
        <v>1075.6666666666667</v>
      </c>
      <c r="BG111" s="17">
        <v>197625</v>
      </c>
      <c r="BH111" s="17">
        <v>19495</v>
      </c>
      <c r="BI111" s="17">
        <v>979</v>
      </c>
      <c r="BJ111" s="17">
        <v>901.45161290322585</v>
      </c>
      <c r="BK111" s="17">
        <v>1048.7096774193549</v>
      </c>
    </row>
    <row r="112" spans="1:63" x14ac:dyDescent="0.35">
      <c r="A112" s="41">
        <v>108</v>
      </c>
      <c r="B112" s="41" t="s">
        <v>247</v>
      </c>
      <c r="C112" s="43" t="s">
        <v>128</v>
      </c>
      <c r="D112" s="17">
        <v>252113</v>
      </c>
      <c r="E112" s="17">
        <v>48858</v>
      </c>
      <c r="F112" s="17">
        <v>0</v>
      </c>
      <c r="G112" s="17">
        <v>1012.5806451612904</v>
      </c>
      <c r="H112" s="17">
        <v>1150</v>
      </c>
      <c r="I112" s="17">
        <v>227248</v>
      </c>
      <c r="J112" s="17">
        <v>38668</v>
      </c>
      <c r="K112" s="17">
        <v>0</v>
      </c>
      <c r="L112" s="17">
        <v>999.64285714285711</v>
      </c>
      <c r="M112" s="17">
        <v>1144.2857142857142</v>
      </c>
      <c r="N112" s="17">
        <v>247766</v>
      </c>
      <c r="O112" s="17">
        <v>32232</v>
      </c>
      <c r="P112" s="17">
        <v>0</v>
      </c>
      <c r="Q112" s="17">
        <v>938.87096774193549</v>
      </c>
      <c r="R112" s="17">
        <v>1129.6774193548388</v>
      </c>
      <c r="S112" s="17">
        <v>278143</v>
      </c>
      <c r="T112" s="17">
        <v>35507</v>
      </c>
      <c r="U112" s="17">
        <v>0</v>
      </c>
      <c r="V112" s="17">
        <v>945.33333333333337</v>
      </c>
      <c r="W112" s="17">
        <v>1111.6666666666667</v>
      </c>
      <c r="X112" s="17">
        <v>268618</v>
      </c>
      <c r="Y112" s="17">
        <v>41701</v>
      </c>
      <c r="Z112" s="17">
        <v>0</v>
      </c>
      <c r="AA112" s="17">
        <v>912.58064516129036</v>
      </c>
      <c r="AB112" s="17">
        <v>1073.2258064516129</v>
      </c>
      <c r="AC112" s="17">
        <v>258624</v>
      </c>
      <c r="AD112" s="17">
        <v>44135</v>
      </c>
      <c r="AE112" s="17">
        <v>0</v>
      </c>
      <c r="AF112" s="17">
        <v>920.66666666666663</v>
      </c>
      <c r="AG112" s="17">
        <v>1073</v>
      </c>
      <c r="AH112" s="17">
        <v>277877</v>
      </c>
      <c r="AI112" s="17">
        <v>40142</v>
      </c>
      <c r="AJ112" s="17">
        <v>0</v>
      </c>
      <c r="AK112" s="17">
        <v>922.90322580645159</v>
      </c>
      <c r="AL112" s="17">
        <v>1083.5483870967741</v>
      </c>
      <c r="AM112" s="17">
        <v>275504</v>
      </c>
      <c r="AN112" s="17">
        <v>39516</v>
      </c>
      <c r="AO112" s="17">
        <v>0</v>
      </c>
      <c r="AP112" s="17">
        <v>910.32258064516134</v>
      </c>
      <c r="AQ112" s="17">
        <v>1107.4193548387098</v>
      </c>
      <c r="AR112" s="17">
        <v>266105</v>
      </c>
      <c r="AS112" s="17">
        <v>23830</v>
      </c>
      <c r="AT112" s="17">
        <v>0</v>
      </c>
      <c r="AU112" s="17">
        <v>893.66666666666663</v>
      </c>
      <c r="AV112" s="17">
        <v>1100</v>
      </c>
      <c r="AW112" s="17">
        <v>231905</v>
      </c>
      <c r="AX112" s="17">
        <v>22491</v>
      </c>
      <c r="AY112" s="17">
        <v>0</v>
      </c>
      <c r="AZ112" s="17">
        <v>915.16129032258061</v>
      </c>
      <c r="BA112" s="17">
        <v>1088.0645161290322</v>
      </c>
      <c r="BB112" s="17">
        <v>219614</v>
      </c>
      <c r="BC112" s="17">
        <v>30533</v>
      </c>
      <c r="BD112" s="17">
        <v>0</v>
      </c>
      <c r="BE112" s="17">
        <v>919.5</v>
      </c>
      <c r="BF112" s="17">
        <v>1062.6666666666667</v>
      </c>
      <c r="BG112" s="17">
        <v>208182</v>
      </c>
      <c r="BH112" s="17">
        <v>44956</v>
      </c>
      <c r="BI112" s="17">
        <v>0</v>
      </c>
      <c r="BJ112" s="17">
        <v>900.48387096774195</v>
      </c>
      <c r="BK112" s="17">
        <v>1042.9032258064517</v>
      </c>
    </row>
    <row r="113" spans="1:63" x14ac:dyDescent="0.35">
      <c r="A113" s="41">
        <v>109</v>
      </c>
      <c r="B113" s="41" t="s">
        <v>233</v>
      </c>
      <c r="C113" s="43" t="s">
        <v>129</v>
      </c>
      <c r="D113" s="17">
        <v>271818</v>
      </c>
      <c r="E113" s="17">
        <v>56211</v>
      </c>
      <c r="F113" s="17">
        <v>0</v>
      </c>
      <c r="G113" s="17">
        <v>998.70967741935488</v>
      </c>
      <c r="H113" s="17">
        <v>1142.9032258064517</v>
      </c>
      <c r="I113" s="17">
        <v>321461</v>
      </c>
      <c r="J113" s="17">
        <v>58271</v>
      </c>
      <c r="K113" s="17">
        <v>0</v>
      </c>
      <c r="L113" s="17">
        <v>980</v>
      </c>
      <c r="M113" s="17">
        <v>1140</v>
      </c>
      <c r="N113" s="17">
        <v>287047</v>
      </c>
      <c r="O113" s="17">
        <v>80907</v>
      </c>
      <c r="P113" s="17">
        <v>0</v>
      </c>
      <c r="Q113" s="17">
        <v>904.67741935483866</v>
      </c>
      <c r="R113" s="17">
        <v>1140.3225806451612</v>
      </c>
      <c r="S113" s="17">
        <v>336727</v>
      </c>
      <c r="T113" s="17">
        <v>73756</v>
      </c>
      <c r="U113" s="17">
        <v>0</v>
      </c>
      <c r="V113" s="17">
        <v>918.83333333333337</v>
      </c>
      <c r="W113" s="17">
        <v>1140</v>
      </c>
      <c r="X113" s="17">
        <v>335148</v>
      </c>
      <c r="Y113" s="17">
        <v>45210</v>
      </c>
      <c r="Z113" s="17">
        <v>0</v>
      </c>
      <c r="AA113" s="17">
        <v>888.22580645161293</v>
      </c>
      <c r="AB113" s="17">
        <v>1122.258064516129</v>
      </c>
      <c r="AC113" s="17">
        <v>320319</v>
      </c>
      <c r="AD113" s="17">
        <v>56809</v>
      </c>
      <c r="AE113" s="17">
        <v>0</v>
      </c>
      <c r="AF113" s="17">
        <v>900.5</v>
      </c>
      <c r="AG113" s="17">
        <v>1073.1666666666667</v>
      </c>
      <c r="AH113" s="17">
        <v>309518</v>
      </c>
      <c r="AI113" s="17">
        <v>43751</v>
      </c>
      <c r="AJ113" s="17">
        <v>0</v>
      </c>
      <c r="AK113" s="17">
        <v>901</v>
      </c>
      <c r="AL113" s="17">
        <v>1101.4516129032259</v>
      </c>
      <c r="AM113" s="17">
        <v>301984</v>
      </c>
      <c r="AN113" s="17">
        <v>31937</v>
      </c>
      <c r="AO113" s="17">
        <v>0</v>
      </c>
      <c r="AP113" s="17">
        <v>887.58064516129036</v>
      </c>
      <c r="AQ113" s="17">
        <v>1080.3225806451612</v>
      </c>
      <c r="AR113" s="17">
        <v>416797</v>
      </c>
      <c r="AS113" s="17">
        <v>44390</v>
      </c>
      <c r="AT113" s="17">
        <v>0</v>
      </c>
      <c r="AU113" s="17">
        <v>870.66666666666663</v>
      </c>
      <c r="AV113" s="17">
        <v>1050</v>
      </c>
      <c r="AW113" s="17">
        <v>631175</v>
      </c>
      <c r="AX113" s="17">
        <v>47699</v>
      </c>
      <c r="AY113" s="17">
        <v>800</v>
      </c>
      <c r="AZ113" s="17">
        <v>903.38709677419354</v>
      </c>
      <c r="BA113" s="17">
        <v>1047.0967741935483</v>
      </c>
      <c r="BB113" s="17">
        <v>486780</v>
      </c>
      <c r="BC113" s="17">
        <v>53065</v>
      </c>
      <c r="BD113" s="17">
        <v>0</v>
      </c>
      <c r="BE113" s="17">
        <v>921.26666666666665</v>
      </c>
      <c r="BF113" s="17">
        <v>1046.6666666666667</v>
      </c>
      <c r="BG113" s="17">
        <v>630003</v>
      </c>
      <c r="BH113" s="17">
        <v>75136</v>
      </c>
      <c r="BI113" s="17">
        <v>0</v>
      </c>
      <c r="BJ113" s="17">
        <v>899.0322580645161</v>
      </c>
      <c r="BK113" s="17">
        <v>1030</v>
      </c>
    </row>
    <row r="114" spans="1:63" x14ac:dyDescent="0.35">
      <c r="A114" s="41">
        <v>110</v>
      </c>
      <c r="B114" s="41" t="s">
        <v>240</v>
      </c>
      <c r="C114" s="43" t="s">
        <v>130</v>
      </c>
      <c r="D114" s="17">
        <v>288564</v>
      </c>
      <c r="E114" s="17">
        <v>23990</v>
      </c>
      <c r="F114" s="17">
        <v>1571</v>
      </c>
      <c r="G114" s="17">
        <v>1040.6451612903227</v>
      </c>
      <c r="H114" s="17">
        <v>1188.7096774193549</v>
      </c>
      <c r="I114" s="17">
        <v>239671</v>
      </c>
      <c r="J114" s="17">
        <v>24409</v>
      </c>
      <c r="K114" s="17">
        <v>1277</v>
      </c>
      <c r="L114" s="17">
        <v>1002.8571428571429</v>
      </c>
      <c r="M114" s="17">
        <v>1186.7857142857142</v>
      </c>
      <c r="N114" s="17">
        <v>259055</v>
      </c>
      <c r="O114" s="17">
        <v>21689</v>
      </c>
      <c r="P114" s="17">
        <v>1334</v>
      </c>
      <c r="Q114" s="17">
        <v>951.29032258064512</v>
      </c>
      <c r="R114" s="17">
        <v>1162.5806451612902</v>
      </c>
      <c r="S114" s="17">
        <v>282997</v>
      </c>
      <c r="T114" s="17">
        <v>26855</v>
      </c>
      <c r="U114" s="17">
        <v>1334</v>
      </c>
      <c r="V114" s="17">
        <v>956.66666666666663</v>
      </c>
      <c r="W114" s="17">
        <v>1150</v>
      </c>
      <c r="X114" s="17">
        <v>253167</v>
      </c>
      <c r="Y114" s="17">
        <v>24025</v>
      </c>
      <c r="Z114" s="17">
        <v>1154</v>
      </c>
      <c r="AA114" s="17">
        <v>921.29032258064512</v>
      </c>
      <c r="AB114" s="17">
        <v>1119.0322580645161</v>
      </c>
      <c r="AC114" s="17">
        <v>219699</v>
      </c>
      <c r="AD114" s="17">
        <v>21189</v>
      </c>
      <c r="AE114" s="17">
        <v>1114</v>
      </c>
      <c r="AF114" s="17">
        <v>921.33333333333337</v>
      </c>
      <c r="AG114" s="17">
        <v>1101.3333333333333</v>
      </c>
      <c r="AH114" s="17">
        <v>217494</v>
      </c>
      <c r="AI114" s="17">
        <v>22569</v>
      </c>
      <c r="AJ114" s="17">
        <v>1061</v>
      </c>
      <c r="AK114" s="17">
        <v>923.54838709677415</v>
      </c>
      <c r="AL114" s="17">
        <v>1107.4193548387098</v>
      </c>
      <c r="AM114" s="17">
        <v>233083</v>
      </c>
      <c r="AN114" s="17">
        <v>24557</v>
      </c>
      <c r="AO114" s="17">
        <v>1321</v>
      </c>
      <c r="AP114" s="17">
        <v>913.54838709677415</v>
      </c>
      <c r="AQ114" s="17">
        <v>1111.2903225806451</v>
      </c>
      <c r="AR114" s="17">
        <v>228674</v>
      </c>
      <c r="AS114" s="17">
        <v>17408</v>
      </c>
      <c r="AT114" s="17">
        <v>1026</v>
      </c>
      <c r="AU114" s="17">
        <v>890.66666666666663</v>
      </c>
      <c r="AV114" s="17">
        <v>1100</v>
      </c>
      <c r="AW114" s="17">
        <v>223944</v>
      </c>
      <c r="AX114" s="17">
        <v>16209</v>
      </c>
      <c r="AY114" s="17">
        <v>1207</v>
      </c>
      <c r="AZ114" s="17">
        <v>922.90322580645159</v>
      </c>
      <c r="BA114" s="17">
        <v>1094.1935483870968</v>
      </c>
      <c r="BB114" s="17">
        <v>229423</v>
      </c>
      <c r="BC114" s="17">
        <v>18997</v>
      </c>
      <c r="BD114" s="17">
        <v>865</v>
      </c>
      <c r="BE114" s="17">
        <v>928</v>
      </c>
      <c r="BF114" s="17">
        <v>1080</v>
      </c>
      <c r="BG114" s="17">
        <v>296588</v>
      </c>
      <c r="BH114" s="17">
        <v>33364</v>
      </c>
      <c r="BI114" s="17">
        <v>1117</v>
      </c>
      <c r="BJ114" s="17">
        <v>901.61290322580646</v>
      </c>
      <c r="BK114" s="17">
        <v>1065.8064516129032</v>
      </c>
    </row>
    <row r="115" spans="1:63" x14ac:dyDescent="0.35">
      <c r="A115" s="41">
        <v>111</v>
      </c>
      <c r="B115" s="41" t="s">
        <v>240</v>
      </c>
      <c r="C115" s="43" t="s">
        <v>131</v>
      </c>
      <c r="D115" s="17">
        <v>216945</v>
      </c>
      <c r="E115" s="17">
        <v>42151</v>
      </c>
      <c r="F115" s="17">
        <v>1004</v>
      </c>
      <c r="G115" s="17">
        <v>1043.2258064516129</v>
      </c>
      <c r="H115" s="17">
        <v>1188.7096774193549</v>
      </c>
      <c r="I115" s="17">
        <v>215658</v>
      </c>
      <c r="J115" s="17">
        <v>46806</v>
      </c>
      <c r="K115" s="17">
        <v>596</v>
      </c>
      <c r="L115" s="17">
        <v>1007.5</v>
      </c>
      <c r="M115" s="17">
        <v>1186.7857142857142</v>
      </c>
      <c r="N115" s="17">
        <v>237337</v>
      </c>
      <c r="O115" s="17">
        <v>41372</v>
      </c>
      <c r="P115" s="17">
        <v>838</v>
      </c>
      <c r="Q115" s="17">
        <v>952.25806451612902</v>
      </c>
      <c r="R115" s="17">
        <v>1162.5806451612902</v>
      </c>
      <c r="S115" s="17">
        <v>232434</v>
      </c>
      <c r="T115" s="17">
        <v>46979</v>
      </c>
      <c r="U115" s="17">
        <v>1063</v>
      </c>
      <c r="V115" s="17">
        <v>956.66666666666663</v>
      </c>
      <c r="W115" s="17">
        <v>1150</v>
      </c>
      <c r="X115" s="17">
        <v>233033</v>
      </c>
      <c r="Y115" s="17">
        <v>42483</v>
      </c>
      <c r="Z115" s="17">
        <v>1460</v>
      </c>
      <c r="AA115" s="17">
        <v>922.90322580645159</v>
      </c>
      <c r="AB115" s="17">
        <v>1119.0322580645161</v>
      </c>
      <c r="AC115" s="17">
        <v>215811</v>
      </c>
      <c r="AD115" s="17">
        <v>36833</v>
      </c>
      <c r="AE115" s="17">
        <v>1338</v>
      </c>
      <c r="AF115" s="17">
        <v>922.33333333333337</v>
      </c>
      <c r="AG115" s="17">
        <v>1101.6666666666667</v>
      </c>
      <c r="AH115" s="17">
        <v>230107</v>
      </c>
      <c r="AI115" s="17">
        <v>37783</v>
      </c>
      <c r="AJ115" s="17">
        <v>1690</v>
      </c>
      <c r="AK115" s="17">
        <v>924.83870967741939</v>
      </c>
      <c r="AL115" s="17">
        <v>1107.4193548387098</v>
      </c>
      <c r="AM115" s="17">
        <v>246064</v>
      </c>
      <c r="AN115" s="17">
        <v>42205</v>
      </c>
      <c r="AO115" s="17">
        <v>1739</v>
      </c>
      <c r="AP115" s="17">
        <v>913.87096774193549</v>
      </c>
      <c r="AQ115" s="17">
        <v>1111.2903225806451</v>
      </c>
      <c r="AR115" s="17">
        <v>240177</v>
      </c>
      <c r="AS115" s="17">
        <v>36397</v>
      </c>
      <c r="AT115" s="17">
        <v>1293</v>
      </c>
      <c r="AU115" s="17">
        <v>890.66666666666663</v>
      </c>
      <c r="AV115" s="17">
        <v>1100</v>
      </c>
      <c r="AW115" s="17">
        <v>243673</v>
      </c>
      <c r="AX115" s="17">
        <v>34530</v>
      </c>
      <c r="AY115" s="17">
        <v>1332</v>
      </c>
      <c r="AZ115" s="17">
        <v>923.22580645161293</v>
      </c>
      <c r="BA115" s="17">
        <v>1094.1935483870968</v>
      </c>
      <c r="BB115" s="17">
        <v>244604</v>
      </c>
      <c r="BC115" s="17">
        <v>39642</v>
      </c>
      <c r="BD115" s="17">
        <v>1859</v>
      </c>
      <c r="BE115" s="17">
        <v>932.66666666666663</v>
      </c>
      <c r="BF115" s="17">
        <v>1080</v>
      </c>
      <c r="BG115" s="17">
        <v>314671</v>
      </c>
      <c r="BH115" s="17">
        <v>52053</v>
      </c>
      <c r="BI115" s="17">
        <v>1670</v>
      </c>
      <c r="BJ115" s="17">
        <v>901.61290322580646</v>
      </c>
      <c r="BK115" s="17">
        <v>1065.8064516129032</v>
      </c>
    </row>
    <row r="116" spans="1:63" x14ac:dyDescent="0.35">
      <c r="A116" s="41">
        <v>112</v>
      </c>
      <c r="B116" s="41" t="s">
        <v>233</v>
      </c>
      <c r="C116" s="43" t="s">
        <v>132</v>
      </c>
      <c r="D116" s="17">
        <v>243600</v>
      </c>
      <c r="E116" s="17">
        <v>37214</v>
      </c>
      <c r="F116" s="17">
        <v>1776</v>
      </c>
      <c r="G116" s="17">
        <v>1004.516129032258</v>
      </c>
      <c r="H116" s="17">
        <v>1142.9032258064517</v>
      </c>
      <c r="I116" s="17">
        <v>305269</v>
      </c>
      <c r="J116" s="17">
        <v>36799</v>
      </c>
      <c r="K116" s="17">
        <v>19600</v>
      </c>
      <c r="L116" s="17">
        <v>970.35714285714289</v>
      </c>
      <c r="M116" s="17">
        <v>1139.2857142857142</v>
      </c>
      <c r="N116" s="17">
        <v>303406</v>
      </c>
      <c r="O116" s="17">
        <v>37756</v>
      </c>
      <c r="P116" s="17">
        <v>1226</v>
      </c>
      <c r="Q116" s="17">
        <v>904.83870967741939</v>
      </c>
      <c r="R116" s="17">
        <v>1133.2258064516129</v>
      </c>
      <c r="S116" s="17">
        <v>324688</v>
      </c>
      <c r="T116" s="17">
        <v>35961</v>
      </c>
      <c r="U116" s="17">
        <v>2194</v>
      </c>
      <c r="V116" s="17">
        <v>918.83333333333337</v>
      </c>
      <c r="W116" s="17">
        <v>1130</v>
      </c>
      <c r="X116" s="17">
        <v>325348</v>
      </c>
      <c r="Y116" s="17">
        <v>30689</v>
      </c>
      <c r="Z116" s="17">
        <v>1890</v>
      </c>
      <c r="AA116" s="17">
        <v>888.06451612903231</v>
      </c>
      <c r="AB116" s="17">
        <v>1115.8064516129032</v>
      </c>
      <c r="AC116" s="17">
        <v>338045</v>
      </c>
      <c r="AD116" s="17">
        <v>40322</v>
      </c>
      <c r="AE116" s="17">
        <v>1655</v>
      </c>
      <c r="AF116" s="17">
        <v>900.5</v>
      </c>
      <c r="AG116" s="17">
        <v>1073.3333333333333</v>
      </c>
      <c r="AH116" s="17">
        <v>323137</v>
      </c>
      <c r="AI116" s="17">
        <v>32428</v>
      </c>
      <c r="AJ116" s="17">
        <v>2451</v>
      </c>
      <c r="AK116" s="17">
        <v>892.29032258064512</v>
      </c>
      <c r="AL116" s="17">
        <v>1098.7096774193549</v>
      </c>
      <c r="AM116" s="17">
        <v>319163</v>
      </c>
      <c r="AN116" s="17">
        <v>22406</v>
      </c>
      <c r="AO116" s="17">
        <v>2095</v>
      </c>
      <c r="AP116" s="17">
        <v>879.93548387096769</v>
      </c>
      <c r="AQ116" s="17">
        <v>1071.6129032258063</v>
      </c>
      <c r="AR116" s="17">
        <v>354924</v>
      </c>
      <c r="AS116" s="17">
        <v>30610</v>
      </c>
      <c r="AT116" s="17">
        <v>4237</v>
      </c>
      <c r="AU116" s="17">
        <v>866</v>
      </c>
      <c r="AV116" s="17">
        <v>1050</v>
      </c>
      <c r="AW116" s="17">
        <v>400657</v>
      </c>
      <c r="AX116" s="17">
        <v>35820</v>
      </c>
      <c r="AY116" s="17">
        <v>2438</v>
      </c>
      <c r="AZ116" s="17">
        <v>900.9677419354839</v>
      </c>
      <c r="BA116" s="17">
        <v>1044.1935483870968</v>
      </c>
      <c r="BB116" s="17">
        <v>382152</v>
      </c>
      <c r="BC116" s="17">
        <v>30426</v>
      </c>
      <c r="BD116" s="17">
        <v>848</v>
      </c>
      <c r="BE116" s="17">
        <v>917.33333333333337</v>
      </c>
      <c r="BF116" s="17">
        <v>1035</v>
      </c>
      <c r="BG116" s="17">
        <v>451482</v>
      </c>
      <c r="BH116" s="17">
        <v>46142</v>
      </c>
      <c r="BI116" s="17">
        <v>2</v>
      </c>
      <c r="BJ116" s="17">
        <v>901.12903225806451</v>
      </c>
      <c r="BK116" s="17">
        <v>1029.3548387096773</v>
      </c>
    </row>
    <row r="117" spans="1:63" x14ac:dyDescent="0.35">
      <c r="A117" s="41">
        <v>113</v>
      </c>
      <c r="B117" s="41" t="s">
        <v>237</v>
      </c>
      <c r="C117" s="43" t="s">
        <v>133</v>
      </c>
      <c r="D117" s="17">
        <v>243234</v>
      </c>
      <c r="E117" s="17">
        <v>49444</v>
      </c>
      <c r="F117" s="17">
        <v>0</v>
      </c>
      <c r="G117" s="17">
        <v>1007.741935483871</v>
      </c>
      <c r="H117" s="17">
        <v>1150</v>
      </c>
      <c r="I117" s="17">
        <v>172186</v>
      </c>
      <c r="J117" s="17">
        <v>77726</v>
      </c>
      <c r="K117" s="17">
        <v>0</v>
      </c>
      <c r="L117" s="17">
        <v>998.21428571428567</v>
      </c>
      <c r="M117" s="17">
        <v>1150</v>
      </c>
      <c r="N117" s="17">
        <v>157436</v>
      </c>
      <c r="O117" s="17">
        <v>67642</v>
      </c>
      <c r="P117" s="17">
        <v>0</v>
      </c>
      <c r="Q117" s="17">
        <v>940.48387096774195</v>
      </c>
      <c r="R117" s="17">
        <v>1150</v>
      </c>
      <c r="S117" s="17">
        <v>162923</v>
      </c>
      <c r="T117" s="17">
        <v>73450</v>
      </c>
      <c r="U117" s="17">
        <v>0</v>
      </c>
      <c r="V117" s="17">
        <v>944.33333333333337</v>
      </c>
      <c r="W117" s="17">
        <v>1135</v>
      </c>
      <c r="X117" s="17">
        <v>150556</v>
      </c>
      <c r="Y117" s="17">
        <v>102396</v>
      </c>
      <c r="Z117" s="17">
        <v>0</v>
      </c>
      <c r="AA117" s="17">
        <v>913.22580645161293</v>
      </c>
      <c r="AB117" s="17">
        <v>1087.4193548387098</v>
      </c>
      <c r="AC117" s="17">
        <v>147402</v>
      </c>
      <c r="AD117" s="17">
        <v>106474</v>
      </c>
      <c r="AE117" s="17">
        <v>0</v>
      </c>
      <c r="AF117" s="17">
        <v>924.83333333333337</v>
      </c>
      <c r="AG117" s="17">
        <v>1079.3333333333333</v>
      </c>
      <c r="AH117" s="17">
        <v>150877</v>
      </c>
      <c r="AI117" s="17">
        <v>109316</v>
      </c>
      <c r="AJ117" s="17">
        <v>0</v>
      </c>
      <c r="AK117" s="17">
        <v>920.64516129032256</v>
      </c>
      <c r="AL117" s="17">
        <v>1090</v>
      </c>
      <c r="AM117" s="17">
        <v>149918</v>
      </c>
      <c r="AN117" s="17">
        <v>80356</v>
      </c>
      <c r="AO117" s="17">
        <v>0</v>
      </c>
      <c r="AP117" s="17">
        <v>910</v>
      </c>
      <c r="AQ117" s="17">
        <v>1109.3548387096773</v>
      </c>
      <c r="AR117" s="17">
        <v>166516</v>
      </c>
      <c r="AS117" s="17">
        <v>94566</v>
      </c>
      <c r="AT117" s="17">
        <v>0</v>
      </c>
      <c r="AU117" s="17">
        <v>892</v>
      </c>
      <c r="AV117" s="17">
        <v>1100</v>
      </c>
      <c r="AW117" s="17">
        <v>152437</v>
      </c>
      <c r="AX117" s="17">
        <v>68999</v>
      </c>
      <c r="AY117" s="17">
        <v>0</v>
      </c>
      <c r="AZ117" s="17">
        <v>913.22580645161293</v>
      </c>
      <c r="BA117" s="17">
        <v>1088.3870967741937</v>
      </c>
      <c r="BB117" s="17">
        <v>164196</v>
      </c>
      <c r="BC117" s="17">
        <v>76977</v>
      </c>
      <c r="BD117" s="17">
        <v>0</v>
      </c>
      <c r="BE117" s="17">
        <v>919.33333333333337</v>
      </c>
      <c r="BF117" s="17">
        <v>1063.3333333333333</v>
      </c>
      <c r="BG117" s="17">
        <v>167839</v>
      </c>
      <c r="BH117" s="17">
        <v>76596</v>
      </c>
      <c r="BI117" s="17">
        <v>0</v>
      </c>
      <c r="BJ117" s="17">
        <v>895.32258064516134</v>
      </c>
      <c r="BK117" s="17">
        <v>1044.8387096774193</v>
      </c>
    </row>
    <row r="118" spans="1:63" x14ac:dyDescent="0.35">
      <c r="A118" s="41">
        <v>114</v>
      </c>
      <c r="B118" s="41" t="s">
        <v>244</v>
      </c>
      <c r="C118" s="43" t="s">
        <v>134</v>
      </c>
      <c r="D118" s="17">
        <v>153287</v>
      </c>
      <c r="E118" s="17">
        <v>20549</v>
      </c>
      <c r="F118" s="17">
        <v>0</v>
      </c>
      <c r="G118" s="17">
        <v>1032.5806451612902</v>
      </c>
      <c r="H118" s="17">
        <v>1180</v>
      </c>
      <c r="I118" s="17">
        <v>144118</v>
      </c>
      <c r="J118" s="17">
        <v>20360</v>
      </c>
      <c r="K118" s="17">
        <v>0</v>
      </c>
      <c r="L118" s="17">
        <v>1011.4285714285714</v>
      </c>
      <c r="M118" s="17">
        <v>1173.9285714285713</v>
      </c>
      <c r="N118" s="17">
        <v>116758</v>
      </c>
      <c r="O118" s="17">
        <v>18703</v>
      </c>
      <c r="P118" s="17">
        <v>0</v>
      </c>
      <c r="Q118" s="17">
        <v>962.58064516129036</v>
      </c>
      <c r="R118" s="17">
        <v>1170</v>
      </c>
      <c r="S118" s="17">
        <v>122732</v>
      </c>
      <c r="T118" s="17">
        <v>13081</v>
      </c>
      <c r="U118" s="17">
        <v>0</v>
      </c>
      <c r="V118" s="17">
        <v>957.5</v>
      </c>
      <c r="W118" s="17">
        <v>1151.6666666666667</v>
      </c>
      <c r="X118" s="17">
        <v>94277</v>
      </c>
      <c r="Y118" s="17">
        <v>11493</v>
      </c>
      <c r="Z118" s="17">
        <v>0</v>
      </c>
      <c r="AA118" s="17">
        <v>920.16129032258061</v>
      </c>
      <c r="AB118" s="17">
        <v>1111.6129032258063</v>
      </c>
      <c r="AC118" s="17">
        <v>105355</v>
      </c>
      <c r="AD118" s="17">
        <v>12947</v>
      </c>
      <c r="AE118" s="17">
        <v>0</v>
      </c>
      <c r="AF118" s="17">
        <v>921.5</v>
      </c>
      <c r="AG118" s="17">
        <v>1095.3333333333333</v>
      </c>
      <c r="AH118" s="17">
        <v>92584</v>
      </c>
      <c r="AI118" s="17">
        <v>16265</v>
      </c>
      <c r="AJ118" s="17">
        <v>0</v>
      </c>
      <c r="AK118" s="17">
        <v>918.22580645161293</v>
      </c>
      <c r="AL118" s="17">
        <v>1105.8064516129032</v>
      </c>
      <c r="AM118" s="17">
        <v>101867</v>
      </c>
      <c r="AN118" s="17">
        <v>14655</v>
      </c>
      <c r="AO118" s="17">
        <v>0</v>
      </c>
      <c r="AP118" s="17">
        <v>917.25806451612902</v>
      </c>
      <c r="AQ118" s="17">
        <v>1116.7741935483871</v>
      </c>
      <c r="AR118" s="17">
        <v>97099</v>
      </c>
      <c r="AS118" s="17">
        <v>13297</v>
      </c>
      <c r="AT118" s="17">
        <v>0</v>
      </c>
      <c r="AU118" s="17">
        <v>893.5</v>
      </c>
      <c r="AV118" s="17">
        <v>1100</v>
      </c>
      <c r="AW118" s="17">
        <v>97404</v>
      </c>
      <c r="AX118" s="17">
        <v>11377</v>
      </c>
      <c r="AY118" s="17">
        <v>0</v>
      </c>
      <c r="AZ118" s="17">
        <v>935.16129032258061</v>
      </c>
      <c r="BA118" s="17">
        <v>1097.0967741935483</v>
      </c>
      <c r="BB118" s="17">
        <v>82631</v>
      </c>
      <c r="BC118" s="17">
        <v>11935</v>
      </c>
      <c r="BD118" s="17">
        <v>3</v>
      </c>
      <c r="BE118" s="17">
        <v>943.33333333333337</v>
      </c>
      <c r="BF118" s="17">
        <v>1062</v>
      </c>
      <c r="BG118" s="17">
        <v>127551</v>
      </c>
      <c r="BH118" s="17">
        <v>19978</v>
      </c>
      <c r="BI118" s="17">
        <v>0</v>
      </c>
      <c r="BJ118" s="17">
        <v>905.48387096774195</v>
      </c>
      <c r="BK118" s="17">
        <v>1060</v>
      </c>
    </row>
    <row r="119" spans="1:63" x14ac:dyDescent="0.35">
      <c r="A119" s="41">
        <v>115</v>
      </c>
      <c r="B119" s="41" t="s">
        <v>232</v>
      </c>
      <c r="C119" s="43" t="s">
        <v>135</v>
      </c>
      <c r="D119" s="17">
        <v>115844</v>
      </c>
      <c r="E119" s="17">
        <v>4645</v>
      </c>
      <c r="F119" s="17">
        <v>0</v>
      </c>
      <c r="G119" s="17">
        <v>1051.9354838709678</v>
      </c>
      <c r="H119" s="17">
        <v>1190</v>
      </c>
      <c r="I119" s="17">
        <v>81210</v>
      </c>
      <c r="J119" s="17">
        <v>5264</v>
      </c>
      <c r="K119" s="17">
        <v>0</v>
      </c>
      <c r="L119" s="17">
        <v>1011.7857142857143</v>
      </c>
      <c r="M119" s="17">
        <v>1186.7857142857142</v>
      </c>
      <c r="N119" s="17">
        <v>91373</v>
      </c>
      <c r="O119" s="17">
        <v>6186</v>
      </c>
      <c r="P119" s="17">
        <v>0</v>
      </c>
      <c r="Q119" s="17">
        <v>956.12903225806451</v>
      </c>
      <c r="R119" s="17">
        <v>1162.9032258064517</v>
      </c>
      <c r="S119" s="17">
        <v>92040</v>
      </c>
      <c r="T119" s="17">
        <v>8727</v>
      </c>
      <c r="U119" s="17">
        <v>0</v>
      </c>
      <c r="V119" s="17">
        <v>956.33333333333337</v>
      </c>
      <c r="W119" s="17">
        <v>1150</v>
      </c>
      <c r="X119" s="17">
        <v>74585</v>
      </c>
      <c r="Y119" s="17">
        <v>6018</v>
      </c>
      <c r="Z119" s="17">
        <v>0</v>
      </c>
      <c r="AA119" s="17">
        <v>928.70967741935488</v>
      </c>
      <c r="AB119" s="17">
        <v>1126.1290322580646</v>
      </c>
      <c r="AC119" s="17">
        <v>67908</v>
      </c>
      <c r="AD119" s="17">
        <v>6604</v>
      </c>
      <c r="AE119" s="17">
        <v>0</v>
      </c>
      <c r="AF119" s="17">
        <v>925</v>
      </c>
      <c r="AG119" s="17">
        <v>1100.6666666666667</v>
      </c>
      <c r="AH119" s="17">
        <v>58990</v>
      </c>
      <c r="AI119" s="17">
        <v>5447</v>
      </c>
      <c r="AJ119" s="17">
        <v>0</v>
      </c>
      <c r="AK119" s="17">
        <v>924.51612903225805</v>
      </c>
      <c r="AL119" s="17">
        <v>1102.258064516129</v>
      </c>
      <c r="AM119" s="17">
        <v>62449</v>
      </c>
      <c r="AN119" s="17">
        <v>8315</v>
      </c>
      <c r="AO119" s="17">
        <v>0</v>
      </c>
      <c r="AP119" s="17">
        <v>906.12903225806451</v>
      </c>
      <c r="AQ119" s="17">
        <v>1110.9677419354839</v>
      </c>
      <c r="AR119" s="17">
        <v>58405</v>
      </c>
      <c r="AS119" s="17">
        <v>5268</v>
      </c>
      <c r="AT119" s="17">
        <v>0</v>
      </c>
      <c r="AU119" s="17">
        <v>891.33333333333337</v>
      </c>
      <c r="AV119" s="17">
        <v>1100</v>
      </c>
      <c r="AW119" s="17">
        <v>59457</v>
      </c>
      <c r="AX119" s="17">
        <v>5625</v>
      </c>
      <c r="AY119" s="17">
        <v>0</v>
      </c>
      <c r="AZ119" s="17">
        <v>922.58064516129036</v>
      </c>
      <c r="BA119" s="17">
        <v>1094.1935483870968</v>
      </c>
      <c r="BB119" s="17">
        <v>77361</v>
      </c>
      <c r="BC119" s="17">
        <v>8385</v>
      </c>
      <c r="BD119" s="17">
        <v>0</v>
      </c>
      <c r="BE119" s="17">
        <v>920</v>
      </c>
      <c r="BF119" s="17">
        <v>1080</v>
      </c>
      <c r="BG119" s="17">
        <v>110725</v>
      </c>
      <c r="BH119" s="17">
        <v>12895</v>
      </c>
      <c r="BI119" s="17">
        <v>0</v>
      </c>
      <c r="BJ119" s="17">
        <v>890.9677419354839</v>
      </c>
      <c r="BK119" s="17">
        <v>1057.741935483871</v>
      </c>
    </row>
    <row r="120" spans="1:63" x14ac:dyDescent="0.35">
      <c r="A120" s="41">
        <v>116</v>
      </c>
      <c r="B120" s="41" t="s">
        <v>247</v>
      </c>
      <c r="C120" s="43" t="s">
        <v>136</v>
      </c>
      <c r="D120" s="17">
        <v>204714</v>
      </c>
      <c r="E120" s="17">
        <v>25708</v>
      </c>
      <c r="F120" s="17">
        <v>0</v>
      </c>
      <c r="G120" s="17">
        <v>1012.5806451612904</v>
      </c>
      <c r="H120" s="17">
        <v>1150</v>
      </c>
      <c r="I120" s="17">
        <v>167403</v>
      </c>
      <c r="J120" s="17">
        <v>24724</v>
      </c>
      <c r="K120" s="17">
        <v>0</v>
      </c>
      <c r="L120" s="17">
        <v>998.75</v>
      </c>
      <c r="M120" s="17">
        <v>1150.3571428571429</v>
      </c>
      <c r="N120" s="17">
        <v>188735</v>
      </c>
      <c r="O120" s="17">
        <v>24964</v>
      </c>
      <c r="P120" s="17">
        <v>0</v>
      </c>
      <c r="Q120" s="17">
        <v>940.16129032258061</v>
      </c>
      <c r="R120" s="17">
        <v>1130</v>
      </c>
      <c r="S120" s="17">
        <v>195582</v>
      </c>
      <c r="T120" s="17">
        <v>19152</v>
      </c>
      <c r="U120" s="17">
        <v>0</v>
      </c>
      <c r="V120" s="17">
        <v>945.66666666666663</v>
      </c>
      <c r="W120" s="17">
        <v>1111.6666666666667</v>
      </c>
      <c r="X120" s="17">
        <v>185493</v>
      </c>
      <c r="Y120" s="17">
        <v>19128</v>
      </c>
      <c r="Z120" s="17">
        <v>0</v>
      </c>
      <c r="AA120" s="17">
        <v>912.58064516129036</v>
      </c>
      <c r="AB120" s="17">
        <v>1074.1935483870968</v>
      </c>
      <c r="AC120" s="17">
        <v>169141</v>
      </c>
      <c r="AD120" s="17">
        <v>19288</v>
      </c>
      <c r="AE120" s="17">
        <v>0</v>
      </c>
      <c r="AF120" s="17">
        <v>920.66666666666663</v>
      </c>
      <c r="AG120" s="17">
        <v>1073</v>
      </c>
      <c r="AH120" s="17">
        <v>166080</v>
      </c>
      <c r="AI120" s="17">
        <v>20232</v>
      </c>
      <c r="AJ120" s="17">
        <v>0</v>
      </c>
      <c r="AK120" s="17">
        <v>922.90322580645159</v>
      </c>
      <c r="AL120" s="17">
        <v>1083.5483870967741</v>
      </c>
      <c r="AM120" s="17">
        <v>144262</v>
      </c>
      <c r="AN120" s="17">
        <v>20493</v>
      </c>
      <c r="AO120" s="17">
        <v>0</v>
      </c>
      <c r="AP120" s="17">
        <v>910.32258064516134</v>
      </c>
      <c r="AQ120" s="17">
        <v>1107.4193548387098</v>
      </c>
      <c r="AR120" s="17">
        <v>149462</v>
      </c>
      <c r="AS120" s="17">
        <v>19223</v>
      </c>
      <c r="AT120" s="17">
        <v>0</v>
      </c>
      <c r="AU120" s="17">
        <v>893.66666666666663</v>
      </c>
      <c r="AV120" s="17">
        <v>1100</v>
      </c>
      <c r="AW120" s="17">
        <v>160835</v>
      </c>
      <c r="AX120" s="17">
        <v>18335</v>
      </c>
      <c r="AY120" s="17">
        <v>0</v>
      </c>
      <c r="AZ120" s="17">
        <v>915.16129032258061</v>
      </c>
      <c r="BA120" s="17">
        <v>1088.0645161290322</v>
      </c>
      <c r="BB120" s="17">
        <v>170657</v>
      </c>
      <c r="BC120" s="17">
        <v>19890</v>
      </c>
      <c r="BD120" s="17">
        <v>0</v>
      </c>
      <c r="BE120" s="17">
        <v>919.5</v>
      </c>
      <c r="BF120" s="17">
        <v>1062.6666666666667</v>
      </c>
      <c r="BG120" s="17">
        <v>188369</v>
      </c>
      <c r="BH120" s="17">
        <v>22576</v>
      </c>
      <c r="BI120" s="17">
        <v>0</v>
      </c>
      <c r="BJ120" s="17">
        <v>900.48387096774195</v>
      </c>
      <c r="BK120" s="17">
        <v>1044.516129032258</v>
      </c>
    </row>
    <row r="121" spans="1:63" x14ac:dyDescent="0.35">
      <c r="A121" s="41">
        <v>117</v>
      </c>
      <c r="B121" s="41" t="s">
        <v>247</v>
      </c>
      <c r="C121" s="43" t="s">
        <v>137</v>
      </c>
      <c r="D121" s="17">
        <v>170746</v>
      </c>
      <c r="E121" s="17">
        <v>11529</v>
      </c>
      <c r="F121" s="17">
        <v>0</v>
      </c>
      <c r="G121" s="17">
        <v>1012.5806451612904</v>
      </c>
      <c r="H121" s="17">
        <v>1150</v>
      </c>
      <c r="I121" s="17">
        <v>166841</v>
      </c>
      <c r="J121" s="17">
        <v>10270</v>
      </c>
      <c r="K121" s="17">
        <v>0</v>
      </c>
      <c r="L121" s="17">
        <v>998.75</v>
      </c>
      <c r="M121" s="17">
        <v>1144.2857142857142</v>
      </c>
      <c r="N121" s="17">
        <v>190792</v>
      </c>
      <c r="O121" s="17">
        <v>14200</v>
      </c>
      <c r="P121" s="17">
        <v>0</v>
      </c>
      <c r="Q121" s="17">
        <v>940.16129032258061</v>
      </c>
      <c r="R121" s="17">
        <v>1130</v>
      </c>
      <c r="S121" s="17">
        <v>197946</v>
      </c>
      <c r="T121" s="17">
        <v>10011</v>
      </c>
      <c r="U121" s="17">
        <v>0</v>
      </c>
      <c r="V121" s="17">
        <v>945.33333333333337</v>
      </c>
      <c r="W121" s="17">
        <v>1111.6666666666667</v>
      </c>
      <c r="X121" s="17">
        <v>192562</v>
      </c>
      <c r="Y121" s="17">
        <v>9550</v>
      </c>
      <c r="Z121" s="17">
        <v>0</v>
      </c>
      <c r="AA121" s="17">
        <v>912.58064516129036</v>
      </c>
      <c r="AB121" s="17">
        <v>1072.9032258064517</v>
      </c>
      <c r="AC121" s="17">
        <v>174336</v>
      </c>
      <c r="AD121" s="17">
        <v>7061</v>
      </c>
      <c r="AE121" s="17">
        <v>0</v>
      </c>
      <c r="AF121" s="17">
        <v>920.5</v>
      </c>
      <c r="AG121" s="17">
        <v>1073</v>
      </c>
      <c r="AH121" s="17">
        <v>169785</v>
      </c>
      <c r="AI121" s="17">
        <v>8893</v>
      </c>
      <c r="AJ121" s="17">
        <v>0</v>
      </c>
      <c r="AK121" s="17">
        <v>922.90322580645159</v>
      </c>
      <c r="AL121" s="17">
        <v>1083.5483870967741</v>
      </c>
      <c r="AM121" s="17">
        <v>144178</v>
      </c>
      <c r="AN121" s="17">
        <v>6976</v>
      </c>
      <c r="AO121" s="17">
        <v>0</v>
      </c>
      <c r="AP121" s="17">
        <v>910.32258064516134</v>
      </c>
      <c r="AQ121" s="17">
        <v>1107.4193548387098</v>
      </c>
      <c r="AR121" s="17">
        <v>170333</v>
      </c>
      <c r="AS121" s="17">
        <v>9568</v>
      </c>
      <c r="AT121" s="17">
        <v>0</v>
      </c>
      <c r="AU121" s="17">
        <v>893.66666666666663</v>
      </c>
      <c r="AV121" s="17">
        <v>1100</v>
      </c>
      <c r="AW121" s="17">
        <v>161968</v>
      </c>
      <c r="AX121" s="17">
        <v>7734</v>
      </c>
      <c r="AY121" s="17">
        <v>0</v>
      </c>
      <c r="AZ121" s="17">
        <v>915.16129032258061</v>
      </c>
      <c r="BA121" s="17">
        <v>1088.0645161290322</v>
      </c>
      <c r="BB121" s="17">
        <v>167573</v>
      </c>
      <c r="BC121" s="17">
        <v>12302</v>
      </c>
      <c r="BD121" s="17">
        <v>0</v>
      </c>
      <c r="BE121" s="17">
        <v>919.5</v>
      </c>
      <c r="BF121" s="17">
        <v>1062.6666666666667</v>
      </c>
      <c r="BG121" s="17">
        <v>167811</v>
      </c>
      <c r="BH121" s="17">
        <v>14671</v>
      </c>
      <c r="BI121" s="17">
        <v>0</v>
      </c>
      <c r="BJ121" s="17">
        <v>900.48387096774195</v>
      </c>
      <c r="BK121" s="17">
        <v>1044.516129032258</v>
      </c>
    </row>
    <row r="122" spans="1:63" x14ac:dyDescent="0.35">
      <c r="A122" s="41">
        <v>118</v>
      </c>
      <c r="B122" s="41" t="s">
        <v>247</v>
      </c>
      <c r="C122" s="43" t="s">
        <v>138</v>
      </c>
      <c r="D122" s="17">
        <v>210486</v>
      </c>
      <c r="E122" s="17">
        <v>32782</v>
      </c>
      <c r="F122" s="17">
        <v>0</v>
      </c>
      <c r="G122" s="17">
        <v>1012.5806451612904</v>
      </c>
      <c r="H122" s="17">
        <v>1150</v>
      </c>
      <c r="I122" s="17">
        <v>169009</v>
      </c>
      <c r="J122" s="17">
        <v>25571</v>
      </c>
      <c r="K122" s="17">
        <v>0</v>
      </c>
      <c r="L122" s="17">
        <v>998.75</v>
      </c>
      <c r="M122" s="17">
        <v>1144.2857142857142</v>
      </c>
      <c r="N122" s="17">
        <v>186931</v>
      </c>
      <c r="O122" s="17">
        <v>26086</v>
      </c>
      <c r="P122" s="17">
        <v>0</v>
      </c>
      <c r="Q122" s="17">
        <v>940.16129032258061</v>
      </c>
      <c r="R122" s="17">
        <v>1130</v>
      </c>
      <c r="S122" s="17">
        <v>204261</v>
      </c>
      <c r="T122" s="17">
        <v>21234</v>
      </c>
      <c r="U122" s="17">
        <v>0</v>
      </c>
      <c r="V122" s="17">
        <v>945.33333333333337</v>
      </c>
      <c r="W122" s="17">
        <v>1111.6666666666667</v>
      </c>
      <c r="X122" s="17">
        <v>196921</v>
      </c>
      <c r="Y122" s="17">
        <v>27237</v>
      </c>
      <c r="Z122" s="17">
        <v>0</v>
      </c>
      <c r="AA122" s="17">
        <v>912.58064516129036</v>
      </c>
      <c r="AB122" s="17">
        <v>1072.9032258064517</v>
      </c>
      <c r="AC122" s="17">
        <v>184558</v>
      </c>
      <c r="AD122" s="17">
        <v>26566</v>
      </c>
      <c r="AE122" s="17">
        <v>18</v>
      </c>
      <c r="AF122" s="17">
        <v>920.66666666666663</v>
      </c>
      <c r="AG122" s="17">
        <v>1073</v>
      </c>
      <c r="AH122" s="17">
        <v>166726</v>
      </c>
      <c r="AI122" s="17">
        <v>23912</v>
      </c>
      <c r="AJ122" s="17">
        <v>0</v>
      </c>
      <c r="AK122" s="17">
        <v>922.90322580645159</v>
      </c>
      <c r="AL122" s="17">
        <v>1083.2258064516129</v>
      </c>
      <c r="AM122" s="17">
        <v>147510</v>
      </c>
      <c r="AN122" s="17">
        <v>26942</v>
      </c>
      <c r="AO122" s="17">
        <v>0</v>
      </c>
      <c r="AP122" s="17">
        <v>910.32258064516134</v>
      </c>
      <c r="AQ122" s="17">
        <v>1107.4193548387098</v>
      </c>
      <c r="AR122" s="17">
        <v>159815</v>
      </c>
      <c r="AS122" s="17">
        <v>23868</v>
      </c>
      <c r="AT122" s="17">
        <v>0</v>
      </c>
      <c r="AU122" s="17">
        <v>893.66666666666663</v>
      </c>
      <c r="AV122" s="17">
        <v>1100</v>
      </c>
      <c r="AW122" s="17">
        <v>164713</v>
      </c>
      <c r="AX122" s="17">
        <v>24269</v>
      </c>
      <c r="AY122" s="17">
        <v>0</v>
      </c>
      <c r="AZ122" s="17">
        <v>915.16129032258061</v>
      </c>
      <c r="BA122" s="17">
        <v>1088.0645161290322</v>
      </c>
      <c r="BB122" s="17">
        <v>183928</v>
      </c>
      <c r="BC122" s="17">
        <v>32125</v>
      </c>
      <c r="BD122" s="17">
        <v>0</v>
      </c>
      <c r="BE122" s="17">
        <v>919.5</v>
      </c>
      <c r="BF122" s="17">
        <v>1062.6666666666667</v>
      </c>
      <c r="BG122" s="17">
        <v>196706</v>
      </c>
      <c r="BH122" s="17">
        <v>30125</v>
      </c>
      <c r="BI122" s="17">
        <v>0</v>
      </c>
      <c r="BJ122" s="17">
        <v>900.48387096774195</v>
      </c>
      <c r="BK122" s="17">
        <v>1044.516129032258</v>
      </c>
    </row>
    <row r="123" spans="1:63" x14ac:dyDescent="0.35">
      <c r="A123" s="41">
        <v>119</v>
      </c>
      <c r="B123" s="41" t="s">
        <v>242</v>
      </c>
      <c r="C123" s="43" t="s">
        <v>139</v>
      </c>
      <c r="D123" s="17">
        <v>232011</v>
      </c>
      <c r="E123" s="17">
        <v>51078</v>
      </c>
      <c r="F123" s="17">
        <v>0</v>
      </c>
      <c r="G123" s="17">
        <v>1011.2903225806451</v>
      </c>
      <c r="H123" s="17">
        <v>1158.0645161290322</v>
      </c>
      <c r="I123" s="17">
        <v>174913</v>
      </c>
      <c r="J123" s="17">
        <v>68665</v>
      </c>
      <c r="K123" s="17">
        <v>0</v>
      </c>
      <c r="L123" s="17">
        <v>998.92857142857144</v>
      </c>
      <c r="M123" s="17">
        <v>1150</v>
      </c>
      <c r="N123" s="17">
        <v>206438</v>
      </c>
      <c r="O123" s="17">
        <v>60216</v>
      </c>
      <c r="P123" s="17">
        <v>0</v>
      </c>
      <c r="Q123" s="17">
        <v>940.32258064516134</v>
      </c>
      <c r="R123" s="17">
        <v>1150</v>
      </c>
      <c r="S123" s="17">
        <v>182262</v>
      </c>
      <c r="T123" s="17">
        <v>55084</v>
      </c>
      <c r="U123" s="17">
        <v>0</v>
      </c>
      <c r="V123" s="17">
        <v>944</v>
      </c>
      <c r="W123" s="17">
        <v>1126.3333333333333</v>
      </c>
      <c r="X123" s="17">
        <v>170868</v>
      </c>
      <c r="Y123" s="17">
        <v>56543</v>
      </c>
      <c r="Z123" s="17">
        <v>0</v>
      </c>
      <c r="AA123" s="17">
        <v>913.22580645161293</v>
      </c>
      <c r="AB123" s="17">
        <v>1075.8064516129032</v>
      </c>
      <c r="AC123" s="17">
        <v>165582</v>
      </c>
      <c r="AD123" s="17">
        <v>58931</v>
      </c>
      <c r="AE123" s="17">
        <v>0</v>
      </c>
      <c r="AF123" s="17">
        <v>923.5</v>
      </c>
      <c r="AG123" s="17">
        <v>1076</v>
      </c>
      <c r="AH123" s="17">
        <v>132904</v>
      </c>
      <c r="AI123" s="17">
        <v>50168</v>
      </c>
      <c r="AJ123" s="17">
        <v>0</v>
      </c>
      <c r="AK123" s="17">
        <v>920</v>
      </c>
      <c r="AL123" s="17">
        <v>1090</v>
      </c>
      <c r="AM123" s="17">
        <v>140793</v>
      </c>
      <c r="AN123" s="17">
        <v>54117</v>
      </c>
      <c r="AO123" s="17">
        <v>0</v>
      </c>
      <c r="AP123" s="17">
        <v>910</v>
      </c>
      <c r="AQ123" s="17">
        <v>1109.3548387096773</v>
      </c>
      <c r="AR123" s="17">
        <v>140756</v>
      </c>
      <c r="AS123" s="17">
        <v>46684</v>
      </c>
      <c r="AT123" s="17">
        <v>0</v>
      </c>
      <c r="AU123" s="17">
        <v>891</v>
      </c>
      <c r="AV123" s="17">
        <v>1100</v>
      </c>
      <c r="AW123" s="17">
        <v>157875</v>
      </c>
      <c r="AX123" s="17">
        <v>47249</v>
      </c>
      <c r="AY123" s="17">
        <v>0</v>
      </c>
      <c r="AZ123" s="17">
        <v>912.09677419354841</v>
      </c>
      <c r="BA123" s="17">
        <v>1086.7741935483871</v>
      </c>
      <c r="BB123" s="17">
        <v>160850</v>
      </c>
      <c r="BC123" s="17">
        <v>52584</v>
      </c>
      <c r="BD123" s="17">
        <v>0</v>
      </c>
      <c r="BE123" s="17">
        <v>919.16666666666663</v>
      </c>
      <c r="BF123" s="17">
        <v>1063.3333333333333</v>
      </c>
      <c r="BG123" s="17">
        <v>196776</v>
      </c>
      <c r="BH123" s="17">
        <v>49467</v>
      </c>
      <c r="BI123" s="17">
        <v>0</v>
      </c>
      <c r="BJ123" s="17">
        <v>895.32258064516134</v>
      </c>
      <c r="BK123" s="17">
        <v>1044.8387096774193</v>
      </c>
    </row>
    <row r="124" spans="1:63" x14ac:dyDescent="0.35">
      <c r="A124" s="41">
        <v>120</v>
      </c>
      <c r="B124" s="41" t="s">
        <v>242</v>
      </c>
      <c r="C124" s="43" t="s">
        <v>140</v>
      </c>
      <c r="D124" s="17">
        <v>162425</v>
      </c>
      <c r="E124" s="17">
        <v>39341</v>
      </c>
      <c r="F124" s="17">
        <v>1</v>
      </c>
      <c r="G124" s="17">
        <v>1011.2903225806451</v>
      </c>
      <c r="H124" s="17">
        <v>1158.0645161290322</v>
      </c>
      <c r="I124" s="17">
        <v>135535</v>
      </c>
      <c r="J124" s="17">
        <v>38312</v>
      </c>
      <c r="K124" s="17">
        <v>22</v>
      </c>
      <c r="L124" s="17">
        <v>998.92857142857144</v>
      </c>
      <c r="M124" s="17">
        <v>1150</v>
      </c>
      <c r="N124" s="17">
        <v>141294</v>
      </c>
      <c r="O124" s="17">
        <v>35032</v>
      </c>
      <c r="P124" s="17">
        <v>0</v>
      </c>
      <c r="Q124" s="17">
        <v>940.32258064516134</v>
      </c>
      <c r="R124" s="17">
        <v>1150</v>
      </c>
      <c r="S124" s="17">
        <v>140620</v>
      </c>
      <c r="T124" s="17">
        <v>30834</v>
      </c>
      <c r="U124" s="17">
        <v>0</v>
      </c>
      <c r="V124" s="17">
        <v>944</v>
      </c>
      <c r="W124" s="17">
        <v>1126.3333333333333</v>
      </c>
      <c r="X124" s="17">
        <v>150964</v>
      </c>
      <c r="Y124" s="17">
        <v>34227</v>
      </c>
      <c r="Z124" s="17">
        <v>0</v>
      </c>
      <c r="AA124" s="17">
        <v>913.22580645161293</v>
      </c>
      <c r="AB124" s="17">
        <v>1075.8064516129032</v>
      </c>
      <c r="AC124" s="17">
        <v>127725</v>
      </c>
      <c r="AD124" s="17">
        <v>22656</v>
      </c>
      <c r="AE124" s="17">
        <v>0</v>
      </c>
      <c r="AF124" s="17">
        <v>923.5</v>
      </c>
      <c r="AG124" s="17">
        <v>1075</v>
      </c>
      <c r="AH124" s="17">
        <v>130276</v>
      </c>
      <c r="AI124" s="17">
        <v>22272</v>
      </c>
      <c r="AJ124" s="17">
        <v>0</v>
      </c>
      <c r="AK124" s="17">
        <v>920</v>
      </c>
      <c r="AL124" s="17">
        <v>1090</v>
      </c>
      <c r="AM124" s="17">
        <v>121282</v>
      </c>
      <c r="AN124" s="17">
        <v>29102</v>
      </c>
      <c r="AO124" s="17">
        <v>0</v>
      </c>
      <c r="AP124" s="17">
        <v>910</v>
      </c>
      <c r="AQ124" s="17">
        <v>1109.3548387096773</v>
      </c>
      <c r="AR124" s="17">
        <v>123330</v>
      </c>
      <c r="AS124" s="17">
        <v>29392</v>
      </c>
      <c r="AT124" s="17">
        <v>0</v>
      </c>
      <c r="AU124" s="17">
        <v>891.33333333333337</v>
      </c>
      <c r="AV124" s="17">
        <v>1100</v>
      </c>
      <c r="AW124" s="17">
        <v>148901</v>
      </c>
      <c r="AX124" s="17">
        <v>29297</v>
      </c>
      <c r="AY124" s="17">
        <v>0</v>
      </c>
      <c r="AZ124" s="17">
        <v>911.93548387096769</v>
      </c>
      <c r="BA124" s="17">
        <v>1087.741935483871</v>
      </c>
      <c r="BB124" s="17">
        <v>147710</v>
      </c>
      <c r="BC124" s="17">
        <v>32774</v>
      </c>
      <c r="BD124" s="17">
        <v>0</v>
      </c>
      <c r="BE124" s="17">
        <v>919.16666666666663</v>
      </c>
      <c r="BF124" s="17">
        <v>1063.3333333333333</v>
      </c>
      <c r="BG124" s="17">
        <v>142993</v>
      </c>
      <c r="BH124" s="17">
        <v>31827</v>
      </c>
      <c r="BI124" s="17">
        <v>0</v>
      </c>
      <c r="BJ124" s="17">
        <v>895.32258064516134</v>
      </c>
      <c r="BK124" s="17">
        <v>1044.8387096774193</v>
      </c>
    </row>
    <row r="125" spans="1:63" x14ac:dyDescent="0.35">
      <c r="A125" s="41">
        <v>121</v>
      </c>
      <c r="B125" s="41" t="s">
        <v>248</v>
      </c>
      <c r="C125" s="43" t="s">
        <v>141</v>
      </c>
      <c r="D125" s="17">
        <v>162866</v>
      </c>
      <c r="E125" s="17">
        <v>24229</v>
      </c>
      <c r="F125" s="17">
        <v>0</v>
      </c>
      <c r="G125" s="17">
        <v>1006.4516129032259</v>
      </c>
      <c r="H125" s="17">
        <v>1150</v>
      </c>
      <c r="I125" s="17">
        <v>153478</v>
      </c>
      <c r="J125" s="17">
        <v>19299</v>
      </c>
      <c r="K125" s="17">
        <v>0</v>
      </c>
      <c r="L125" s="17">
        <v>1000.1785714285714</v>
      </c>
      <c r="M125" s="17">
        <v>1150</v>
      </c>
      <c r="N125" s="17">
        <v>173421</v>
      </c>
      <c r="O125" s="17">
        <v>17113</v>
      </c>
      <c r="P125" s="17">
        <v>0</v>
      </c>
      <c r="Q125" s="17">
        <v>946.93548387096769</v>
      </c>
      <c r="R125" s="17">
        <v>1142.9032258064517</v>
      </c>
      <c r="S125" s="17">
        <v>166666</v>
      </c>
      <c r="T125" s="17">
        <v>18524</v>
      </c>
      <c r="U125" s="17">
        <v>0</v>
      </c>
      <c r="V125" s="17">
        <v>944.33333333333337</v>
      </c>
      <c r="W125" s="17">
        <v>1135</v>
      </c>
      <c r="X125" s="17">
        <v>170138</v>
      </c>
      <c r="Y125" s="17">
        <v>24863</v>
      </c>
      <c r="Z125" s="17">
        <v>0</v>
      </c>
      <c r="AA125" s="17">
        <v>913.22580645161293</v>
      </c>
      <c r="AB125" s="17">
        <v>1087.4193548387098</v>
      </c>
      <c r="AC125" s="17">
        <v>194079</v>
      </c>
      <c r="AD125" s="17">
        <v>19153</v>
      </c>
      <c r="AE125" s="17">
        <v>0</v>
      </c>
      <c r="AF125" s="17">
        <v>925.83333333333337</v>
      </c>
      <c r="AG125" s="17">
        <v>1076.3333333333333</v>
      </c>
      <c r="AH125" s="17">
        <v>202144</v>
      </c>
      <c r="AI125" s="17">
        <v>18058</v>
      </c>
      <c r="AJ125" s="17">
        <v>0</v>
      </c>
      <c r="AK125" s="17">
        <v>920.64516129032256</v>
      </c>
      <c r="AL125" s="17">
        <v>1090</v>
      </c>
      <c r="AM125" s="17">
        <v>178582</v>
      </c>
      <c r="AN125" s="17">
        <v>24420</v>
      </c>
      <c r="AO125" s="17">
        <v>0</v>
      </c>
      <c r="AP125" s="17">
        <v>911.61290322580646</v>
      </c>
      <c r="AQ125" s="17">
        <v>1109.3548387096773</v>
      </c>
      <c r="AR125" s="17">
        <v>165996</v>
      </c>
      <c r="AS125" s="17">
        <v>22743</v>
      </c>
      <c r="AT125" s="17">
        <v>0</v>
      </c>
      <c r="AU125" s="17">
        <v>892</v>
      </c>
      <c r="AV125" s="17">
        <v>1100</v>
      </c>
      <c r="AW125" s="17">
        <v>209047</v>
      </c>
      <c r="AX125" s="17">
        <v>15919</v>
      </c>
      <c r="AY125" s="17">
        <v>0</v>
      </c>
      <c r="AZ125" s="17">
        <v>912.74193548387098</v>
      </c>
      <c r="BA125" s="17">
        <v>1087.741935483871</v>
      </c>
      <c r="BB125" s="17">
        <v>200244</v>
      </c>
      <c r="BC125" s="17">
        <v>27273</v>
      </c>
      <c r="BD125" s="17">
        <v>0</v>
      </c>
      <c r="BE125" s="17">
        <v>919.33333333333337</v>
      </c>
      <c r="BF125" s="17">
        <v>1063.3333333333333</v>
      </c>
      <c r="BG125" s="17">
        <v>207193</v>
      </c>
      <c r="BH125" s="17">
        <v>28864</v>
      </c>
      <c r="BI125" s="17">
        <v>0</v>
      </c>
      <c r="BJ125" s="17">
        <v>895.9677419354839</v>
      </c>
      <c r="BK125" s="17">
        <v>1044.8387096774193</v>
      </c>
    </row>
    <row r="126" spans="1:63" x14ac:dyDescent="0.35">
      <c r="A126" s="41">
        <v>122</v>
      </c>
      <c r="B126" s="41" t="s">
        <v>246</v>
      </c>
      <c r="C126" s="43" t="s">
        <v>142</v>
      </c>
      <c r="D126" s="17">
        <v>177019</v>
      </c>
      <c r="E126" s="17">
        <v>13577</v>
      </c>
      <c r="F126" s="17">
        <v>0</v>
      </c>
      <c r="G126" s="17">
        <v>1003.0645161290323</v>
      </c>
      <c r="H126" s="17">
        <v>1150</v>
      </c>
      <c r="I126" s="17">
        <v>182191</v>
      </c>
      <c r="J126" s="17">
        <v>12491</v>
      </c>
      <c r="K126" s="17">
        <v>0</v>
      </c>
      <c r="L126" s="17">
        <v>999.28571428571433</v>
      </c>
      <c r="M126" s="17">
        <v>1150</v>
      </c>
      <c r="N126" s="17">
        <v>222218</v>
      </c>
      <c r="O126" s="17">
        <v>13557</v>
      </c>
      <c r="P126" s="17">
        <v>0</v>
      </c>
      <c r="Q126" s="17">
        <v>940.9677419354839</v>
      </c>
      <c r="R126" s="17">
        <v>1141.6129032258063</v>
      </c>
      <c r="S126" s="17">
        <v>185019</v>
      </c>
      <c r="T126" s="17">
        <v>18367</v>
      </c>
      <c r="U126" s="17">
        <v>0</v>
      </c>
      <c r="V126" s="17">
        <v>944.33333333333337</v>
      </c>
      <c r="W126" s="17">
        <v>1113.6666666666667</v>
      </c>
      <c r="X126" s="17">
        <v>193022</v>
      </c>
      <c r="Y126" s="17">
        <v>19222</v>
      </c>
      <c r="Z126" s="17">
        <v>0</v>
      </c>
      <c r="AA126" s="17">
        <v>909.0322580645161</v>
      </c>
      <c r="AB126" s="17">
        <v>1075.8064516129032</v>
      </c>
      <c r="AC126" s="17">
        <v>171401</v>
      </c>
      <c r="AD126" s="17">
        <v>12132</v>
      </c>
      <c r="AE126" s="17">
        <v>0</v>
      </c>
      <c r="AF126" s="17">
        <v>923</v>
      </c>
      <c r="AG126" s="17">
        <v>1076</v>
      </c>
      <c r="AH126" s="17">
        <v>162732</v>
      </c>
      <c r="AI126" s="17">
        <v>15022</v>
      </c>
      <c r="AJ126" s="17">
        <v>0</v>
      </c>
      <c r="AK126" s="17">
        <v>920</v>
      </c>
      <c r="AL126" s="17">
        <v>1090</v>
      </c>
      <c r="AM126" s="17">
        <v>172441</v>
      </c>
      <c r="AN126" s="17">
        <v>11848</v>
      </c>
      <c r="AO126" s="17">
        <v>0</v>
      </c>
      <c r="AP126" s="17">
        <v>911.29032258064512</v>
      </c>
      <c r="AQ126" s="17">
        <v>1109.3548387096773</v>
      </c>
      <c r="AR126" s="17">
        <v>186979</v>
      </c>
      <c r="AS126" s="17">
        <v>14874</v>
      </c>
      <c r="AT126" s="17">
        <v>0</v>
      </c>
      <c r="AU126" s="17">
        <v>892</v>
      </c>
      <c r="AV126" s="17">
        <v>1100</v>
      </c>
      <c r="AW126" s="17">
        <v>195750</v>
      </c>
      <c r="AX126" s="17">
        <v>16282</v>
      </c>
      <c r="AY126" s="17">
        <v>0</v>
      </c>
      <c r="AZ126" s="17">
        <v>912.09677419354841</v>
      </c>
      <c r="BA126" s="17">
        <v>1088.0645161290322</v>
      </c>
      <c r="BB126" s="17">
        <v>187029</v>
      </c>
      <c r="BC126" s="17">
        <v>15311</v>
      </c>
      <c r="BD126" s="17">
        <v>0</v>
      </c>
      <c r="BE126" s="17">
        <v>919.33333333333337</v>
      </c>
      <c r="BF126" s="17">
        <v>1063.3333333333333</v>
      </c>
      <c r="BG126" s="17">
        <v>205970</v>
      </c>
      <c r="BH126" s="17">
        <v>17259</v>
      </c>
      <c r="BI126" s="17">
        <v>0</v>
      </c>
      <c r="BJ126" s="17">
        <v>900.48387096774195</v>
      </c>
      <c r="BK126" s="17">
        <v>1050</v>
      </c>
    </row>
    <row r="127" spans="1:63" x14ac:dyDescent="0.35">
      <c r="A127" s="41">
        <v>123</v>
      </c>
      <c r="B127" s="41" t="s">
        <v>246</v>
      </c>
      <c r="C127" s="43" t="s">
        <v>143</v>
      </c>
      <c r="D127" s="17">
        <v>121959</v>
      </c>
      <c r="E127" s="17">
        <v>15345</v>
      </c>
      <c r="F127" s="17">
        <v>0</v>
      </c>
      <c r="G127" s="17">
        <v>1003.0645161290323</v>
      </c>
      <c r="H127" s="17">
        <v>1150</v>
      </c>
      <c r="I127" s="17">
        <v>119738</v>
      </c>
      <c r="J127" s="17">
        <v>12495</v>
      </c>
      <c r="K127" s="17">
        <v>0</v>
      </c>
      <c r="L127" s="17">
        <v>999.28571428571433</v>
      </c>
      <c r="M127" s="17">
        <v>1150</v>
      </c>
      <c r="N127" s="17">
        <v>138194</v>
      </c>
      <c r="O127" s="17">
        <v>12216</v>
      </c>
      <c r="P127" s="17">
        <v>0</v>
      </c>
      <c r="Q127" s="17">
        <v>940.9677419354839</v>
      </c>
      <c r="R127" s="17">
        <v>1141.6129032258063</v>
      </c>
      <c r="S127" s="17">
        <v>123992</v>
      </c>
      <c r="T127" s="17">
        <v>14533</v>
      </c>
      <c r="U127" s="17">
        <v>0</v>
      </c>
      <c r="V127" s="17">
        <v>944.33333333333337</v>
      </c>
      <c r="W127" s="17">
        <v>1113.6666666666667</v>
      </c>
      <c r="X127" s="17">
        <v>137591</v>
      </c>
      <c r="Y127" s="17">
        <v>14486</v>
      </c>
      <c r="Z127" s="17">
        <v>0</v>
      </c>
      <c r="AA127" s="17">
        <v>909.0322580645161</v>
      </c>
      <c r="AB127" s="17">
        <v>1075.8064516129032</v>
      </c>
      <c r="AC127" s="17">
        <v>114896</v>
      </c>
      <c r="AD127" s="17">
        <v>12333</v>
      </c>
      <c r="AE127" s="17">
        <v>0</v>
      </c>
      <c r="AF127" s="17">
        <v>923</v>
      </c>
      <c r="AG127" s="17">
        <v>1076</v>
      </c>
      <c r="AH127" s="17">
        <v>118859</v>
      </c>
      <c r="AI127" s="17">
        <v>12138</v>
      </c>
      <c r="AJ127" s="17">
        <v>0</v>
      </c>
      <c r="AK127" s="17">
        <v>920</v>
      </c>
      <c r="AL127" s="17">
        <v>1090</v>
      </c>
      <c r="AM127" s="17">
        <v>121477</v>
      </c>
      <c r="AN127" s="17">
        <v>10796</v>
      </c>
      <c r="AO127" s="17">
        <v>0</v>
      </c>
      <c r="AP127" s="17">
        <v>911.29032258064512</v>
      </c>
      <c r="AQ127" s="17">
        <v>1109.3548387096773</v>
      </c>
      <c r="AR127" s="17">
        <v>130237</v>
      </c>
      <c r="AS127" s="17">
        <v>11199</v>
      </c>
      <c r="AT127" s="17">
        <v>0</v>
      </c>
      <c r="AU127" s="17">
        <v>892</v>
      </c>
      <c r="AV127" s="17">
        <v>1100</v>
      </c>
      <c r="AW127" s="17">
        <v>131563</v>
      </c>
      <c r="AX127" s="17">
        <v>14829</v>
      </c>
      <c r="AY127" s="17">
        <v>0</v>
      </c>
      <c r="AZ127" s="17">
        <v>912.41935483870964</v>
      </c>
      <c r="BA127" s="17">
        <v>1088.0645161290322</v>
      </c>
      <c r="BB127" s="17">
        <v>120076</v>
      </c>
      <c r="BC127" s="17">
        <v>14767</v>
      </c>
      <c r="BD127" s="17">
        <v>0</v>
      </c>
      <c r="BE127" s="17">
        <v>919.33333333333337</v>
      </c>
      <c r="BF127" s="17">
        <v>1063.3333333333333</v>
      </c>
      <c r="BG127" s="17">
        <v>121423</v>
      </c>
      <c r="BH127" s="17">
        <v>14642</v>
      </c>
      <c r="BI127" s="17">
        <v>0</v>
      </c>
      <c r="BJ127" s="17">
        <v>900.48387096774195</v>
      </c>
      <c r="BK127" s="17">
        <v>1050</v>
      </c>
    </row>
    <row r="128" spans="1:63" x14ac:dyDescent="0.35">
      <c r="A128" s="41">
        <v>124</v>
      </c>
      <c r="B128" s="41" t="s">
        <v>246</v>
      </c>
      <c r="C128" s="43" t="s">
        <v>144</v>
      </c>
      <c r="D128" s="17">
        <v>128483</v>
      </c>
      <c r="E128" s="17">
        <v>8852</v>
      </c>
      <c r="F128" s="17">
        <v>33</v>
      </c>
      <c r="G128" s="17">
        <v>1002.9032258064516</v>
      </c>
      <c r="H128" s="17">
        <v>1150</v>
      </c>
      <c r="I128" s="17">
        <v>96249</v>
      </c>
      <c r="J128" s="17">
        <v>8941</v>
      </c>
      <c r="K128" s="17">
        <v>0</v>
      </c>
      <c r="L128" s="17">
        <v>999.28571428571433</v>
      </c>
      <c r="M128" s="17">
        <v>1150</v>
      </c>
      <c r="N128" s="17">
        <v>127721</v>
      </c>
      <c r="O128" s="17">
        <v>11619</v>
      </c>
      <c r="P128" s="17">
        <v>0</v>
      </c>
      <c r="Q128" s="17">
        <v>940.9677419354839</v>
      </c>
      <c r="R128" s="17">
        <v>1141.6129032258063</v>
      </c>
      <c r="S128" s="17">
        <v>112438</v>
      </c>
      <c r="T128" s="17">
        <v>12834</v>
      </c>
      <c r="U128" s="17">
        <v>0</v>
      </c>
      <c r="V128" s="17">
        <v>944.33333333333337</v>
      </c>
      <c r="W128" s="17">
        <v>1113.6666666666667</v>
      </c>
      <c r="X128" s="17">
        <v>129262</v>
      </c>
      <c r="Y128" s="17">
        <v>12678</v>
      </c>
      <c r="Z128" s="17">
        <v>0</v>
      </c>
      <c r="AA128" s="17">
        <v>909.0322580645161</v>
      </c>
      <c r="AB128" s="17">
        <v>1075.8064516129032</v>
      </c>
      <c r="AC128" s="17">
        <v>116578</v>
      </c>
      <c r="AD128" s="17">
        <v>11476</v>
      </c>
      <c r="AE128" s="17">
        <v>0</v>
      </c>
      <c r="AF128" s="17">
        <v>923</v>
      </c>
      <c r="AG128" s="17">
        <v>1076</v>
      </c>
      <c r="AH128" s="17">
        <v>111524</v>
      </c>
      <c r="AI128" s="17">
        <v>11566</v>
      </c>
      <c r="AJ128" s="17">
        <v>0</v>
      </c>
      <c r="AK128" s="17">
        <v>920</v>
      </c>
      <c r="AL128" s="17">
        <v>1090</v>
      </c>
      <c r="AM128" s="17">
        <v>112078</v>
      </c>
      <c r="AN128" s="17">
        <v>12514</v>
      </c>
      <c r="AO128" s="17">
        <v>0</v>
      </c>
      <c r="AP128" s="17">
        <v>911.29032258064512</v>
      </c>
      <c r="AQ128" s="17">
        <v>1109.3548387096773</v>
      </c>
      <c r="AR128" s="17">
        <v>124666</v>
      </c>
      <c r="AS128" s="17">
        <v>21385</v>
      </c>
      <c r="AT128" s="17">
        <v>0</v>
      </c>
      <c r="AU128" s="17">
        <v>892</v>
      </c>
      <c r="AV128" s="17">
        <v>1100</v>
      </c>
      <c r="AW128" s="17">
        <v>121237</v>
      </c>
      <c r="AX128" s="17">
        <v>24486</v>
      </c>
      <c r="AY128" s="17">
        <v>0</v>
      </c>
      <c r="AZ128" s="17">
        <v>912.09677419354841</v>
      </c>
      <c r="BA128" s="17">
        <v>1088.0645161290322</v>
      </c>
      <c r="BB128" s="17">
        <v>75288</v>
      </c>
      <c r="BC128" s="17">
        <v>24551</v>
      </c>
      <c r="BD128" s="17">
        <v>0</v>
      </c>
      <c r="BE128" s="17">
        <v>919.33333333333337</v>
      </c>
      <c r="BF128" s="17">
        <v>1064.6666666666667</v>
      </c>
      <c r="BG128" s="17">
        <v>103267</v>
      </c>
      <c r="BH128" s="17">
        <v>22513</v>
      </c>
      <c r="BI128" s="17">
        <v>0</v>
      </c>
      <c r="BJ128" s="17">
        <v>901.12903225806451</v>
      </c>
      <c r="BK128" s="17">
        <v>1050</v>
      </c>
    </row>
    <row r="129" spans="1:63" x14ac:dyDescent="0.35">
      <c r="A129" s="41">
        <v>125</v>
      </c>
      <c r="B129" s="41" t="s">
        <v>242</v>
      </c>
      <c r="C129" s="43" t="s">
        <v>145</v>
      </c>
      <c r="D129" s="17">
        <v>121052</v>
      </c>
      <c r="E129" s="17">
        <v>7603</v>
      </c>
      <c r="F129" s="17">
        <v>1173</v>
      </c>
      <c r="G129" s="17">
        <v>1008.7096774193549</v>
      </c>
      <c r="H129" s="17">
        <v>1158.0645161290322</v>
      </c>
      <c r="I129" s="17">
        <v>101881</v>
      </c>
      <c r="J129" s="17">
        <v>7293</v>
      </c>
      <c r="K129" s="17">
        <v>883</v>
      </c>
      <c r="L129" s="17">
        <v>998.92857142857144</v>
      </c>
      <c r="M129" s="17">
        <v>1150</v>
      </c>
      <c r="N129" s="17">
        <v>110915</v>
      </c>
      <c r="O129" s="17">
        <v>9197</v>
      </c>
      <c r="P129" s="17">
        <v>6975</v>
      </c>
      <c r="Q129" s="17">
        <v>940.32258064516134</v>
      </c>
      <c r="R129" s="17">
        <v>1150</v>
      </c>
      <c r="S129" s="17">
        <v>112103</v>
      </c>
      <c r="T129" s="17">
        <v>6389</v>
      </c>
      <c r="U129" s="17">
        <v>730</v>
      </c>
      <c r="V129" s="17">
        <v>944.33333333333337</v>
      </c>
      <c r="W129" s="17">
        <v>1126.3333333333333</v>
      </c>
      <c r="X129" s="17">
        <v>113126</v>
      </c>
      <c r="Y129" s="17">
        <v>7428</v>
      </c>
      <c r="Z129" s="17">
        <v>818</v>
      </c>
      <c r="AA129" s="17">
        <v>913.22580645161293</v>
      </c>
      <c r="AB129" s="17">
        <v>1075.8064516129032</v>
      </c>
      <c r="AC129" s="17">
        <v>97346</v>
      </c>
      <c r="AD129" s="17">
        <v>4628</v>
      </c>
      <c r="AE129" s="17">
        <v>807</v>
      </c>
      <c r="AF129" s="17">
        <v>923.5</v>
      </c>
      <c r="AG129" s="17">
        <v>1076</v>
      </c>
      <c r="AH129" s="17">
        <v>95493</v>
      </c>
      <c r="AI129" s="17">
        <v>4705</v>
      </c>
      <c r="AJ129" s="17">
        <v>962</v>
      </c>
      <c r="AK129" s="17">
        <v>920</v>
      </c>
      <c r="AL129" s="17">
        <v>1090</v>
      </c>
      <c r="AM129" s="17">
        <v>101344</v>
      </c>
      <c r="AN129" s="17">
        <v>3745</v>
      </c>
      <c r="AO129" s="17">
        <v>847</v>
      </c>
      <c r="AP129" s="17">
        <v>910</v>
      </c>
      <c r="AQ129" s="17">
        <v>1109.3548387096773</v>
      </c>
      <c r="AR129" s="17">
        <v>97369</v>
      </c>
      <c r="AS129" s="17">
        <v>3495</v>
      </c>
      <c r="AT129" s="17">
        <v>977</v>
      </c>
      <c r="AU129" s="17">
        <v>891.66666666666663</v>
      </c>
      <c r="AV129" s="17">
        <v>1100</v>
      </c>
      <c r="AW129" s="17">
        <v>107706</v>
      </c>
      <c r="AX129" s="17">
        <v>4774</v>
      </c>
      <c r="AY129" s="17">
        <v>449</v>
      </c>
      <c r="AZ129" s="17">
        <v>912.09677419354841</v>
      </c>
      <c r="BA129" s="17">
        <v>1089.0322580645161</v>
      </c>
      <c r="BB129" s="17">
        <v>104529</v>
      </c>
      <c r="BC129" s="17">
        <v>4577</v>
      </c>
      <c r="BD129" s="17">
        <v>0</v>
      </c>
      <c r="BE129" s="17">
        <v>919.16666666666663</v>
      </c>
      <c r="BF129" s="17">
        <v>1063.3333333333333</v>
      </c>
      <c r="BG129" s="17">
        <v>117987</v>
      </c>
      <c r="BH129" s="17">
        <v>5695</v>
      </c>
      <c r="BI129" s="17">
        <v>0</v>
      </c>
      <c r="BJ129" s="17">
        <v>895.32258064516134</v>
      </c>
      <c r="BK129" s="17">
        <v>1044.8387096774193</v>
      </c>
    </row>
    <row r="130" spans="1:63" x14ac:dyDescent="0.35">
      <c r="A130" s="41">
        <v>126</v>
      </c>
      <c r="B130" s="41" t="s">
        <v>231</v>
      </c>
      <c r="C130" s="43" t="s">
        <v>146</v>
      </c>
      <c r="D130" s="17">
        <v>171076</v>
      </c>
      <c r="E130" s="17">
        <v>10800</v>
      </c>
      <c r="F130" s="17">
        <v>0</v>
      </c>
      <c r="G130" s="17">
        <v>1017.258064516129</v>
      </c>
      <c r="H130" s="17">
        <v>1163.8709677419354</v>
      </c>
      <c r="I130" s="17">
        <v>144838</v>
      </c>
      <c r="J130" s="17">
        <v>43134</v>
      </c>
      <c r="K130" s="17">
        <v>0</v>
      </c>
      <c r="L130" s="17">
        <v>1002.1428571428571</v>
      </c>
      <c r="M130" s="17">
        <v>1160</v>
      </c>
      <c r="N130" s="17">
        <v>163004</v>
      </c>
      <c r="O130" s="17">
        <v>10837</v>
      </c>
      <c r="P130" s="17">
        <v>0</v>
      </c>
      <c r="Q130" s="17">
        <v>930</v>
      </c>
      <c r="R130" s="17">
        <v>1160</v>
      </c>
      <c r="S130" s="17">
        <v>142596</v>
      </c>
      <c r="T130" s="17">
        <v>20871</v>
      </c>
      <c r="U130" s="17">
        <v>0</v>
      </c>
      <c r="V130" s="17">
        <v>951.33333333333337</v>
      </c>
      <c r="W130" s="17">
        <v>1154.6666666666667</v>
      </c>
      <c r="X130" s="17">
        <v>279448</v>
      </c>
      <c r="Y130" s="17">
        <v>22616</v>
      </c>
      <c r="Z130" s="17">
        <v>0</v>
      </c>
      <c r="AA130" s="17">
        <v>909.48387096774195</v>
      </c>
      <c r="AB130" s="17">
        <v>1094.1935483870968</v>
      </c>
      <c r="AC130" s="17">
        <v>171702</v>
      </c>
      <c r="AD130" s="17">
        <v>17928</v>
      </c>
      <c r="AE130" s="17">
        <v>0</v>
      </c>
      <c r="AF130" s="17">
        <v>919.66666666666663</v>
      </c>
      <c r="AG130" s="17">
        <v>1073.3333333333333</v>
      </c>
      <c r="AH130" s="17">
        <v>210980</v>
      </c>
      <c r="AI130" s="17">
        <v>26405</v>
      </c>
      <c r="AJ130" s="17">
        <v>0</v>
      </c>
      <c r="AK130" s="17">
        <v>917.74193548387098</v>
      </c>
      <c r="AL130" s="17">
        <v>1092.5806451612902</v>
      </c>
      <c r="AM130" s="17">
        <v>183686</v>
      </c>
      <c r="AN130" s="17">
        <v>23859</v>
      </c>
      <c r="AO130" s="17">
        <v>0</v>
      </c>
      <c r="AP130" s="17">
        <v>909.19354838709683</v>
      </c>
      <c r="AQ130" s="17">
        <v>1092.5806451612902</v>
      </c>
      <c r="AR130" s="17">
        <v>323345</v>
      </c>
      <c r="AS130" s="17">
        <v>25685</v>
      </c>
      <c r="AT130" s="17">
        <v>0</v>
      </c>
      <c r="AU130" s="17">
        <v>891.66666666666663</v>
      </c>
      <c r="AV130" s="17">
        <v>1090</v>
      </c>
      <c r="AW130" s="17">
        <v>307892</v>
      </c>
      <c r="AX130" s="17">
        <v>21555</v>
      </c>
      <c r="AY130" s="17">
        <v>0</v>
      </c>
      <c r="AZ130" s="17">
        <v>912.58064516129036</v>
      </c>
      <c r="BA130" s="17">
        <v>1087.4193548387098</v>
      </c>
      <c r="BB130" s="17">
        <v>331935</v>
      </c>
      <c r="BC130" s="17">
        <v>19852</v>
      </c>
      <c r="BD130" s="17">
        <v>0</v>
      </c>
      <c r="BE130" s="17">
        <v>920</v>
      </c>
      <c r="BF130" s="17">
        <v>1073.3333333333333</v>
      </c>
      <c r="BG130" s="17">
        <v>353360</v>
      </c>
      <c r="BH130" s="17">
        <v>9739</v>
      </c>
      <c r="BI130" s="17">
        <v>0</v>
      </c>
      <c r="BJ130" s="17">
        <v>892.25806451612902</v>
      </c>
      <c r="BK130" s="17">
        <v>1060</v>
      </c>
    </row>
    <row r="131" spans="1:63" x14ac:dyDescent="0.35">
      <c r="A131" s="41">
        <v>127</v>
      </c>
      <c r="B131" s="41" t="s">
        <v>238</v>
      </c>
      <c r="C131" s="43" t="s">
        <v>147</v>
      </c>
      <c r="D131" s="17">
        <v>1276345</v>
      </c>
      <c r="E131" s="17">
        <v>588853</v>
      </c>
      <c r="F131" s="17">
        <v>0</v>
      </c>
      <c r="G131" s="17">
        <v>1014.516129032258</v>
      </c>
      <c r="H131" s="17">
        <v>1143.2258064516129</v>
      </c>
      <c r="I131" s="17">
        <v>798606</v>
      </c>
      <c r="J131" s="17">
        <v>604916</v>
      </c>
      <c r="K131" s="17">
        <v>0</v>
      </c>
      <c r="L131" s="17">
        <v>1000.8928571428571</v>
      </c>
      <c r="M131" s="17">
        <v>1136.4285714285713</v>
      </c>
      <c r="N131" s="17">
        <v>868060</v>
      </c>
      <c r="O131" s="17">
        <v>627087</v>
      </c>
      <c r="P131" s="17">
        <v>0</v>
      </c>
      <c r="Q131" s="17">
        <v>930.32258064516134</v>
      </c>
      <c r="R131" s="17">
        <v>1120.9677419354839</v>
      </c>
      <c r="S131" s="17">
        <v>999588</v>
      </c>
      <c r="T131" s="17">
        <v>638913</v>
      </c>
      <c r="U131" s="17">
        <v>0</v>
      </c>
      <c r="V131" s="17">
        <v>943</v>
      </c>
      <c r="W131" s="17">
        <v>1104.6666666666667</v>
      </c>
      <c r="X131" s="17">
        <v>922886</v>
      </c>
      <c r="Y131" s="17">
        <v>597812</v>
      </c>
      <c r="Z131" s="17">
        <v>0</v>
      </c>
      <c r="AA131" s="17">
        <v>909.67741935483866</v>
      </c>
      <c r="AB131" s="17">
        <v>1060.6451612903227</v>
      </c>
      <c r="AC131" s="17">
        <v>813863</v>
      </c>
      <c r="AD131" s="17">
        <v>523770</v>
      </c>
      <c r="AE131" s="17">
        <v>0</v>
      </c>
      <c r="AF131" s="17">
        <v>920.5</v>
      </c>
      <c r="AG131" s="17">
        <v>1061.6666666666667</v>
      </c>
      <c r="AH131" s="17">
        <v>777324</v>
      </c>
      <c r="AI131" s="17">
        <v>547561</v>
      </c>
      <c r="AJ131" s="17">
        <v>0</v>
      </c>
      <c r="AK131" s="17">
        <v>915.32258064516134</v>
      </c>
      <c r="AL131" s="17">
        <v>1082.258064516129</v>
      </c>
      <c r="AM131" s="17">
        <v>801218</v>
      </c>
      <c r="AN131" s="17">
        <v>568597</v>
      </c>
      <c r="AO131" s="17">
        <v>0</v>
      </c>
      <c r="AP131" s="17">
        <v>910.9677419354839</v>
      </c>
      <c r="AQ131" s="17">
        <v>1098.3870967741937</v>
      </c>
      <c r="AR131" s="17">
        <v>773392</v>
      </c>
      <c r="AS131" s="17">
        <v>533165</v>
      </c>
      <c r="AT131" s="17">
        <v>0</v>
      </c>
      <c r="AU131" s="17">
        <v>893.33333333333337</v>
      </c>
      <c r="AV131" s="17">
        <v>1078.6666666666667</v>
      </c>
      <c r="AW131" s="17">
        <v>731822</v>
      </c>
      <c r="AX131" s="17">
        <v>513838</v>
      </c>
      <c r="AY131" s="17">
        <v>0</v>
      </c>
      <c r="AZ131" s="17">
        <v>913.38709677419354</v>
      </c>
      <c r="BA131" s="17">
        <v>1067.4193548387098</v>
      </c>
      <c r="BB131" s="17">
        <v>792929</v>
      </c>
      <c r="BC131" s="17">
        <v>591627</v>
      </c>
      <c r="BD131" s="17">
        <v>0</v>
      </c>
      <c r="BE131" s="17">
        <v>919.33333333333337</v>
      </c>
      <c r="BF131" s="17">
        <v>1047</v>
      </c>
      <c r="BG131" s="17">
        <v>1097825</v>
      </c>
      <c r="BH131" s="17">
        <v>620758</v>
      </c>
      <c r="BI131" s="17">
        <v>0</v>
      </c>
      <c r="BJ131" s="17">
        <v>885.32258064516134</v>
      </c>
      <c r="BK131" s="17">
        <v>1035.1612903225807</v>
      </c>
    </row>
    <row r="132" spans="1:63" x14ac:dyDescent="0.35">
      <c r="A132" s="41">
        <v>128</v>
      </c>
      <c r="B132" s="41" t="s">
        <v>243</v>
      </c>
      <c r="C132" s="43" t="s">
        <v>148</v>
      </c>
      <c r="D132" s="17">
        <v>106691</v>
      </c>
      <c r="E132" s="17">
        <v>11908</v>
      </c>
      <c r="F132" s="17">
        <v>0</v>
      </c>
      <c r="G132" s="17">
        <v>1021.6129032258065</v>
      </c>
      <c r="H132" s="17">
        <v>1150</v>
      </c>
      <c r="I132" s="17">
        <v>91962</v>
      </c>
      <c r="J132" s="17">
        <v>10315</v>
      </c>
      <c r="K132" s="17">
        <v>0</v>
      </c>
      <c r="L132" s="17">
        <v>1000.8928571428571</v>
      </c>
      <c r="M132" s="17">
        <v>1142.8571428571429</v>
      </c>
      <c r="N132" s="17">
        <v>105874</v>
      </c>
      <c r="O132" s="17">
        <v>19404</v>
      </c>
      <c r="P132" s="17">
        <v>0</v>
      </c>
      <c r="Q132" s="17">
        <v>936.61290322580646</v>
      </c>
      <c r="R132" s="17">
        <v>1121.4516129032259</v>
      </c>
      <c r="S132" s="17">
        <v>119742</v>
      </c>
      <c r="T132" s="17">
        <v>20278</v>
      </c>
      <c r="U132" s="17">
        <v>0</v>
      </c>
      <c r="V132" s="17">
        <v>944</v>
      </c>
      <c r="W132" s="17">
        <v>1104.8333333333333</v>
      </c>
      <c r="X132" s="17">
        <v>101213</v>
      </c>
      <c r="Y132" s="17">
        <v>16492</v>
      </c>
      <c r="Z132" s="17">
        <v>0</v>
      </c>
      <c r="AA132" s="17">
        <v>910</v>
      </c>
      <c r="AB132" s="17">
        <v>1070</v>
      </c>
      <c r="AC132" s="17">
        <v>88253</v>
      </c>
      <c r="AD132" s="17">
        <v>16885</v>
      </c>
      <c r="AE132" s="17">
        <v>0</v>
      </c>
      <c r="AF132" s="17">
        <v>920.16666666666663</v>
      </c>
      <c r="AG132" s="17">
        <v>1064.3333333333333</v>
      </c>
      <c r="AH132" s="17">
        <v>83908</v>
      </c>
      <c r="AI132" s="17">
        <v>12422</v>
      </c>
      <c r="AJ132" s="17">
        <v>0</v>
      </c>
      <c r="AK132" s="17">
        <v>915.16129032258061</v>
      </c>
      <c r="AL132" s="17">
        <v>1082.258064516129</v>
      </c>
      <c r="AM132" s="17">
        <v>87916</v>
      </c>
      <c r="AN132" s="17">
        <v>13946</v>
      </c>
      <c r="AO132" s="17">
        <v>0</v>
      </c>
      <c r="AP132" s="17">
        <v>910.64516129032256</v>
      </c>
      <c r="AQ132" s="17">
        <v>1097.741935483871</v>
      </c>
      <c r="AR132" s="17">
        <v>78863</v>
      </c>
      <c r="AS132" s="17">
        <v>16669</v>
      </c>
      <c r="AT132" s="17">
        <v>0</v>
      </c>
      <c r="AU132" s="17">
        <v>893.66666666666663</v>
      </c>
      <c r="AV132" s="17">
        <v>1078.6666666666667</v>
      </c>
      <c r="AW132" s="17">
        <v>66974</v>
      </c>
      <c r="AX132" s="17">
        <v>13743</v>
      </c>
      <c r="AY132" s="17">
        <v>0</v>
      </c>
      <c r="AZ132" s="17">
        <v>913.54838709677415</v>
      </c>
      <c r="BA132" s="17">
        <v>1067.741935483871</v>
      </c>
      <c r="BB132" s="17">
        <v>67773</v>
      </c>
      <c r="BC132" s="17">
        <v>9014</v>
      </c>
      <c r="BD132" s="17">
        <v>0</v>
      </c>
      <c r="BE132" s="17">
        <v>919.5</v>
      </c>
      <c r="BF132" s="17">
        <v>1046.3333333333333</v>
      </c>
      <c r="BG132" s="17">
        <v>99690</v>
      </c>
      <c r="BH132" s="17">
        <v>22274</v>
      </c>
      <c r="BI132" s="17">
        <v>0</v>
      </c>
      <c r="BJ132" s="17">
        <v>880.16129032258061</v>
      </c>
      <c r="BK132" s="17">
        <v>1034.516129032258</v>
      </c>
    </row>
    <row r="133" spans="1:63" x14ac:dyDescent="0.35">
      <c r="A133" s="41">
        <v>129</v>
      </c>
      <c r="B133" s="41" t="s">
        <v>248</v>
      </c>
      <c r="C133" s="43" t="s">
        <v>149</v>
      </c>
      <c r="D133" s="17">
        <v>288312</v>
      </c>
      <c r="E133" s="17">
        <v>32981</v>
      </c>
      <c r="F133" s="17">
        <v>0</v>
      </c>
      <c r="G133" s="17">
        <v>1005.1612903225806</v>
      </c>
      <c r="H133" s="17">
        <v>1150</v>
      </c>
      <c r="I133" s="17">
        <v>246495</v>
      </c>
      <c r="J133" s="17">
        <v>39023</v>
      </c>
      <c r="K133" s="17">
        <v>0</v>
      </c>
      <c r="L133" s="17">
        <v>1000.1785714285714</v>
      </c>
      <c r="M133" s="17">
        <v>1150</v>
      </c>
      <c r="N133" s="17">
        <v>289642</v>
      </c>
      <c r="O133" s="17">
        <v>35123</v>
      </c>
      <c r="P133" s="17">
        <v>0</v>
      </c>
      <c r="Q133" s="17">
        <v>947.41935483870964</v>
      </c>
      <c r="R133" s="17">
        <v>1142.258064516129</v>
      </c>
      <c r="S133" s="17">
        <v>316790</v>
      </c>
      <c r="T133" s="17">
        <v>42675</v>
      </c>
      <c r="U133" s="17">
        <v>0</v>
      </c>
      <c r="V133" s="17">
        <v>944.33333333333337</v>
      </c>
      <c r="W133" s="17">
        <v>1134.3333333333333</v>
      </c>
      <c r="X133" s="17">
        <v>312966</v>
      </c>
      <c r="Y133" s="17">
        <v>58672</v>
      </c>
      <c r="Z133" s="17">
        <v>0</v>
      </c>
      <c r="AA133" s="17">
        <v>913.22580645161293</v>
      </c>
      <c r="AB133" s="17">
        <v>1087.4193548387098</v>
      </c>
      <c r="AC133" s="17">
        <v>292862</v>
      </c>
      <c r="AD133" s="17">
        <v>43002</v>
      </c>
      <c r="AE133" s="17">
        <v>0</v>
      </c>
      <c r="AF133" s="17">
        <v>925.83333333333337</v>
      </c>
      <c r="AG133" s="17">
        <v>1077.3333333333333</v>
      </c>
      <c r="AH133" s="17">
        <v>278496</v>
      </c>
      <c r="AI133" s="17">
        <v>37161</v>
      </c>
      <c r="AJ133" s="17">
        <v>0</v>
      </c>
      <c r="AK133" s="17">
        <v>920.64516129032256</v>
      </c>
      <c r="AL133" s="17">
        <v>1090</v>
      </c>
      <c r="AM133" s="17">
        <v>284927</v>
      </c>
      <c r="AN133" s="17">
        <v>44442</v>
      </c>
      <c r="AO133" s="17">
        <v>0</v>
      </c>
      <c r="AP133" s="17">
        <v>911.61290322580646</v>
      </c>
      <c r="AQ133" s="17">
        <v>1109.3548387096773</v>
      </c>
      <c r="AR133" s="17">
        <v>248619</v>
      </c>
      <c r="AS133" s="17">
        <v>34835</v>
      </c>
      <c r="AT133" s="17">
        <v>0</v>
      </c>
      <c r="AU133" s="17">
        <v>892</v>
      </c>
      <c r="AV133" s="17">
        <v>1100</v>
      </c>
      <c r="AW133" s="17">
        <v>272521</v>
      </c>
      <c r="AX133" s="17">
        <v>30850</v>
      </c>
      <c r="AY133" s="17">
        <v>0</v>
      </c>
      <c r="AZ133" s="17">
        <v>912.74193548387098</v>
      </c>
      <c r="BA133" s="17">
        <v>1087.4193548387098</v>
      </c>
      <c r="BB133" s="17">
        <v>281405</v>
      </c>
      <c r="BC133" s="17">
        <v>43357</v>
      </c>
      <c r="BD133" s="17">
        <v>0</v>
      </c>
      <c r="BE133" s="17">
        <v>919.33333333333337</v>
      </c>
      <c r="BF133" s="17">
        <v>1063.3333333333333</v>
      </c>
      <c r="BG133" s="17">
        <v>272023</v>
      </c>
      <c r="BH133" s="17">
        <v>53221</v>
      </c>
      <c r="BI133" s="17">
        <v>0</v>
      </c>
      <c r="BJ133" s="17">
        <v>895.32258064516134</v>
      </c>
      <c r="BK133" s="17">
        <v>1044.8387096774193</v>
      </c>
    </row>
    <row r="134" spans="1:63" x14ac:dyDescent="0.35">
      <c r="A134" s="41">
        <v>130</v>
      </c>
      <c r="B134" s="41" t="s">
        <v>248</v>
      </c>
      <c r="C134" s="43" t="s">
        <v>150</v>
      </c>
      <c r="D134" s="17">
        <v>217584</v>
      </c>
      <c r="E134" s="17">
        <v>29638</v>
      </c>
      <c r="F134" s="17">
        <v>0</v>
      </c>
      <c r="G134" s="17">
        <v>1005.1612903225806</v>
      </c>
      <c r="H134" s="17">
        <v>1150</v>
      </c>
      <c r="I134" s="17">
        <v>190761</v>
      </c>
      <c r="J134" s="17">
        <v>27857</v>
      </c>
      <c r="K134" s="17">
        <v>0</v>
      </c>
      <c r="L134" s="17">
        <v>1000.1785714285714</v>
      </c>
      <c r="M134" s="17">
        <v>1150</v>
      </c>
      <c r="N134" s="17">
        <v>218211</v>
      </c>
      <c r="O134" s="17">
        <v>27429</v>
      </c>
      <c r="P134" s="17">
        <v>0</v>
      </c>
      <c r="Q134" s="17">
        <v>947.41935483870964</v>
      </c>
      <c r="R134" s="17">
        <v>1142.258064516129</v>
      </c>
      <c r="S134" s="17">
        <v>223686</v>
      </c>
      <c r="T134" s="17">
        <v>32757</v>
      </c>
      <c r="U134" s="17">
        <v>0</v>
      </c>
      <c r="V134" s="17">
        <v>944.33333333333337</v>
      </c>
      <c r="W134" s="17">
        <v>1135</v>
      </c>
      <c r="X134" s="17">
        <v>208584</v>
      </c>
      <c r="Y134" s="17">
        <v>28312</v>
      </c>
      <c r="Z134" s="17">
        <v>0</v>
      </c>
      <c r="AA134" s="17">
        <v>913.22580645161293</v>
      </c>
      <c r="AB134" s="17">
        <v>1087.4193548387098</v>
      </c>
      <c r="AC134" s="17">
        <v>202897</v>
      </c>
      <c r="AD134" s="17">
        <v>27971</v>
      </c>
      <c r="AE134" s="17">
        <v>0</v>
      </c>
      <c r="AF134" s="17">
        <v>925.83333333333337</v>
      </c>
      <c r="AG134" s="17">
        <v>1077.3333333333333</v>
      </c>
      <c r="AH134" s="17">
        <v>177059</v>
      </c>
      <c r="AI134" s="17">
        <v>18340</v>
      </c>
      <c r="AJ134" s="17">
        <v>0</v>
      </c>
      <c r="AK134" s="17">
        <v>920.64516129032256</v>
      </c>
      <c r="AL134" s="17">
        <v>1090</v>
      </c>
      <c r="AM134" s="17">
        <v>218484</v>
      </c>
      <c r="AN134" s="17">
        <v>25549</v>
      </c>
      <c r="AO134" s="17">
        <v>0</v>
      </c>
      <c r="AP134" s="17">
        <v>911.61290322580646</v>
      </c>
      <c r="AQ134" s="17">
        <v>1109.3548387096773</v>
      </c>
      <c r="AR134" s="17">
        <v>210537</v>
      </c>
      <c r="AS134" s="17">
        <v>30292</v>
      </c>
      <c r="AT134" s="17">
        <v>0</v>
      </c>
      <c r="AU134" s="17">
        <v>892</v>
      </c>
      <c r="AV134" s="17">
        <v>1100</v>
      </c>
      <c r="AW134" s="17">
        <v>208742</v>
      </c>
      <c r="AX134" s="17">
        <v>23768</v>
      </c>
      <c r="AY134" s="17">
        <v>0</v>
      </c>
      <c r="AZ134" s="17">
        <v>912.74193548387098</v>
      </c>
      <c r="BA134" s="17">
        <v>1087.741935483871</v>
      </c>
      <c r="BB134" s="17">
        <v>201729</v>
      </c>
      <c r="BC134" s="17">
        <v>14657</v>
      </c>
      <c r="BD134" s="17">
        <v>0</v>
      </c>
      <c r="BE134" s="17">
        <v>919.33333333333337</v>
      </c>
      <c r="BF134" s="17">
        <v>1064.6666666666667</v>
      </c>
      <c r="BG134" s="17">
        <v>225357</v>
      </c>
      <c r="BH134" s="17">
        <v>10761</v>
      </c>
      <c r="BI134" s="17">
        <v>0</v>
      </c>
      <c r="BJ134" s="17">
        <v>895.32258064516134</v>
      </c>
      <c r="BK134" s="17">
        <v>1044.8387096774193</v>
      </c>
    </row>
    <row r="135" spans="1:63" x14ac:dyDescent="0.35">
      <c r="A135" s="41">
        <v>131</v>
      </c>
      <c r="B135" s="41" t="s">
        <v>248</v>
      </c>
      <c r="C135" s="43" t="s">
        <v>151</v>
      </c>
      <c r="D135" s="17">
        <v>269750</v>
      </c>
      <c r="E135" s="17">
        <v>14900</v>
      </c>
      <c r="F135" s="17">
        <v>0</v>
      </c>
      <c r="G135" s="17">
        <v>1005.1612903225806</v>
      </c>
      <c r="H135" s="17">
        <v>1150</v>
      </c>
      <c r="I135" s="17">
        <v>246562</v>
      </c>
      <c r="J135" s="17">
        <v>17045</v>
      </c>
      <c r="K135" s="17">
        <v>0</v>
      </c>
      <c r="L135" s="17">
        <v>1000.1785714285714</v>
      </c>
      <c r="M135" s="17">
        <v>1150</v>
      </c>
      <c r="N135" s="17">
        <v>276532</v>
      </c>
      <c r="O135" s="17">
        <v>20247</v>
      </c>
      <c r="P135" s="17">
        <v>0</v>
      </c>
      <c r="Q135" s="17">
        <v>947.41935483870964</v>
      </c>
      <c r="R135" s="17">
        <v>1142.258064516129</v>
      </c>
      <c r="S135" s="17">
        <v>282741</v>
      </c>
      <c r="T135" s="17">
        <v>15207</v>
      </c>
      <c r="U135" s="17">
        <v>0</v>
      </c>
      <c r="V135" s="17">
        <v>944.66666666666663</v>
      </c>
      <c r="W135" s="17">
        <v>1135</v>
      </c>
      <c r="X135" s="17">
        <v>271749</v>
      </c>
      <c r="Y135" s="17">
        <v>19056</v>
      </c>
      <c r="Z135" s="17">
        <v>0</v>
      </c>
      <c r="AA135" s="17">
        <v>913.22580645161293</v>
      </c>
      <c r="AB135" s="17">
        <v>1087.4193548387098</v>
      </c>
      <c r="AC135" s="17">
        <v>261598</v>
      </c>
      <c r="AD135" s="17">
        <v>12920</v>
      </c>
      <c r="AE135" s="17">
        <v>0</v>
      </c>
      <c r="AF135" s="17">
        <v>925.83333333333337</v>
      </c>
      <c r="AG135" s="17">
        <v>1077.3333333333333</v>
      </c>
      <c r="AH135" s="17">
        <v>246551</v>
      </c>
      <c r="AI135" s="17">
        <v>14834</v>
      </c>
      <c r="AJ135" s="17">
        <v>0</v>
      </c>
      <c r="AK135" s="17">
        <v>920.9677419354839</v>
      </c>
      <c r="AL135" s="17">
        <v>1090</v>
      </c>
      <c r="AM135" s="17">
        <v>248403</v>
      </c>
      <c r="AN135" s="17">
        <v>12507</v>
      </c>
      <c r="AO135" s="17">
        <v>0</v>
      </c>
      <c r="AP135" s="17">
        <v>911.61290322580646</v>
      </c>
      <c r="AQ135" s="17">
        <v>1109.3548387096773</v>
      </c>
      <c r="AR135" s="17">
        <v>240123</v>
      </c>
      <c r="AS135" s="17">
        <v>9890</v>
      </c>
      <c r="AT135" s="17">
        <v>0</v>
      </c>
      <c r="AU135" s="17">
        <v>892</v>
      </c>
      <c r="AV135" s="17">
        <v>1100</v>
      </c>
      <c r="AW135" s="17">
        <v>244702</v>
      </c>
      <c r="AX135" s="17">
        <v>13535</v>
      </c>
      <c r="AY135" s="17">
        <v>0</v>
      </c>
      <c r="AZ135" s="17">
        <v>912.74193548387098</v>
      </c>
      <c r="BA135" s="17">
        <v>1087.741935483871</v>
      </c>
      <c r="BB135" s="17">
        <v>257553</v>
      </c>
      <c r="BC135" s="17">
        <v>17890</v>
      </c>
      <c r="BD135" s="17">
        <v>0</v>
      </c>
      <c r="BE135" s="17">
        <v>919.33333333333337</v>
      </c>
      <c r="BF135" s="17">
        <v>1063.3333333333333</v>
      </c>
      <c r="BG135" s="17">
        <v>244946</v>
      </c>
      <c r="BH135" s="17">
        <v>11582</v>
      </c>
      <c r="BI135" s="17">
        <v>0</v>
      </c>
      <c r="BJ135" s="17">
        <v>895.32258064516134</v>
      </c>
      <c r="BK135" s="17">
        <v>1044.8387096774193</v>
      </c>
    </row>
    <row r="136" spans="1:63" x14ac:dyDescent="0.35">
      <c r="A136" s="41">
        <v>132</v>
      </c>
      <c r="B136" s="41" t="s">
        <v>248</v>
      </c>
      <c r="C136" s="43" t="s">
        <v>152</v>
      </c>
      <c r="D136" s="17">
        <v>217402</v>
      </c>
      <c r="E136" s="17">
        <v>25633</v>
      </c>
      <c r="F136" s="17">
        <v>0</v>
      </c>
      <c r="G136" s="17">
        <v>1005.1612903225806</v>
      </c>
      <c r="H136" s="17">
        <v>1150</v>
      </c>
      <c r="I136" s="17">
        <v>193625</v>
      </c>
      <c r="J136" s="17">
        <v>21614</v>
      </c>
      <c r="K136" s="17">
        <v>0</v>
      </c>
      <c r="L136" s="17">
        <v>1000.1785714285714</v>
      </c>
      <c r="M136" s="17">
        <v>1150</v>
      </c>
      <c r="N136" s="17">
        <v>206548</v>
      </c>
      <c r="O136" s="17">
        <v>24323</v>
      </c>
      <c r="P136" s="17">
        <v>0</v>
      </c>
      <c r="Q136" s="17">
        <v>947.41935483870964</v>
      </c>
      <c r="R136" s="17">
        <v>1142.258064516129</v>
      </c>
      <c r="S136" s="17">
        <v>217756</v>
      </c>
      <c r="T136" s="17">
        <v>27031</v>
      </c>
      <c r="U136" s="17">
        <v>0</v>
      </c>
      <c r="V136" s="17">
        <v>944.33333333333337</v>
      </c>
      <c r="W136" s="17">
        <v>1135</v>
      </c>
      <c r="X136" s="17">
        <v>203891</v>
      </c>
      <c r="Y136" s="17">
        <v>23250</v>
      </c>
      <c r="Z136" s="17">
        <v>0</v>
      </c>
      <c r="AA136" s="17">
        <v>913.22580645161293</v>
      </c>
      <c r="AB136" s="17">
        <v>1087.4193548387098</v>
      </c>
      <c r="AC136" s="17">
        <v>194841</v>
      </c>
      <c r="AD136" s="17">
        <v>16458</v>
      </c>
      <c r="AE136" s="17">
        <v>0</v>
      </c>
      <c r="AF136" s="17">
        <v>925.83333333333337</v>
      </c>
      <c r="AG136" s="17">
        <v>1077.3333333333333</v>
      </c>
      <c r="AH136" s="17">
        <v>191308</v>
      </c>
      <c r="AI136" s="17">
        <v>20378</v>
      </c>
      <c r="AJ136" s="17">
        <v>0</v>
      </c>
      <c r="AK136" s="17">
        <v>920.64516129032256</v>
      </c>
      <c r="AL136" s="17">
        <v>1090</v>
      </c>
      <c r="AM136" s="17">
        <v>191805</v>
      </c>
      <c r="AN136" s="17">
        <v>22980</v>
      </c>
      <c r="AO136" s="17">
        <v>0</v>
      </c>
      <c r="AP136" s="17">
        <v>911.61290322580646</v>
      </c>
      <c r="AQ136" s="17">
        <v>1109.3548387096773</v>
      </c>
      <c r="AR136" s="17">
        <v>197665</v>
      </c>
      <c r="AS136" s="17">
        <v>20461</v>
      </c>
      <c r="AT136" s="17">
        <v>0</v>
      </c>
      <c r="AU136" s="17">
        <v>892</v>
      </c>
      <c r="AV136" s="17">
        <v>1100</v>
      </c>
      <c r="AW136" s="17">
        <v>191929</v>
      </c>
      <c r="AX136" s="17">
        <v>17586</v>
      </c>
      <c r="AY136" s="17">
        <v>0</v>
      </c>
      <c r="AZ136" s="17">
        <v>912.74193548387098</v>
      </c>
      <c r="BA136" s="17">
        <v>1087.741935483871</v>
      </c>
      <c r="BB136" s="17">
        <v>203218</v>
      </c>
      <c r="BC136" s="17">
        <v>19049</v>
      </c>
      <c r="BD136" s="17">
        <v>0</v>
      </c>
      <c r="BE136" s="17">
        <v>919.33333333333337</v>
      </c>
      <c r="BF136" s="17">
        <v>1063.3333333333333</v>
      </c>
      <c r="BG136" s="17">
        <v>200074</v>
      </c>
      <c r="BH136" s="17">
        <v>22233</v>
      </c>
      <c r="BI136" s="17">
        <v>0</v>
      </c>
      <c r="BJ136" s="17">
        <v>895.32258064516134</v>
      </c>
      <c r="BK136" s="17">
        <v>1044.8387096774193</v>
      </c>
    </row>
    <row r="137" spans="1:63" x14ac:dyDescent="0.35">
      <c r="A137" s="41">
        <v>133</v>
      </c>
      <c r="B137" s="41" t="s">
        <v>242</v>
      </c>
      <c r="C137" s="43" t="s">
        <v>153</v>
      </c>
      <c r="D137" s="17">
        <v>234960</v>
      </c>
      <c r="E137" s="17">
        <v>39087</v>
      </c>
      <c r="F137" s="17">
        <v>0</v>
      </c>
      <c r="G137" s="17">
        <v>1011.2903225806451</v>
      </c>
      <c r="H137" s="17">
        <v>1158.0645161290322</v>
      </c>
      <c r="I137" s="17">
        <v>208661</v>
      </c>
      <c r="J137" s="17">
        <v>40046</v>
      </c>
      <c r="K137" s="17">
        <v>0</v>
      </c>
      <c r="L137" s="17">
        <v>998.92857142857144</v>
      </c>
      <c r="M137" s="17">
        <v>1150</v>
      </c>
      <c r="N137" s="17">
        <v>249345</v>
      </c>
      <c r="O137" s="17">
        <v>37980</v>
      </c>
      <c r="P137" s="17">
        <v>0</v>
      </c>
      <c r="Q137" s="17">
        <v>940.32258064516134</v>
      </c>
      <c r="R137" s="17">
        <v>1150</v>
      </c>
      <c r="S137" s="17">
        <v>236110</v>
      </c>
      <c r="T137" s="17">
        <v>34501</v>
      </c>
      <c r="U137" s="17">
        <v>0</v>
      </c>
      <c r="V137" s="17">
        <v>944.33333333333337</v>
      </c>
      <c r="W137" s="17">
        <v>1126.3333333333333</v>
      </c>
      <c r="X137" s="17">
        <v>254152</v>
      </c>
      <c r="Y137" s="17">
        <v>36279</v>
      </c>
      <c r="Z137" s="17">
        <v>0</v>
      </c>
      <c r="AA137" s="17">
        <v>913.22580645161293</v>
      </c>
      <c r="AB137" s="17">
        <v>1075.8064516129032</v>
      </c>
      <c r="AC137" s="17">
        <v>239501</v>
      </c>
      <c r="AD137" s="17">
        <v>33000</v>
      </c>
      <c r="AE137" s="17">
        <v>0</v>
      </c>
      <c r="AF137" s="17">
        <v>923.5</v>
      </c>
      <c r="AG137" s="17">
        <v>1076</v>
      </c>
      <c r="AH137" s="17">
        <v>202051</v>
      </c>
      <c r="AI137" s="17">
        <v>34275</v>
      </c>
      <c r="AJ137" s="17">
        <v>0</v>
      </c>
      <c r="AK137" s="17">
        <v>920</v>
      </c>
      <c r="AL137" s="17">
        <v>1090</v>
      </c>
      <c r="AM137" s="17">
        <v>214047</v>
      </c>
      <c r="AN137" s="17">
        <v>37353</v>
      </c>
      <c r="AO137" s="17">
        <v>0</v>
      </c>
      <c r="AP137" s="17">
        <v>910</v>
      </c>
      <c r="AQ137" s="17">
        <v>1109.3548387096773</v>
      </c>
      <c r="AR137" s="17">
        <v>225809</v>
      </c>
      <c r="AS137" s="17">
        <v>36408</v>
      </c>
      <c r="AT137" s="17">
        <v>0</v>
      </c>
      <c r="AU137" s="17">
        <v>891.66666666666663</v>
      </c>
      <c r="AV137" s="17">
        <v>1100</v>
      </c>
      <c r="AW137" s="17">
        <v>258853</v>
      </c>
      <c r="AX137" s="17">
        <v>36512</v>
      </c>
      <c r="AY137" s="17">
        <v>0</v>
      </c>
      <c r="AZ137" s="17">
        <v>912.09677419354841</v>
      </c>
      <c r="BA137" s="17">
        <v>1088.3870967741937</v>
      </c>
      <c r="BB137" s="17">
        <v>238740</v>
      </c>
      <c r="BC137" s="17">
        <v>34005</v>
      </c>
      <c r="BD137" s="17">
        <v>0</v>
      </c>
      <c r="BE137" s="17">
        <v>919.16666666666663</v>
      </c>
      <c r="BF137" s="17">
        <v>1063.3333333333333</v>
      </c>
      <c r="BG137" s="17">
        <v>252920</v>
      </c>
      <c r="BH137" s="17">
        <v>38260</v>
      </c>
      <c r="BI137" s="17">
        <v>0</v>
      </c>
      <c r="BJ137" s="17">
        <v>895.32258064516134</v>
      </c>
      <c r="BK137" s="17">
        <v>1044.8387096774193</v>
      </c>
    </row>
    <row r="138" spans="1:63" x14ac:dyDescent="0.35">
      <c r="A138" s="41">
        <v>134</v>
      </c>
      <c r="B138" s="41" t="s">
        <v>242</v>
      </c>
      <c r="C138" s="43" t="s">
        <v>154</v>
      </c>
      <c r="D138" s="17">
        <v>143364</v>
      </c>
      <c r="E138" s="17">
        <v>37566</v>
      </c>
      <c r="F138" s="17">
        <v>0</v>
      </c>
      <c r="G138" s="17">
        <v>1011.2903225806451</v>
      </c>
      <c r="H138" s="17">
        <v>1158.0645161290322</v>
      </c>
      <c r="I138" s="17">
        <v>123063</v>
      </c>
      <c r="J138" s="17">
        <v>41097</v>
      </c>
      <c r="K138" s="17">
        <v>0</v>
      </c>
      <c r="L138" s="17">
        <v>998.92857142857144</v>
      </c>
      <c r="M138" s="17">
        <v>1150</v>
      </c>
      <c r="N138" s="17">
        <v>130320</v>
      </c>
      <c r="O138" s="17">
        <v>30923</v>
      </c>
      <c r="P138" s="17">
        <v>0</v>
      </c>
      <c r="Q138" s="17">
        <v>940.32258064516134</v>
      </c>
      <c r="R138" s="17">
        <v>1150</v>
      </c>
      <c r="S138" s="17">
        <v>117789</v>
      </c>
      <c r="T138" s="17">
        <v>27905</v>
      </c>
      <c r="U138" s="17">
        <v>0</v>
      </c>
      <c r="V138" s="17">
        <v>944.33333333333337</v>
      </c>
      <c r="W138" s="17">
        <v>1126.3333333333333</v>
      </c>
      <c r="X138" s="17">
        <v>99144</v>
      </c>
      <c r="Y138" s="17">
        <v>37483</v>
      </c>
      <c r="Z138" s="17">
        <v>0</v>
      </c>
      <c r="AA138" s="17">
        <v>913.22580645161293</v>
      </c>
      <c r="AB138" s="17">
        <v>1075.8064516129032</v>
      </c>
      <c r="AC138" s="17">
        <v>81240</v>
      </c>
      <c r="AD138" s="17">
        <v>30492</v>
      </c>
      <c r="AE138" s="17">
        <v>0</v>
      </c>
      <c r="AF138" s="17">
        <v>923.16666666666663</v>
      </c>
      <c r="AG138" s="17">
        <v>1076.3333333333333</v>
      </c>
      <c r="AH138" s="17">
        <v>71707</v>
      </c>
      <c r="AI138" s="17">
        <v>30222</v>
      </c>
      <c r="AJ138" s="17">
        <v>0</v>
      </c>
      <c r="AK138" s="17">
        <v>920</v>
      </c>
      <c r="AL138" s="17">
        <v>1090</v>
      </c>
      <c r="AM138" s="17">
        <v>80777</v>
      </c>
      <c r="AN138" s="17">
        <v>30912</v>
      </c>
      <c r="AO138" s="17">
        <v>0</v>
      </c>
      <c r="AP138" s="17">
        <v>910</v>
      </c>
      <c r="AQ138" s="17">
        <v>1109.3548387096773</v>
      </c>
      <c r="AR138" s="17">
        <v>78629</v>
      </c>
      <c r="AS138" s="17">
        <v>30721</v>
      </c>
      <c r="AT138" s="17">
        <v>0</v>
      </c>
      <c r="AU138" s="17">
        <v>891.66666666666663</v>
      </c>
      <c r="AV138" s="17">
        <v>1100</v>
      </c>
      <c r="AW138" s="17">
        <v>88863</v>
      </c>
      <c r="AX138" s="17">
        <v>27272</v>
      </c>
      <c r="AY138" s="17">
        <v>0</v>
      </c>
      <c r="AZ138" s="17">
        <v>912.09677419354841</v>
      </c>
      <c r="BA138" s="17">
        <v>1087.741935483871</v>
      </c>
      <c r="BB138" s="17">
        <v>88263</v>
      </c>
      <c r="BC138" s="17">
        <v>31290</v>
      </c>
      <c r="BD138" s="17">
        <v>0</v>
      </c>
      <c r="BE138" s="17">
        <v>919.16666666666663</v>
      </c>
      <c r="BF138" s="17">
        <v>1063.3333333333333</v>
      </c>
      <c r="BG138" s="17">
        <v>104412</v>
      </c>
      <c r="BH138" s="17">
        <v>35742</v>
      </c>
      <c r="BI138" s="17">
        <v>0</v>
      </c>
      <c r="BJ138" s="17">
        <v>895.32258064516134</v>
      </c>
      <c r="BK138" s="17">
        <v>1044.8387096774193</v>
      </c>
    </row>
    <row r="139" spans="1:63" x14ac:dyDescent="0.35">
      <c r="A139" s="41">
        <v>135</v>
      </c>
      <c r="B139" s="41" t="s">
        <v>231</v>
      </c>
      <c r="C139" s="43" t="s">
        <v>155</v>
      </c>
      <c r="D139" s="17">
        <v>447408</v>
      </c>
      <c r="E139" s="17">
        <v>101572</v>
      </c>
      <c r="F139" s="17">
        <v>2322</v>
      </c>
      <c r="G139" s="17">
        <v>1013.5483870967741</v>
      </c>
      <c r="H139" s="17">
        <v>1164.516129032258</v>
      </c>
      <c r="I139" s="17">
        <v>390784</v>
      </c>
      <c r="J139" s="17">
        <v>101502</v>
      </c>
      <c r="K139" s="17">
        <v>801</v>
      </c>
      <c r="L139" s="17">
        <v>1002.5</v>
      </c>
      <c r="M139" s="17">
        <v>1156.7857142857142</v>
      </c>
      <c r="N139" s="17">
        <v>427020</v>
      </c>
      <c r="O139" s="17">
        <v>118944</v>
      </c>
      <c r="P139" s="17">
        <v>11027</v>
      </c>
      <c r="Q139" s="17">
        <v>942.58064516129036</v>
      </c>
      <c r="R139" s="17">
        <v>1150</v>
      </c>
      <c r="S139" s="17">
        <v>448134</v>
      </c>
      <c r="T139" s="17">
        <v>148867</v>
      </c>
      <c r="U139" s="17">
        <v>6278</v>
      </c>
      <c r="V139" s="17">
        <v>944.33333333333337</v>
      </c>
      <c r="W139" s="17">
        <v>1144.6666666666667</v>
      </c>
      <c r="X139" s="17">
        <v>490571</v>
      </c>
      <c r="Y139" s="17">
        <v>137510</v>
      </c>
      <c r="Z139" s="17">
        <v>10408</v>
      </c>
      <c r="AA139" s="17">
        <v>909.35483870967744</v>
      </c>
      <c r="AB139" s="17">
        <v>1092.5806451612902</v>
      </c>
      <c r="AC139" s="17">
        <v>446110</v>
      </c>
      <c r="AD139" s="17">
        <v>122216</v>
      </c>
      <c r="AE139" s="17">
        <v>7020</v>
      </c>
      <c r="AF139" s="17">
        <v>920.5</v>
      </c>
      <c r="AG139" s="17">
        <v>1075.3333333333333</v>
      </c>
      <c r="AH139" s="17">
        <v>421081</v>
      </c>
      <c r="AI139" s="17">
        <v>105196</v>
      </c>
      <c r="AJ139" s="17">
        <v>1472</v>
      </c>
      <c r="AK139" s="17">
        <v>918.70967741935488</v>
      </c>
      <c r="AL139" s="17">
        <v>1093.2258064516129</v>
      </c>
      <c r="AM139" s="17">
        <v>393440</v>
      </c>
      <c r="AN139" s="17">
        <v>114085</v>
      </c>
      <c r="AO139" s="17">
        <v>799</v>
      </c>
      <c r="AP139" s="17">
        <v>910</v>
      </c>
      <c r="AQ139" s="17">
        <v>1107.4193548387098</v>
      </c>
      <c r="AR139" s="17">
        <v>364095</v>
      </c>
      <c r="AS139" s="17">
        <v>119921</v>
      </c>
      <c r="AT139" s="17">
        <v>3607</v>
      </c>
      <c r="AU139" s="17">
        <v>897</v>
      </c>
      <c r="AV139" s="17">
        <v>1090</v>
      </c>
      <c r="AW139" s="17">
        <v>391667</v>
      </c>
      <c r="AX139" s="17">
        <v>148146</v>
      </c>
      <c r="AY139" s="17">
        <v>0</v>
      </c>
      <c r="AZ139" s="17">
        <v>912.58064516129036</v>
      </c>
      <c r="BA139" s="17">
        <v>1087.4193548387098</v>
      </c>
      <c r="BB139" s="17">
        <v>406317</v>
      </c>
      <c r="BC139" s="17">
        <v>133831</v>
      </c>
      <c r="BD139" s="17">
        <v>0</v>
      </c>
      <c r="BE139" s="17">
        <v>920</v>
      </c>
      <c r="BF139" s="17">
        <v>1074</v>
      </c>
      <c r="BG139" s="17">
        <v>475743</v>
      </c>
      <c r="BH139" s="17">
        <v>91494</v>
      </c>
      <c r="BI139" s="17">
        <v>0</v>
      </c>
      <c r="BJ139" s="17">
        <v>892.25806451612902</v>
      </c>
      <c r="BK139" s="17">
        <v>1050.9677419354839</v>
      </c>
    </row>
    <row r="140" spans="1:63" x14ac:dyDescent="0.35">
      <c r="A140" s="41">
        <v>136</v>
      </c>
      <c r="B140" s="41" t="s">
        <v>237</v>
      </c>
      <c r="C140" s="43" t="s">
        <v>156</v>
      </c>
      <c r="D140" s="17">
        <v>99966</v>
      </c>
      <c r="E140" s="17">
        <v>13584</v>
      </c>
      <c r="F140" s="17">
        <v>0</v>
      </c>
      <c r="G140" s="17">
        <v>1006.6129032258065</v>
      </c>
      <c r="H140" s="17">
        <v>1150</v>
      </c>
      <c r="I140" s="17">
        <v>85354</v>
      </c>
      <c r="J140" s="17">
        <v>11541</v>
      </c>
      <c r="K140" s="17">
        <v>0</v>
      </c>
      <c r="L140" s="17">
        <v>999.10714285714289</v>
      </c>
      <c r="M140" s="17">
        <v>1150</v>
      </c>
      <c r="N140" s="17">
        <v>95055</v>
      </c>
      <c r="O140" s="17">
        <v>11368</v>
      </c>
      <c r="P140" s="17">
        <v>0</v>
      </c>
      <c r="Q140" s="17">
        <v>941.12903225806451</v>
      </c>
      <c r="R140" s="17">
        <v>1150</v>
      </c>
      <c r="S140" s="17">
        <v>109112</v>
      </c>
      <c r="T140" s="17">
        <v>15611</v>
      </c>
      <c r="U140" s="17">
        <v>0</v>
      </c>
      <c r="V140" s="17">
        <v>944.33333333333337</v>
      </c>
      <c r="W140" s="17">
        <v>1135</v>
      </c>
      <c r="X140" s="17">
        <v>115495</v>
      </c>
      <c r="Y140" s="17">
        <v>9968</v>
      </c>
      <c r="Z140" s="17">
        <v>0</v>
      </c>
      <c r="AA140" s="17">
        <v>913.22580645161293</v>
      </c>
      <c r="AB140" s="17">
        <v>1087.4193548387098</v>
      </c>
      <c r="AC140" s="17">
        <v>97971</v>
      </c>
      <c r="AD140" s="17">
        <v>8326</v>
      </c>
      <c r="AE140" s="17">
        <v>0</v>
      </c>
      <c r="AF140" s="17">
        <v>924.83333333333337</v>
      </c>
      <c r="AG140" s="17">
        <v>1079.3333333333333</v>
      </c>
      <c r="AH140" s="17">
        <v>93611</v>
      </c>
      <c r="AI140" s="17">
        <v>7751</v>
      </c>
      <c r="AJ140" s="17">
        <v>0</v>
      </c>
      <c r="AK140" s="17">
        <v>920.64516129032256</v>
      </c>
      <c r="AL140" s="17">
        <v>1090</v>
      </c>
      <c r="AM140" s="17">
        <v>91453</v>
      </c>
      <c r="AN140" s="17">
        <v>7927</v>
      </c>
      <c r="AO140" s="17">
        <v>0</v>
      </c>
      <c r="AP140" s="17">
        <v>910</v>
      </c>
      <c r="AQ140" s="17">
        <v>1109.3548387096773</v>
      </c>
      <c r="AR140" s="17">
        <v>92309</v>
      </c>
      <c r="AS140" s="17">
        <v>11579</v>
      </c>
      <c r="AT140" s="17">
        <v>0</v>
      </c>
      <c r="AU140" s="17">
        <v>892</v>
      </c>
      <c r="AV140" s="17">
        <v>1100</v>
      </c>
      <c r="AW140" s="17">
        <v>102973</v>
      </c>
      <c r="AX140" s="17">
        <v>9748</v>
      </c>
      <c r="AY140" s="17">
        <v>0</v>
      </c>
      <c r="AZ140" s="17">
        <v>912.25806451612902</v>
      </c>
      <c r="BA140" s="17">
        <v>1088.3870967741937</v>
      </c>
      <c r="BB140" s="17">
        <v>99285</v>
      </c>
      <c r="BC140" s="17">
        <v>9184</v>
      </c>
      <c r="BD140" s="17">
        <v>0</v>
      </c>
      <c r="BE140" s="17">
        <v>919.33333333333337</v>
      </c>
      <c r="BF140" s="17">
        <v>1063.3333333333333</v>
      </c>
      <c r="BG140" s="17">
        <v>90918</v>
      </c>
      <c r="BH140" s="17">
        <v>10609</v>
      </c>
      <c r="BI140" s="17">
        <v>0</v>
      </c>
      <c r="BJ140" s="17">
        <v>895.32258064516134</v>
      </c>
      <c r="BK140" s="17">
        <v>1044.8387096774193</v>
      </c>
    </row>
    <row r="141" spans="1:63" x14ac:dyDescent="0.35">
      <c r="A141" s="41">
        <v>137</v>
      </c>
      <c r="B141" s="41" t="s">
        <v>237</v>
      </c>
      <c r="C141" s="43" t="s">
        <v>157</v>
      </c>
      <c r="D141" s="17">
        <v>131872</v>
      </c>
      <c r="E141" s="17">
        <v>29154</v>
      </c>
      <c r="F141" s="17">
        <v>0</v>
      </c>
      <c r="G141" s="17">
        <v>1007.741935483871</v>
      </c>
      <c r="H141" s="17">
        <v>1150</v>
      </c>
      <c r="I141" s="17">
        <v>107911</v>
      </c>
      <c r="J141" s="17">
        <v>29571</v>
      </c>
      <c r="K141" s="17">
        <v>400</v>
      </c>
      <c r="L141" s="17">
        <v>1000.1785714285714</v>
      </c>
      <c r="M141" s="17">
        <v>1150</v>
      </c>
      <c r="N141" s="17">
        <v>121688</v>
      </c>
      <c r="O141" s="17">
        <v>20856</v>
      </c>
      <c r="P141" s="17">
        <v>0</v>
      </c>
      <c r="Q141" s="17">
        <v>941.45161290322585</v>
      </c>
      <c r="R141" s="17">
        <v>1150</v>
      </c>
      <c r="S141" s="17">
        <v>141710</v>
      </c>
      <c r="T141" s="17">
        <v>28383</v>
      </c>
      <c r="U141" s="17">
        <v>0</v>
      </c>
      <c r="V141" s="17">
        <v>944.33333333333337</v>
      </c>
      <c r="W141" s="17">
        <v>1135</v>
      </c>
      <c r="X141" s="17">
        <v>145925</v>
      </c>
      <c r="Y141" s="17">
        <v>31812</v>
      </c>
      <c r="Z141" s="17">
        <v>0</v>
      </c>
      <c r="AA141" s="17">
        <v>913.22580645161293</v>
      </c>
      <c r="AB141" s="17">
        <v>1087.4193548387098</v>
      </c>
      <c r="AC141" s="17">
        <v>140489</v>
      </c>
      <c r="AD141" s="17">
        <v>29354</v>
      </c>
      <c r="AE141" s="17">
        <v>0</v>
      </c>
      <c r="AF141" s="17">
        <v>924.83333333333337</v>
      </c>
      <c r="AG141" s="17">
        <v>1079.3333333333333</v>
      </c>
      <c r="AH141" s="17">
        <v>120521</v>
      </c>
      <c r="AI141" s="17">
        <v>40189</v>
      </c>
      <c r="AJ141" s="17">
        <v>0</v>
      </c>
      <c r="AK141" s="17">
        <v>920.64516129032256</v>
      </c>
      <c r="AL141" s="17">
        <v>1090</v>
      </c>
      <c r="AM141" s="17">
        <v>111866</v>
      </c>
      <c r="AN141" s="17">
        <v>35823</v>
      </c>
      <c r="AO141" s="17">
        <v>0</v>
      </c>
      <c r="AP141" s="17">
        <v>910</v>
      </c>
      <c r="AQ141" s="17">
        <v>1109.3548387096773</v>
      </c>
      <c r="AR141" s="17">
        <v>122755</v>
      </c>
      <c r="AS141" s="17">
        <v>51145</v>
      </c>
      <c r="AT141" s="17">
        <v>0</v>
      </c>
      <c r="AU141" s="17">
        <v>892</v>
      </c>
      <c r="AV141" s="17">
        <v>1100</v>
      </c>
      <c r="AW141" s="17">
        <v>130272</v>
      </c>
      <c r="AX141" s="17">
        <v>48424</v>
      </c>
      <c r="AY141" s="17">
        <v>0</v>
      </c>
      <c r="AZ141" s="17">
        <v>913.22580645161293</v>
      </c>
      <c r="BA141" s="17">
        <v>1088.3870967741937</v>
      </c>
      <c r="BB141" s="17">
        <v>131294</v>
      </c>
      <c r="BC141" s="17">
        <v>48272</v>
      </c>
      <c r="BD141" s="17">
        <v>0</v>
      </c>
      <c r="BE141" s="17">
        <v>919.33333333333337</v>
      </c>
      <c r="BF141" s="17">
        <v>1063.3333333333333</v>
      </c>
      <c r="BG141" s="17">
        <v>126954</v>
      </c>
      <c r="BH141" s="17">
        <v>39342</v>
      </c>
      <c r="BI141" s="17">
        <v>0</v>
      </c>
      <c r="BJ141" s="17">
        <v>895.32258064516134</v>
      </c>
      <c r="BK141" s="17">
        <v>1044.8387096774193</v>
      </c>
    </row>
    <row r="142" spans="1:63" x14ac:dyDescent="0.35">
      <c r="A142" s="41">
        <v>138</v>
      </c>
      <c r="B142" s="41" t="s">
        <v>237</v>
      </c>
      <c r="C142" s="43" t="s">
        <v>158</v>
      </c>
      <c r="D142" s="17">
        <v>279153</v>
      </c>
      <c r="E142" s="17">
        <v>49402</v>
      </c>
      <c r="F142" s="17">
        <v>0</v>
      </c>
      <c r="G142" s="17">
        <v>1007.741935483871</v>
      </c>
      <c r="H142" s="17">
        <v>1150</v>
      </c>
      <c r="I142" s="17">
        <v>173242</v>
      </c>
      <c r="J142" s="17">
        <v>46032</v>
      </c>
      <c r="K142" s="17">
        <v>0</v>
      </c>
      <c r="L142" s="17">
        <v>1000.1785714285714</v>
      </c>
      <c r="M142" s="17">
        <v>1150</v>
      </c>
      <c r="N142" s="17">
        <v>207723</v>
      </c>
      <c r="O142" s="17">
        <v>57405</v>
      </c>
      <c r="P142" s="17">
        <v>0</v>
      </c>
      <c r="Q142" s="17">
        <v>941.45161290322585</v>
      </c>
      <c r="R142" s="17">
        <v>1150</v>
      </c>
      <c r="S142" s="17">
        <v>232022</v>
      </c>
      <c r="T142" s="17">
        <v>51228</v>
      </c>
      <c r="U142" s="17">
        <v>0</v>
      </c>
      <c r="V142" s="17">
        <v>944.33333333333337</v>
      </c>
      <c r="W142" s="17">
        <v>1135</v>
      </c>
      <c r="X142" s="17">
        <v>213538</v>
      </c>
      <c r="Y142" s="17">
        <v>58023</v>
      </c>
      <c r="Z142" s="17">
        <v>0</v>
      </c>
      <c r="AA142" s="17">
        <v>913.22580645161293</v>
      </c>
      <c r="AB142" s="17">
        <v>1087.4193548387098</v>
      </c>
      <c r="AC142" s="17">
        <v>209700</v>
      </c>
      <c r="AD142" s="17">
        <v>54060</v>
      </c>
      <c r="AE142" s="17">
        <v>0</v>
      </c>
      <c r="AF142" s="17">
        <v>924.83333333333337</v>
      </c>
      <c r="AG142" s="17">
        <v>1079.3333333333333</v>
      </c>
      <c r="AH142" s="17">
        <v>195058</v>
      </c>
      <c r="AI142" s="17">
        <v>73024</v>
      </c>
      <c r="AJ142" s="17">
        <v>0</v>
      </c>
      <c r="AK142" s="17">
        <v>920.64516129032256</v>
      </c>
      <c r="AL142" s="17">
        <v>1090</v>
      </c>
      <c r="AM142" s="17">
        <v>177271</v>
      </c>
      <c r="AN142" s="17">
        <v>62542</v>
      </c>
      <c r="AO142" s="17">
        <v>0</v>
      </c>
      <c r="AP142" s="17">
        <v>910</v>
      </c>
      <c r="AQ142" s="17">
        <v>1109.3548387096773</v>
      </c>
      <c r="AR142" s="17">
        <v>275869</v>
      </c>
      <c r="AS142" s="17">
        <v>61895</v>
      </c>
      <c r="AT142" s="17">
        <v>0</v>
      </c>
      <c r="AU142" s="17">
        <v>892</v>
      </c>
      <c r="AV142" s="17">
        <v>1100</v>
      </c>
      <c r="AW142" s="17">
        <v>241697</v>
      </c>
      <c r="AX142" s="17">
        <v>63343</v>
      </c>
      <c r="AY142" s="17">
        <v>0</v>
      </c>
      <c r="AZ142" s="17">
        <v>913.22580645161293</v>
      </c>
      <c r="BA142" s="17">
        <v>1088.0645161290322</v>
      </c>
      <c r="BB142" s="17">
        <v>257823</v>
      </c>
      <c r="BC142" s="17">
        <v>66108</v>
      </c>
      <c r="BD142" s="17">
        <v>0</v>
      </c>
      <c r="BE142" s="17">
        <v>919.33333333333337</v>
      </c>
      <c r="BF142" s="17">
        <v>1063.3333333333333</v>
      </c>
      <c r="BG142" s="17">
        <v>263414</v>
      </c>
      <c r="BH142" s="17">
        <v>52479</v>
      </c>
      <c r="BI142" s="17">
        <v>0</v>
      </c>
      <c r="BJ142" s="17">
        <v>895.32258064516134</v>
      </c>
      <c r="BK142" s="17">
        <v>1044.8387096774193</v>
      </c>
    </row>
    <row r="143" spans="1:63" x14ac:dyDescent="0.35">
      <c r="A143" s="41">
        <v>139</v>
      </c>
      <c r="B143" s="41" t="s">
        <v>237</v>
      </c>
      <c r="C143" s="43" t="s">
        <v>159</v>
      </c>
      <c r="D143" s="17">
        <v>116723</v>
      </c>
      <c r="E143" s="17">
        <v>8801</v>
      </c>
      <c r="F143" s="17">
        <v>0</v>
      </c>
      <c r="G143" s="17">
        <v>1005.9677419354839</v>
      </c>
      <c r="H143" s="17">
        <v>1150</v>
      </c>
      <c r="I143" s="17">
        <v>92643</v>
      </c>
      <c r="J143" s="17">
        <v>6337</v>
      </c>
      <c r="K143" s="17">
        <v>0</v>
      </c>
      <c r="L143" s="17">
        <v>996.42857142857144</v>
      </c>
      <c r="M143" s="17">
        <v>1150</v>
      </c>
      <c r="N143" s="17">
        <v>90663</v>
      </c>
      <c r="O143" s="17">
        <v>8619</v>
      </c>
      <c r="P143" s="17">
        <v>0</v>
      </c>
      <c r="Q143" s="17">
        <v>936.29032258064512</v>
      </c>
      <c r="R143" s="17">
        <v>1150</v>
      </c>
      <c r="S143" s="17">
        <v>95440</v>
      </c>
      <c r="T143" s="17">
        <v>9752</v>
      </c>
      <c r="U143" s="17">
        <v>0</v>
      </c>
      <c r="V143" s="17">
        <v>944.33333333333337</v>
      </c>
      <c r="W143" s="17">
        <v>1135</v>
      </c>
      <c r="X143" s="17">
        <v>102163</v>
      </c>
      <c r="Y143" s="17">
        <v>9232</v>
      </c>
      <c r="Z143" s="17">
        <v>0</v>
      </c>
      <c r="AA143" s="17">
        <v>904.83870967741939</v>
      </c>
      <c r="AB143" s="17">
        <v>1087.4193548387098</v>
      </c>
      <c r="AC143" s="17">
        <v>72913</v>
      </c>
      <c r="AD143" s="17">
        <v>12764</v>
      </c>
      <c r="AE143" s="17">
        <v>0</v>
      </c>
      <c r="AF143" s="17">
        <v>924.83333333333337</v>
      </c>
      <c r="AG143" s="17">
        <v>1079.3333333333333</v>
      </c>
      <c r="AH143" s="17">
        <v>83898</v>
      </c>
      <c r="AI143" s="17">
        <v>14036</v>
      </c>
      <c r="AJ143" s="17">
        <v>0</v>
      </c>
      <c r="AK143" s="17">
        <v>920.64516129032256</v>
      </c>
      <c r="AL143" s="17">
        <v>1090</v>
      </c>
      <c r="AM143" s="17">
        <v>75708</v>
      </c>
      <c r="AN143" s="17">
        <v>12460</v>
      </c>
      <c r="AO143" s="17">
        <v>0</v>
      </c>
      <c r="AP143" s="17">
        <v>910</v>
      </c>
      <c r="AQ143" s="17">
        <v>1109.3548387096773</v>
      </c>
      <c r="AR143" s="17">
        <v>82839</v>
      </c>
      <c r="AS143" s="17">
        <v>14183</v>
      </c>
      <c r="AT143" s="17">
        <v>0</v>
      </c>
      <c r="AU143" s="17">
        <v>892</v>
      </c>
      <c r="AV143" s="17">
        <v>1100</v>
      </c>
      <c r="AW143" s="17">
        <v>78960</v>
      </c>
      <c r="AX143" s="17">
        <v>12913</v>
      </c>
      <c r="AY143" s="17">
        <v>0</v>
      </c>
      <c r="AZ143" s="17">
        <v>913.22580645161293</v>
      </c>
      <c r="BA143" s="17">
        <v>1088.0645161290322</v>
      </c>
      <c r="BB143" s="17">
        <v>77881</v>
      </c>
      <c r="BC143" s="17">
        <v>17809</v>
      </c>
      <c r="BD143" s="17">
        <v>0</v>
      </c>
      <c r="BE143" s="17">
        <v>919.33333333333337</v>
      </c>
      <c r="BF143" s="17">
        <v>1063.3333333333333</v>
      </c>
      <c r="BG143" s="17">
        <v>83983</v>
      </c>
      <c r="BH143" s="17">
        <v>16766</v>
      </c>
      <c r="BI143" s="17">
        <v>0</v>
      </c>
      <c r="BJ143" s="17">
        <v>895.32258064516134</v>
      </c>
      <c r="BK143" s="17">
        <v>1044.8387096774193</v>
      </c>
    </row>
    <row r="144" spans="1:63" x14ac:dyDescent="0.35">
      <c r="A144" s="41">
        <v>140</v>
      </c>
      <c r="B144" s="41" t="s">
        <v>237</v>
      </c>
      <c r="C144" s="43" t="s">
        <v>160</v>
      </c>
      <c r="D144" s="17">
        <v>87403</v>
      </c>
      <c r="E144" s="17">
        <v>7682</v>
      </c>
      <c r="F144" s="17">
        <v>0</v>
      </c>
      <c r="G144" s="17">
        <v>1005.9677419354839</v>
      </c>
      <c r="H144" s="17">
        <v>1150</v>
      </c>
      <c r="I144" s="17">
        <v>74823</v>
      </c>
      <c r="J144" s="17">
        <v>8318</v>
      </c>
      <c r="K144" s="17">
        <v>0</v>
      </c>
      <c r="L144" s="17">
        <v>996.42857142857144</v>
      </c>
      <c r="M144" s="17">
        <v>1150</v>
      </c>
      <c r="N144" s="17">
        <v>73389</v>
      </c>
      <c r="O144" s="17">
        <v>16409</v>
      </c>
      <c r="P144" s="17">
        <v>0</v>
      </c>
      <c r="Q144" s="17">
        <v>936.61290322580646</v>
      </c>
      <c r="R144" s="17">
        <v>1150</v>
      </c>
      <c r="S144" s="17">
        <v>64412</v>
      </c>
      <c r="T144" s="17">
        <v>7983</v>
      </c>
      <c r="U144" s="17">
        <v>0</v>
      </c>
      <c r="V144" s="17">
        <v>944.33333333333337</v>
      </c>
      <c r="W144" s="17">
        <v>1135</v>
      </c>
      <c r="X144" s="17">
        <v>69849</v>
      </c>
      <c r="Y144" s="17">
        <v>10115</v>
      </c>
      <c r="Z144" s="17">
        <v>0</v>
      </c>
      <c r="AA144" s="17">
        <v>904.83870967741939</v>
      </c>
      <c r="AB144" s="17">
        <v>1087.4193548387098</v>
      </c>
      <c r="AC144" s="17">
        <v>68464</v>
      </c>
      <c r="AD144" s="17">
        <v>5867</v>
      </c>
      <c r="AE144" s="17">
        <v>0</v>
      </c>
      <c r="AF144" s="17">
        <v>924.83333333333337</v>
      </c>
      <c r="AG144" s="17">
        <v>1079.3333333333333</v>
      </c>
      <c r="AH144" s="17">
        <v>57209</v>
      </c>
      <c r="AI144" s="17">
        <v>6428</v>
      </c>
      <c r="AJ144" s="17">
        <v>0</v>
      </c>
      <c r="AK144" s="17">
        <v>920.64516129032256</v>
      </c>
      <c r="AL144" s="17">
        <v>1090</v>
      </c>
      <c r="AM144" s="17">
        <v>56872</v>
      </c>
      <c r="AN144" s="17">
        <v>4895</v>
      </c>
      <c r="AO144" s="17">
        <v>0</v>
      </c>
      <c r="AP144" s="17">
        <v>910</v>
      </c>
      <c r="AQ144" s="17">
        <v>1109.3548387096773</v>
      </c>
      <c r="AR144" s="17">
        <v>62525</v>
      </c>
      <c r="AS144" s="17">
        <v>4131</v>
      </c>
      <c r="AT144" s="17">
        <v>0</v>
      </c>
      <c r="AU144" s="17">
        <v>892</v>
      </c>
      <c r="AV144" s="17">
        <v>1100</v>
      </c>
      <c r="AW144" s="17">
        <v>59151</v>
      </c>
      <c r="AX144" s="17">
        <v>12296</v>
      </c>
      <c r="AY144" s="17">
        <v>0</v>
      </c>
      <c r="AZ144" s="17">
        <v>913.22580645161293</v>
      </c>
      <c r="BA144" s="17">
        <v>1088.0645161290322</v>
      </c>
      <c r="BB144" s="17">
        <v>66097</v>
      </c>
      <c r="BC144" s="17">
        <v>6357</v>
      </c>
      <c r="BD144" s="17">
        <v>0</v>
      </c>
      <c r="BE144" s="17">
        <v>919.33333333333337</v>
      </c>
      <c r="BF144" s="17">
        <v>1063.3333333333333</v>
      </c>
      <c r="BG144" s="17">
        <v>59385</v>
      </c>
      <c r="BH144" s="17">
        <v>4265</v>
      </c>
      <c r="BI144" s="17">
        <v>0</v>
      </c>
      <c r="BJ144" s="17">
        <v>895.32258064516134</v>
      </c>
      <c r="BK144" s="17">
        <v>1044.8387096774193</v>
      </c>
    </row>
    <row r="145" spans="1:63" x14ac:dyDescent="0.35">
      <c r="A145" s="41">
        <v>141</v>
      </c>
      <c r="B145" s="41" t="s">
        <v>249</v>
      </c>
      <c r="C145" s="43" t="s">
        <v>161</v>
      </c>
      <c r="D145" s="17">
        <v>271298</v>
      </c>
      <c r="E145" s="17">
        <v>24306</v>
      </c>
      <c r="F145" s="17">
        <v>0</v>
      </c>
      <c r="G145" s="17">
        <v>1012.0967741935484</v>
      </c>
      <c r="H145" s="17">
        <v>1163.8709677419354</v>
      </c>
      <c r="I145" s="17">
        <v>244217</v>
      </c>
      <c r="J145" s="17">
        <v>35329</v>
      </c>
      <c r="K145" s="17">
        <v>0</v>
      </c>
      <c r="L145" s="17">
        <v>1002.3214285714286</v>
      </c>
      <c r="M145" s="17">
        <v>1159.6428571428571</v>
      </c>
      <c r="N145" s="17">
        <v>255578</v>
      </c>
      <c r="O145" s="17">
        <v>44722</v>
      </c>
      <c r="P145" s="17">
        <v>0</v>
      </c>
      <c r="Q145" s="17">
        <v>948.06451612903231</v>
      </c>
      <c r="R145" s="17">
        <v>1147.0967741935483</v>
      </c>
      <c r="S145" s="17">
        <v>250578</v>
      </c>
      <c r="T145" s="17">
        <v>46488</v>
      </c>
      <c r="U145" s="17">
        <v>0</v>
      </c>
      <c r="V145" s="17">
        <v>944.33333333333337</v>
      </c>
      <c r="W145" s="17">
        <v>1122.3333333333333</v>
      </c>
      <c r="X145" s="17">
        <v>278118</v>
      </c>
      <c r="Y145" s="17">
        <v>25912</v>
      </c>
      <c r="Z145" s="17">
        <v>0</v>
      </c>
      <c r="AA145" s="17">
        <v>912.90322580645159</v>
      </c>
      <c r="AB145" s="17">
        <v>1087.4193548387098</v>
      </c>
      <c r="AC145" s="17">
        <v>259987</v>
      </c>
      <c r="AD145" s="17">
        <v>38323</v>
      </c>
      <c r="AE145" s="17">
        <v>0</v>
      </c>
      <c r="AF145" s="17">
        <v>924.83333333333337</v>
      </c>
      <c r="AG145" s="17">
        <v>1080</v>
      </c>
      <c r="AH145" s="17">
        <v>232222</v>
      </c>
      <c r="AI145" s="17">
        <v>42560</v>
      </c>
      <c r="AJ145" s="17">
        <v>0</v>
      </c>
      <c r="AK145" s="17">
        <v>919.0322580645161</v>
      </c>
      <c r="AL145" s="17">
        <v>1087.741935483871</v>
      </c>
      <c r="AM145" s="17">
        <v>259359</v>
      </c>
      <c r="AN145" s="17">
        <v>30560</v>
      </c>
      <c r="AO145" s="17">
        <v>0</v>
      </c>
      <c r="AP145" s="17">
        <v>910</v>
      </c>
      <c r="AQ145" s="17">
        <v>1110</v>
      </c>
      <c r="AR145" s="17">
        <v>301248</v>
      </c>
      <c r="AS145" s="17">
        <v>29565</v>
      </c>
      <c r="AT145" s="17">
        <v>0</v>
      </c>
      <c r="AU145" s="17">
        <v>893</v>
      </c>
      <c r="AV145" s="17">
        <v>1100</v>
      </c>
      <c r="AW145" s="17">
        <v>212969</v>
      </c>
      <c r="AX145" s="17">
        <v>44869</v>
      </c>
      <c r="AY145" s="17">
        <v>0</v>
      </c>
      <c r="AZ145" s="17">
        <v>914.35483870967744</v>
      </c>
      <c r="BA145" s="17">
        <v>1085.1612903225807</v>
      </c>
      <c r="BB145" s="17">
        <v>207562</v>
      </c>
      <c r="BC145" s="17">
        <v>33596</v>
      </c>
      <c r="BD145" s="17">
        <v>0</v>
      </c>
      <c r="BE145" s="17">
        <v>918.33333333333337</v>
      </c>
      <c r="BF145" s="17">
        <v>1063.3333333333333</v>
      </c>
      <c r="BG145" s="17">
        <v>185593</v>
      </c>
      <c r="BH145" s="17">
        <v>35435</v>
      </c>
      <c r="BI145" s="17">
        <v>0</v>
      </c>
      <c r="BJ145" s="17">
        <v>895.16129032258061</v>
      </c>
      <c r="BK145" s="17">
        <v>1044.8387096774193</v>
      </c>
    </row>
    <row r="146" spans="1:63" x14ac:dyDescent="0.35">
      <c r="A146" s="41">
        <v>142</v>
      </c>
      <c r="B146" s="41" t="s">
        <v>249</v>
      </c>
      <c r="C146" s="43" t="s">
        <v>162</v>
      </c>
      <c r="D146" s="17">
        <v>267098</v>
      </c>
      <c r="E146" s="17">
        <v>62141</v>
      </c>
      <c r="F146" s="17">
        <v>0</v>
      </c>
      <c r="G146" s="17">
        <v>1012.0967741935484</v>
      </c>
      <c r="H146" s="17">
        <v>1163.8709677419354</v>
      </c>
      <c r="I146" s="17">
        <v>227684</v>
      </c>
      <c r="J146" s="17">
        <v>104072</v>
      </c>
      <c r="K146" s="17">
        <v>0</v>
      </c>
      <c r="L146" s="17">
        <v>1002.1428571428571</v>
      </c>
      <c r="M146" s="17">
        <v>1160</v>
      </c>
      <c r="N146" s="17">
        <v>255629</v>
      </c>
      <c r="O146" s="17">
        <v>102239</v>
      </c>
      <c r="P146" s="17">
        <v>0</v>
      </c>
      <c r="Q146" s="17">
        <v>948.06451612903231</v>
      </c>
      <c r="R146" s="17">
        <v>1147.0967741935483</v>
      </c>
      <c r="S146" s="17">
        <v>234164</v>
      </c>
      <c r="T146" s="17">
        <v>80767</v>
      </c>
      <c r="U146" s="17">
        <v>0</v>
      </c>
      <c r="V146" s="17">
        <v>944.33333333333337</v>
      </c>
      <c r="W146" s="17">
        <v>1121</v>
      </c>
      <c r="X146" s="17">
        <v>206470</v>
      </c>
      <c r="Y146" s="17">
        <v>49847</v>
      </c>
      <c r="Z146" s="17">
        <v>0</v>
      </c>
      <c r="AA146" s="17">
        <v>913.22580645161293</v>
      </c>
      <c r="AB146" s="17">
        <v>1087.4193548387098</v>
      </c>
      <c r="AC146" s="17">
        <v>181693</v>
      </c>
      <c r="AD146" s="17">
        <v>37794</v>
      </c>
      <c r="AE146" s="17">
        <v>0</v>
      </c>
      <c r="AF146" s="17">
        <v>925</v>
      </c>
      <c r="AG146" s="17">
        <v>1079.6666666666667</v>
      </c>
      <c r="AH146" s="17">
        <v>177787</v>
      </c>
      <c r="AI146" s="17">
        <v>57110</v>
      </c>
      <c r="AJ146" s="17">
        <v>0</v>
      </c>
      <c r="AK146" s="17">
        <v>919.0322580645161</v>
      </c>
      <c r="AL146" s="17">
        <v>1087.741935483871</v>
      </c>
      <c r="AM146" s="17">
        <v>180004</v>
      </c>
      <c r="AN146" s="17">
        <v>70666</v>
      </c>
      <c r="AO146" s="17">
        <v>0</v>
      </c>
      <c r="AP146" s="17">
        <v>910</v>
      </c>
      <c r="AQ146" s="17">
        <v>1110.6451612903227</v>
      </c>
      <c r="AR146" s="17">
        <v>206963</v>
      </c>
      <c r="AS146" s="17">
        <v>68234</v>
      </c>
      <c r="AT146" s="17">
        <v>0</v>
      </c>
      <c r="AU146" s="17">
        <v>892.33333333333337</v>
      </c>
      <c r="AV146" s="17">
        <v>1100</v>
      </c>
      <c r="AW146" s="17">
        <v>159775</v>
      </c>
      <c r="AX146" s="17">
        <v>59937</v>
      </c>
      <c r="AY146" s="17">
        <v>0</v>
      </c>
      <c r="AZ146" s="17">
        <v>915</v>
      </c>
      <c r="BA146" s="17">
        <v>1084.8387096774193</v>
      </c>
      <c r="BB146" s="17">
        <v>171902</v>
      </c>
      <c r="BC146" s="17">
        <v>69594</v>
      </c>
      <c r="BD146" s="17">
        <v>0</v>
      </c>
      <c r="BE146" s="17">
        <v>918.33333333333337</v>
      </c>
      <c r="BF146" s="17">
        <v>1063.3333333333333</v>
      </c>
      <c r="BG146" s="17">
        <v>164690</v>
      </c>
      <c r="BH146" s="17">
        <v>43700</v>
      </c>
      <c r="BI146" s="17">
        <v>0</v>
      </c>
      <c r="BJ146" s="17">
        <v>895.16129032258061</v>
      </c>
      <c r="BK146" s="17">
        <v>1044.8387096774193</v>
      </c>
    </row>
    <row r="147" spans="1:63" x14ac:dyDescent="0.35">
      <c r="A147" s="41">
        <v>143</v>
      </c>
      <c r="B147" s="41" t="s">
        <v>250</v>
      </c>
      <c r="C147" s="43" t="s">
        <v>163</v>
      </c>
      <c r="D147" s="17">
        <v>166732</v>
      </c>
      <c r="E147" s="17">
        <v>6451</v>
      </c>
      <c r="F147" s="17">
        <v>0</v>
      </c>
      <c r="G147" s="17">
        <v>1041.2903225806451</v>
      </c>
      <c r="H147" s="17">
        <v>1199.0322580645161</v>
      </c>
      <c r="I147" s="17">
        <v>97733</v>
      </c>
      <c r="J147" s="17">
        <v>5625</v>
      </c>
      <c r="K147" s="17">
        <v>0</v>
      </c>
      <c r="L147" s="17">
        <v>1027.8571428571429</v>
      </c>
      <c r="M147" s="17">
        <v>1200</v>
      </c>
      <c r="N147" s="17">
        <v>76996</v>
      </c>
      <c r="O147" s="17">
        <v>4627</v>
      </c>
      <c r="P147" s="17">
        <v>0</v>
      </c>
      <c r="Q147" s="17">
        <v>985.16129032258061</v>
      </c>
      <c r="R147" s="17">
        <v>1180</v>
      </c>
      <c r="S147" s="17">
        <v>118025</v>
      </c>
      <c r="T147" s="17">
        <v>4933</v>
      </c>
      <c r="U147" s="17">
        <v>0</v>
      </c>
      <c r="V147" s="17">
        <v>974.33333333333337</v>
      </c>
      <c r="W147" s="17">
        <v>1179.6666666666667</v>
      </c>
      <c r="X147" s="17">
        <v>83296</v>
      </c>
      <c r="Y147" s="17">
        <v>4667</v>
      </c>
      <c r="Z147" s="17">
        <v>60</v>
      </c>
      <c r="AA147" s="17">
        <v>938.22580645161293</v>
      </c>
      <c r="AB147" s="17">
        <v>1119.6774193548388</v>
      </c>
      <c r="AC147" s="17">
        <v>79904</v>
      </c>
      <c r="AD147" s="17">
        <v>8916</v>
      </c>
      <c r="AE147" s="17">
        <v>0</v>
      </c>
      <c r="AF147" s="17">
        <v>944</v>
      </c>
      <c r="AG147" s="17">
        <v>1111</v>
      </c>
      <c r="AH147" s="17">
        <v>61522</v>
      </c>
      <c r="AI147" s="17">
        <v>7675</v>
      </c>
      <c r="AJ147" s="17">
        <v>122</v>
      </c>
      <c r="AK147" s="17">
        <v>945.48387096774195</v>
      </c>
      <c r="AL147" s="17">
        <v>1109.6774193548388</v>
      </c>
      <c r="AM147" s="17">
        <v>80089</v>
      </c>
      <c r="AN147" s="17">
        <v>2831</v>
      </c>
      <c r="AO147" s="17">
        <v>84</v>
      </c>
      <c r="AP147" s="17">
        <v>930.9677419354839</v>
      </c>
      <c r="AQ147" s="17">
        <v>1127.741935483871</v>
      </c>
      <c r="AR147" s="17">
        <v>64677</v>
      </c>
      <c r="AS147" s="17">
        <v>1956</v>
      </c>
      <c r="AT147" s="17">
        <v>0</v>
      </c>
      <c r="AU147" s="17">
        <v>912.66666666666663</v>
      </c>
      <c r="AV147" s="17">
        <v>1110</v>
      </c>
      <c r="AW147" s="17">
        <v>83168</v>
      </c>
      <c r="AX147" s="17">
        <v>6443</v>
      </c>
      <c r="AY147" s="17">
        <v>0</v>
      </c>
      <c r="AZ147" s="17">
        <v>954.35483870967744</v>
      </c>
      <c r="BA147" s="17">
        <v>1104.1935483870968</v>
      </c>
      <c r="BB147" s="17">
        <v>80345</v>
      </c>
      <c r="BC147" s="17">
        <v>5378</v>
      </c>
      <c r="BD147" s="17">
        <v>0</v>
      </c>
      <c r="BE147" s="17">
        <v>964</v>
      </c>
      <c r="BF147" s="17">
        <v>1085</v>
      </c>
      <c r="BG147" s="17">
        <v>67653</v>
      </c>
      <c r="BH147" s="17">
        <v>5380</v>
      </c>
      <c r="BI147" s="17">
        <v>0</v>
      </c>
      <c r="BJ147" s="17">
        <v>937.09677419354841</v>
      </c>
      <c r="BK147" s="17">
        <v>1060</v>
      </c>
    </row>
    <row r="148" spans="1:63" x14ac:dyDescent="0.35">
      <c r="A148" s="41">
        <v>144</v>
      </c>
      <c r="B148" s="41" t="s">
        <v>244</v>
      </c>
      <c r="C148" s="43" t="s">
        <v>164</v>
      </c>
      <c r="D148" s="17">
        <v>230936</v>
      </c>
      <c r="E148" s="17">
        <v>3836</v>
      </c>
      <c r="F148" s="17">
        <v>0</v>
      </c>
      <c r="G148" s="17">
        <v>1036.4516129032259</v>
      </c>
      <c r="H148" s="17">
        <v>1180</v>
      </c>
      <c r="I148" s="17">
        <v>201956</v>
      </c>
      <c r="J148" s="17">
        <v>0</v>
      </c>
      <c r="K148" s="17">
        <v>0</v>
      </c>
      <c r="L148" s="17">
        <v>1014.2857142857143</v>
      </c>
      <c r="M148" s="17">
        <v>1173.9285714285713</v>
      </c>
      <c r="N148" s="17">
        <v>218592</v>
      </c>
      <c r="O148" s="17">
        <v>0</v>
      </c>
      <c r="P148" s="17">
        <v>0</v>
      </c>
      <c r="Q148" s="17">
        <v>962.58064516129036</v>
      </c>
      <c r="R148" s="17">
        <v>1170</v>
      </c>
      <c r="S148" s="17">
        <v>271115</v>
      </c>
      <c r="T148" s="17">
        <v>0</v>
      </c>
      <c r="U148" s="17">
        <v>0</v>
      </c>
      <c r="V148" s="17">
        <v>957.5</v>
      </c>
      <c r="W148" s="17">
        <v>1153.6666666666667</v>
      </c>
      <c r="X148" s="17">
        <v>235810</v>
      </c>
      <c r="Y148" s="17">
        <v>0</v>
      </c>
      <c r="Z148" s="17">
        <v>0</v>
      </c>
      <c r="AA148" s="17">
        <v>920.16129032258061</v>
      </c>
      <c r="AB148" s="17">
        <v>1111.6129032258063</v>
      </c>
      <c r="AC148" s="17">
        <v>175413</v>
      </c>
      <c r="AD148" s="17">
        <v>0</v>
      </c>
      <c r="AE148" s="17">
        <v>0</v>
      </c>
      <c r="AF148" s="17">
        <v>921.5</v>
      </c>
      <c r="AG148" s="17">
        <v>1095.3333333333333</v>
      </c>
      <c r="AH148" s="17">
        <v>168670</v>
      </c>
      <c r="AI148" s="17">
        <v>0</v>
      </c>
      <c r="AJ148" s="17">
        <v>0</v>
      </c>
      <c r="AK148" s="17">
        <v>918.70967741935488</v>
      </c>
      <c r="AL148" s="17">
        <v>1105.8064516129032</v>
      </c>
      <c r="AM148" s="17">
        <v>190874</v>
      </c>
      <c r="AN148" s="17">
        <v>0</v>
      </c>
      <c r="AO148" s="17">
        <v>0</v>
      </c>
      <c r="AP148" s="17">
        <v>919.51612903225805</v>
      </c>
      <c r="AQ148" s="17">
        <v>1116.7741935483871</v>
      </c>
      <c r="AR148" s="17">
        <v>192745</v>
      </c>
      <c r="AS148" s="17">
        <v>0</v>
      </c>
      <c r="AT148" s="17">
        <v>0</v>
      </c>
      <c r="AU148" s="17">
        <v>893.5</v>
      </c>
      <c r="AV148" s="17">
        <v>1100</v>
      </c>
      <c r="AW148" s="17">
        <v>171809</v>
      </c>
      <c r="AX148" s="17">
        <v>0</v>
      </c>
      <c r="AY148" s="17">
        <v>0</v>
      </c>
      <c r="AZ148" s="17">
        <v>935.16129032258061</v>
      </c>
      <c r="BA148" s="17">
        <v>1097.0967741935483</v>
      </c>
      <c r="BB148" s="17">
        <v>184417</v>
      </c>
      <c r="BC148" s="17">
        <v>0</v>
      </c>
      <c r="BD148" s="17">
        <v>0</v>
      </c>
      <c r="BE148" s="17">
        <v>943.33333333333337</v>
      </c>
      <c r="BF148" s="17">
        <v>1062</v>
      </c>
      <c r="BG148" s="17">
        <v>268754</v>
      </c>
      <c r="BH148" s="17">
        <v>0</v>
      </c>
      <c r="BI148" s="17">
        <v>0</v>
      </c>
      <c r="BJ148" s="17">
        <v>905.16129032258061</v>
      </c>
      <c r="BK148" s="17">
        <v>1060</v>
      </c>
    </row>
    <row r="149" spans="1:63" x14ac:dyDescent="0.35">
      <c r="A149" s="41">
        <v>145</v>
      </c>
      <c r="B149" s="41" t="s">
        <v>243</v>
      </c>
      <c r="C149" s="43" t="s">
        <v>165</v>
      </c>
      <c r="D149" s="17">
        <v>119548</v>
      </c>
      <c r="E149" s="17">
        <v>3165</v>
      </c>
      <c r="F149" s="17">
        <v>775</v>
      </c>
      <c r="G149" s="17">
        <v>1046.1290322580646</v>
      </c>
      <c r="H149" s="17">
        <v>1150</v>
      </c>
      <c r="I149" s="17">
        <v>118642</v>
      </c>
      <c r="J149" s="17">
        <v>5511</v>
      </c>
      <c r="K149" s="17">
        <v>705</v>
      </c>
      <c r="L149" s="17">
        <v>1001.25</v>
      </c>
      <c r="M149" s="17">
        <v>1148.5714285714287</v>
      </c>
      <c r="N149" s="17">
        <v>129733</v>
      </c>
      <c r="O149" s="17">
        <v>4846</v>
      </c>
      <c r="P149" s="17">
        <v>731</v>
      </c>
      <c r="Q149" s="17">
        <v>944.83870967741939</v>
      </c>
      <c r="R149" s="17">
        <v>1131.6129032258063</v>
      </c>
      <c r="S149" s="17">
        <v>128080</v>
      </c>
      <c r="T149" s="17">
        <v>3607</v>
      </c>
      <c r="U149" s="17">
        <v>814</v>
      </c>
      <c r="V149" s="17">
        <v>945.33333333333337</v>
      </c>
      <c r="W149" s="17">
        <v>1113.1666666666667</v>
      </c>
      <c r="X149" s="17">
        <v>122527</v>
      </c>
      <c r="Y149" s="17">
        <v>4183</v>
      </c>
      <c r="Z149" s="17">
        <v>512</v>
      </c>
      <c r="AA149" s="17">
        <v>915.80645161290317</v>
      </c>
      <c r="AB149" s="17">
        <v>1078.7096774193549</v>
      </c>
      <c r="AC149" s="17">
        <v>107767</v>
      </c>
      <c r="AD149" s="17">
        <v>3389</v>
      </c>
      <c r="AE149" s="17">
        <v>691</v>
      </c>
      <c r="AF149" s="17">
        <v>926.16666666666663</v>
      </c>
      <c r="AG149" s="17">
        <v>1073</v>
      </c>
      <c r="AH149" s="17">
        <v>96345</v>
      </c>
      <c r="AI149" s="17">
        <v>3912</v>
      </c>
      <c r="AJ149" s="17">
        <v>679</v>
      </c>
      <c r="AK149" s="17">
        <v>923.54838709677415</v>
      </c>
      <c r="AL149" s="17">
        <v>1090</v>
      </c>
      <c r="AM149" s="17">
        <v>99861</v>
      </c>
      <c r="AN149" s="17">
        <v>3825</v>
      </c>
      <c r="AO149" s="17">
        <v>1252</v>
      </c>
      <c r="AP149" s="17">
        <v>915.48387096774195</v>
      </c>
      <c r="AQ149" s="17">
        <v>1106.1290322580646</v>
      </c>
      <c r="AR149" s="17">
        <v>102696</v>
      </c>
      <c r="AS149" s="17">
        <v>4277</v>
      </c>
      <c r="AT149" s="17">
        <v>1084</v>
      </c>
      <c r="AU149" s="17">
        <v>900.66666666666663</v>
      </c>
      <c r="AV149" s="17">
        <v>1100</v>
      </c>
      <c r="AW149" s="17">
        <v>108225</v>
      </c>
      <c r="AX149" s="17">
        <v>3676</v>
      </c>
      <c r="AY149" s="17">
        <v>1144</v>
      </c>
      <c r="AZ149" s="17">
        <v>913.22580645161293</v>
      </c>
      <c r="BA149" s="17">
        <v>1094.8387096774193</v>
      </c>
      <c r="BB149" s="17">
        <v>111975</v>
      </c>
      <c r="BC149" s="17">
        <v>8423</v>
      </c>
      <c r="BD149" s="17">
        <v>648</v>
      </c>
      <c r="BE149" s="17">
        <v>919.5</v>
      </c>
      <c r="BF149" s="17">
        <v>1075.6666666666667</v>
      </c>
      <c r="BG149" s="17">
        <v>156229</v>
      </c>
      <c r="BH149" s="17">
        <v>4518</v>
      </c>
      <c r="BI149" s="17">
        <v>391</v>
      </c>
      <c r="BJ149" s="17">
        <v>901.45161290322585</v>
      </c>
      <c r="BK149" s="17">
        <v>1049.3548387096773</v>
      </c>
    </row>
    <row r="150" spans="1:63" x14ac:dyDescent="0.35">
      <c r="A150" s="41">
        <v>146</v>
      </c>
      <c r="B150" s="41" t="s">
        <v>239</v>
      </c>
      <c r="C150" s="43" t="s">
        <v>166</v>
      </c>
      <c r="D150" s="17">
        <v>216038</v>
      </c>
      <c r="E150" s="17">
        <v>45886</v>
      </c>
      <c r="F150" s="17">
        <v>0</v>
      </c>
      <c r="G150" s="17">
        <v>1017.0967741935484</v>
      </c>
      <c r="H150" s="17">
        <v>1164.516129032258</v>
      </c>
      <c r="I150" s="17">
        <v>163331</v>
      </c>
      <c r="J150" s="17">
        <v>35715</v>
      </c>
      <c r="K150" s="17">
        <v>0</v>
      </c>
      <c r="L150" s="17">
        <v>1001.7857142857143</v>
      </c>
      <c r="M150" s="17">
        <v>1168.9285714285713</v>
      </c>
      <c r="N150" s="17">
        <v>183881</v>
      </c>
      <c r="O150" s="17">
        <v>32952</v>
      </c>
      <c r="P150" s="17">
        <v>0</v>
      </c>
      <c r="Q150" s="17">
        <v>942.58064516129036</v>
      </c>
      <c r="R150" s="17">
        <v>1140</v>
      </c>
      <c r="S150" s="17">
        <v>200480</v>
      </c>
      <c r="T150" s="17">
        <v>31385</v>
      </c>
      <c r="U150" s="17">
        <v>0</v>
      </c>
      <c r="V150" s="17">
        <v>944.33333333333337</v>
      </c>
      <c r="W150" s="17">
        <v>1128</v>
      </c>
      <c r="X150" s="17">
        <v>184365</v>
      </c>
      <c r="Y150" s="17">
        <v>29781</v>
      </c>
      <c r="Z150" s="17">
        <v>0</v>
      </c>
      <c r="AA150" s="17">
        <v>913.22580645161293</v>
      </c>
      <c r="AB150" s="17">
        <v>1087.4193548387098</v>
      </c>
      <c r="AC150" s="17">
        <v>139557</v>
      </c>
      <c r="AD150" s="17">
        <v>24024</v>
      </c>
      <c r="AE150" s="17">
        <v>0</v>
      </c>
      <c r="AF150" s="17">
        <v>923.16666666666663</v>
      </c>
      <c r="AG150" s="17">
        <v>1071.6666666666667</v>
      </c>
      <c r="AH150" s="17">
        <v>129910</v>
      </c>
      <c r="AI150" s="17">
        <v>25505</v>
      </c>
      <c r="AJ150" s="17">
        <v>0</v>
      </c>
      <c r="AK150" s="17">
        <v>923.22580645161293</v>
      </c>
      <c r="AL150" s="17">
        <v>1090</v>
      </c>
      <c r="AM150" s="17">
        <v>138975</v>
      </c>
      <c r="AN150" s="17">
        <v>30023</v>
      </c>
      <c r="AO150" s="17">
        <v>0</v>
      </c>
      <c r="AP150" s="17">
        <v>911.61290322580646</v>
      </c>
      <c r="AQ150" s="17">
        <v>1109.3548387096773</v>
      </c>
      <c r="AR150" s="17">
        <v>139466</v>
      </c>
      <c r="AS150" s="17">
        <v>29885</v>
      </c>
      <c r="AT150" s="17">
        <v>0</v>
      </c>
      <c r="AU150" s="17">
        <v>892.66666666666663</v>
      </c>
      <c r="AV150" s="17">
        <v>1100</v>
      </c>
      <c r="AW150" s="17">
        <v>143623</v>
      </c>
      <c r="AX150" s="17">
        <v>24879</v>
      </c>
      <c r="AY150" s="17">
        <v>0</v>
      </c>
      <c r="AZ150" s="17">
        <v>913.22580645161293</v>
      </c>
      <c r="BA150" s="17">
        <v>1089.6774193548388</v>
      </c>
      <c r="BB150" s="17">
        <v>152085</v>
      </c>
      <c r="BC150" s="17">
        <v>30999</v>
      </c>
      <c r="BD150" s="17">
        <v>0</v>
      </c>
      <c r="BE150" s="17">
        <v>923.66666666666663</v>
      </c>
      <c r="BF150" s="17">
        <v>1060</v>
      </c>
      <c r="BG150" s="17">
        <v>187928</v>
      </c>
      <c r="BH150" s="17">
        <v>33852</v>
      </c>
      <c r="BI150" s="17">
        <v>0</v>
      </c>
      <c r="BJ150" s="17">
        <v>895.32258064516134</v>
      </c>
      <c r="BK150" s="17">
        <v>1049.6774193548388</v>
      </c>
    </row>
    <row r="151" spans="1:63" x14ac:dyDescent="0.35">
      <c r="A151" s="41">
        <v>147</v>
      </c>
      <c r="B151" s="41" t="s">
        <v>236</v>
      </c>
      <c r="C151" s="43" t="s">
        <v>167</v>
      </c>
      <c r="D151" s="17">
        <v>56823</v>
      </c>
      <c r="E151" s="17">
        <v>8370</v>
      </c>
      <c r="F151" s="17">
        <v>1664</v>
      </c>
      <c r="G151" s="17">
        <v>990.9677419354839</v>
      </c>
      <c r="H151" s="17">
        <v>1140.3225806451612</v>
      </c>
      <c r="I151" s="17">
        <v>57470</v>
      </c>
      <c r="J151" s="17">
        <v>10025</v>
      </c>
      <c r="K151" s="17">
        <v>1488</v>
      </c>
      <c r="L151" s="17">
        <v>980.57142857142856</v>
      </c>
      <c r="M151" s="17">
        <v>1140</v>
      </c>
      <c r="N151" s="17">
        <v>50282</v>
      </c>
      <c r="O151" s="17">
        <v>10280</v>
      </c>
      <c r="P151" s="17">
        <v>6775</v>
      </c>
      <c r="Q151" s="17">
        <v>907.41935483870964</v>
      </c>
      <c r="R151" s="17">
        <v>1127.9032258064517</v>
      </c>
      <c r="S151" s="17">
        <v>69882</v>
      </c>
      <c r="T151" s="17">
        <v>8618</v>
      </c>
      <c r="U151" s="17">
        <v>6272</v>
      </c>
      <c r="V151" s="17">
        <v>921.06666666666672</v>
      </c>
      <c r="W151" s="17">
        <v>1115.5</v>
      </c>
      <c r="X151" s="17">
        <v>75803</v>
      </c>
      <c r="Y151" s="17">
        <v>6622</v>
      </c>
      <c r="Z151" s="17">
        <v>2825</v>
      </c>
      <c r="AA151" s="17">
        <v>881.70967741935488</v>
      </c>
      <c r="AB151" s="17">
        <v>1046.1290322580646</v>
      </c>
      <c r="AC151" s="17">
        <v>95770</v>
      </c>
      <c r="AD151" s="17">
        <v>9146</v>
      </c>
      <c r="AE151" s="17">
        <v>6777</v>
      </c>
      <c r="AF151" s="17">
        <v>891.83333333333337</v>
      </c>
      <c r="AG151" s="17">
        <v>1047.3333333333333</v>
      </c>
      <c r="AH151" s="17">
        <v>66381</v>
      </c>
      <c r="AI151" s="17">
        <v>8232</v>
      </c>
      <c r="AJ151" s="17">
        <v>3453</v>
      </c>
      <c r="AK151" s="17">
        <v>896.61290322580646</v>
      </c>
      <c r="AL151" s="17">
        <v>1067.4193548387098</v>
      </c>
      <c r="AM151" s="17">
        <v>73026</v>
      </c>
      <c r="AN151" s="17">
        <v>8332</v>
      </c>
      <c r="AO151" s="17">
        <v>1906</v>
      </c>
      <c r="AP151" s="17">
        <v>879.35483870967744</v>
      </c>
      <c r="AQ151" s="17">
        <v>1077.741935483871</v>
      </c>
      <c r="AR151" s="17">
        <v>78590</v>
      </c>
      <c r="AS151" s="17">
        <v>8362</v>
      </c>
      <c r="AT151" s="17">
        <v>1512</v>
      </c>
      <c r="AU151" s="17">
        <v>870.83333333333337</v>
      </c>
      <c r="AV151" s="17">
        <v>1050</v>
      </c>
      <c r="AW151" s="17">
        <v>98568</v>
      </c>
      <c r="AX151" s="17">
        <v>5620</v>
      </c>
      <c r="AY151" s="17">
        <v>0</v>
      </c>
      <c r="AZ151" s="17">
        <v>902.90322580645159</v>
      </c>
      <c r="BA151" s="17">
        <v>1042.5806451612902</v>
      </c>
      <c r="BB151" s="17">
        <v>84153</v>
      </c>
      <c r="BC151" s="17">
        <v>7828</v>
      </c>
      <c r="BD151" s="17">
        <v>0</v>
      </c>
      <c r="BE151" s="17">
        <v>909.33333333333337</v>
      </c>
      <c r="BF151" s="17">
        <v>1020.6666666666666</v>
      </c>
      <c r="BG151" s="17">
        <v>73539</v>
      </c>
      <c r="BH151" s="17">
        <v>10703</v>
      </c>
      <c r="BI151" s="17">
        <v>0</v>
      </c>
      <c r="BJ151" s="17">
        <v>896.61290322580646</v>
      </c>
      <c r="BK151" s="17">
        <v>1008.3870967741935</v>
      </c>
    </row>
    <row r="152" spans="1:63" x14ac:dyDescent="0.35">
      <c r="A152" s="41">
        <v>148</v>
      </c>
      <c r="B152" s="41" t="s">
        <v>242</v>
      </c>
      <c r="C152" s="43" t="s">
        <v>168</v>
      </c>
      <c r="D152" s="17">
        <v>172860</v>
      </c>
      <c r="E152" s="17">
        <v>102958</v>
      </c>
      <c r="F152" s="17">
        <v>0</v>
      </c>
      <c r="G152" s="17">
        <v>1008.0645161290323</v>
      </c>
      <c r="H152" s="17">
        <v>1156.7741935483871</v>
      </c>
      <c r="I152" s="17">
        <v>141510</v>
      </c>
      <c r="J152" s="17">
        <v>123745</v>
      </c>
      <c r="K152" s="17">
        <v>0</v>
      </c>
      <c r="L152" s="17">
        <v>994.46428571428567</v>
      </c>
      <c r="M152" s="17">
        <v>1140.3571428571429</v>
      </c>
      <c r="N152" s="17">
        <v>131129</v>
      </c>
      <c r="O152" s="17">
        <v>98732</v>
      </c>
      <c r="P152" s="17">
        <v>0</v>
      </c>
      <c r="Q152" s="17">
        <v>940.32258064516134</v>
      </c>
      <c r="R152" s="17">
        <v>1140</v>
      </c>
      <c r="S152" s="17">
        <v>80964</v>
      </c>
      <c r="T152" s="17">
        <v>61251</v>
      </c>
      <c r="U152" s="17">
        <v>0</v>
      </c>
      <c r="V152" s="17">
        <v>944</v>
      </c>
      <c r="W152" s="17">
        <v>1120</v>
      </c>
      <c r="X152" s="17">
        <v>74575</v>
      </c>
      <c r="Y152" s="17">
        <v>69214</v>
      </c>
      <c r="Z152" s="17">
        <v>0</v>
      </c>
      <c r="AA152" s="17">
        <v>913.22580645161293</v>
      </c>
      <c r="AB152" s="17">
        <v>1075.8064516129032</v>
      </c>
      <c r="AC152" s="17">
        <v>63134</v>
      </c>
      <c r="AD152" s="17">
        <v>58997</v>
      </c>
      <c r="AE152" s="17">
        <v>0</v>
      </c>
      <c r="AF152" s="17">
        <v>923.5</v>
      </c>
      <c r="AG152" s="17">
        <v>1076</v>
      </c>
      <c r="AH152" s="17">
        <v>56577</v>
      </c>
      <c r="AI152" s="17">
        <v>65536</v>
      </c>
      <c r="AJ152" s="17">
        <v>0</v>
      </c>
      <c r="AK152" s="17">
        <v>920</v>
      </c>
      <c r="AL152" s="17">
        <v>1090</v>
      </c>
      <c r="AM152" s="17">
        <v>77446</v>
      </c>
      <c r="AN152" s="17">
        <v>59042</v>
      </c>
      <c r="AO152" s="17">
        <v>0</v>
      </c>
      <c r="AP152" s="17">
        <v>910</v>
      </c>
      <c r="AQ152" s="17">
        <v>1109.3548387096773</v>
      </c>
      <c r="AR152" s="17">
        <v>49726</v>
      </c>
      <c r="AS152" s="17">
        <v>42975</v>
      </c>
      <c r="AT152" s="17">
        <v>0</v>
      </c>
      <c r="AU152" s="17">
        <v>891.66666666666663</v>
      </c>
      <c r="AV152" s="17">
        <v>1100</v>
      </c>
      <c r="AW152" s="17">
        <v>64692</v>
      </c>
      <c r="AX152" s="17">
        <v>42301</v>
      </c>
      <c r="AY152" s="17">
        <v>0</v>
      </c>
      <c r="AZ152" s="17">
        <v>912.09677419354841</v>
      </c>
      <c r="BA152" s="17">
        <v>1087.741935483871</v>
      </c>
      <c r="BB152" s="17">
        <v>95670</v>
      </c>
      <c r="BC152" s="17">
        <v>51908</v>
      </c>
      <c r="BD152" s="17">
        <v>0</v>
      </c>
      <c r="BE152" s="17">
        <v>919.16666666666663</v>
      </c>
      <c r="BF152" s="17">
        <v>1063.3333333333333</v>
      </c>
      <c r="BG152" s="17">
        <v>193039</v>
      </c>
      <c r="BH152" s="17">
        <v>60132</v>
      </c>
      <c r="BI152" s="17">
        <v>0</v>
      </c>
      <c r="BJ152" s="17">
        <v>895.32258064516134</v>
      </c>
      <c r="BK152" s="17">
        <v>1044.8387096774193</v>
      </c>
    </row>
    <row r="153" spans="1:63" x14ac:dyDescent="0.35">
      <c r="A153" s="41">
        <v>149</v>
      </c>
      <c r="B153" s="41" t="s">
        <v>243</v>
      </c>
      <c r="C153" s="43" t="s">
        <v>169</v>
      </c>
      <c r="D153" s="17">
        <v>129259</v>
      </c>
      <c r="E153" s="17">
        <v>22401</v>
      </c>
      <c r="F153" s="17">
        <v>0</v>
      </c>
      <c r="G153" s="17">
        <v>1022.5806451612904</v>
      </c>
      <c r="H153" s="17">
        <v>1150</v>
      </c>
      <c r="I153" s="17">
        <v>114660</v>
      </c>
      <c r="J153" s="17">
        <v>16853</v>
      </c>
      <c r="K153" s="17">
        <v>0</v>
      </c>
      <c r="L153" s="17">
        <v>997.85714285714289</v>
      </c>
      <c r="M153" s="17">
        <v>1148.5714285714287</v>
      </c>
      <c r="N153" s="17">
        <v>127424</v>
      </c>
      <c r="O153" s="17">
        <v>18764</v>
      </c>
      <c r="P153" s="17">
        <v>0</v>
      </c>
      <c r="Q153" s="17">
        <v>938.87096774193549</v>
      </c>
      <c r="R153" s="17">
        <v>1140</v>
      </c>
      <c r="S153" s="17">
        <v>123808</v>
      </c>
      <c r="T153" s="17">
        <v>20369</v>
      </c>
      <c r="U153" s="17">
        <v>0</v>
      </c>
      <c r="V153" s="17">
        <v>946.66666666666663</v>
      </c>
      <c r="W153" s="17">
        <v>1117</v>
      </c>
      <c r="X153" s="17">
        <v>117618</v>
      </c>
      <c r="Y153" s="17">
        <v>19722</v>
      </c>
      <c r="Z153" s="17">
        <v>0</v>
      </c>
      <c r="AA153" s="17">
        <v>914.0322580645161</v>
      </c>
      <c r="AB153" s="17">
        <v>1081.6129032258063</v>
      </c>
      <c r="AC153" s="17">
        <v>108548</v>
      </c>
      <c r="AD153" s="17">
        <v>17785</v>
      </c>
      <c r="AE153" s="17">
        <v>0</v>
      </c>
      <c r="AF153" s="17">
        <v>920.16666666666663</v>
      </c>
      <c r="AG153" s="17">
        <v>1071</v>
      </c>
      <c r="AH153" s="17">
        <v>104509</v>
      </c>
      <c r="AI153" s="17">
        <v>18561</v>
      </c>
      <c r="AJ153" s="17">
        <v>0</v>
      </c>
      <c r="AK153" s="17">
        <v>920.32258064516134</v>
      </c>
      <c r="AL153" s="17">
        <v>1090</v>
      </c>
      <c r="AM153" s="17">
        <v>99697</v>
      </c>
      <c r="AN153" s="17">
        <v>23508</v>
      </c>
      <c r="AO153" s="17">
        <v>0</v>
      </c>
      <c r="AP153" s="17">
        <v>915.48387096774195</v>
      </c>
      <c r="AQ153" s="17">
        <v>1107.741935483871</v>
      </c>
      <c r="AR153" s="17">
        <v>103378</v>
      </c>
      <c r="AS153" s="17">
        <v>19677</v>
      </c>
      <c r="AT153" s="17">
        <v>0</v>
      </c>
      <c r="AU153" s="17">
        <v>893.66666666666663</v>
      </c>
      <c r="AV153" s="17">
        <v>1100</v>
      </c>
      <c r="AW153" s="17">
        <v>97630</v>
      </c>
      <c r="AX153" s="17">
        <v>19123</v>
      </c>
      <c r="AY153" s="17">
        <v>0</v>
      </c>
      <c r="AZ153" s="17">
        <v>913.22580645161293</v>
      </c>
      <c r="BA153" s="17">
        <v>1093.2258064516129</v>
      </c>
      <c r="BB153" s="17">
        <v>99771</v>
      </c>
      <c r="BC153" s="17">
        <v>23988</v>
      </c>
      <c r="BD153" s="17">
        <v>0</v>
      </c>
      <c r="BE153" s="17">
        <v>919.5</v>
      </c>
      <c r="BF153" s="17">
        <v>1075.6666666666667</v>
      </c>
      <c r="BG153" s="17">
        <v>105491</v>
      </c>
      <c r="BH153" s="17">
        <v>39578</v>
      </c>
      <c r="BI153" s="17">
        <v>0</v>
      </c>
      <c r="BJ153" s="17">
        <v>901.45161290322585</v>
      </c>
      <c r="BK153" s="17">
        <v>1059.6774193548388</v>
      </c>
    </row>
    <row r="154" spans="1:63" x14ac:dyDescent="0.35">
      <c r="A154" s="41">
        <v>150</v>
      </c>
      <c r="B154" s="41" t="s">
        <v>240</v>
      </c>
      <c r="C154" s="43" t="s">
        <v>170</v>
      </c>
      <c r="D154" s="17">
        <v>176239</v>
      </c>
      <c r="E154" s="17">
        <v>32189</v>
      </c>
      <c r="F154" s="17">
        <v>1276</v>
      </c>
      <c r="G154" s="17">
        <v>1054.516129032258</v>
      </c>
      <c r="H154" s="17">
        <v>1180.6451612903227</v>
      </c>
      <c r="I154" s="17">
        <v>112807</v>
      </c>
      <c r="J154" s="17">
        <v>40093</v>
      </c>
      <c r="K154" s="17">
        <v>1039</v>
      </c>
      <c r="L154" s="17">
        <v>1014.2857142857143</v>
      </c>
      <c r="M154" s="17">
        <v>1180.3571428571429</v>
      </c>
      <c r="N154" s="17">
        <v>126825</v>
      </c>
      <c r="O154" s="17">
        <v>44739</v>
      </c>
      <c r="P154" s="17">
        <v>1167</v>
      </c>
      <c r="Q154" s="17">
        <v>956.77419354838707</v>
      </c>
      <c r="R154" s="17">
        <v>1162.5806451612902</v>
      </c>
      <c r="S154" s="17">
        <v>148044</v>
      </c>
      <c r="T154" s="17">
        <v>46499</v>
      </c>
      <c r="U154" s="17">
        <v>693</v>
      </c>
      <c r="V154" s="17">
        <v>956.66666666666663</v>
      </c>
      <c r="W154" s="17">
        <v>1150</v>
      </c>
      <c r="X154" s="17">
        <v>121390</v>
      </c>
      <c r="Y154" s="17">
        <v>33645</v>
      </c>
      <c r="Z154" s="17">
        <v>821</v>
      </c>
      <c r="AA154" s="17">
        <v>932.90322580645159</v>
      </c>
      <c r="AB154" s="17">
        <v>1127.741935483871</v>
      </c>
      <c r="AC154" s="17">
        <v>87979</v>
      </c>
      <c r="AD154" s="17">
        <v>36146</v>
      </c>
      <c r="AE154" s="17">
        <v>640</v>
      </c>
      <c r="AF154" s="17">
        <v>925.66666666666663</v>
      </c>
      <c r="AG154" s="17">
        <v>1103</v>
      </c>
      <c r="AH154" s="17">
        <v>90379</v>
      </c>
      <c r="AI154" s="17">
        <v>39363</v>
      </c>
      <c r="AJ154" s="17">
        <v>864</v>
      </c>
      <c r="AK154" s="17">
        <v>930.32258064516134</v>
      </c>
      <c r="AL154" s="17">
        <v>1107.4193548387098</v>
      </c>
      <c r="AM154" s="17">
        <v>79279</v>
      </c>
      <c r="AN154" s="17">
        <v>41523</v>
      </c>
      <c r="AO154" s="17">
        <v>1023</v>
      </c>
      <c r="AP154" s="17">
        <v>920.9677419354839</v>
      </c>
      <c r="AQ154" s="17">
        <v>1111.2903225806451</v>
      </c>
      <c r="AR154" s="17">
        <v>74229</v>
      </c>
      <c r="AS154" s="17">
        <v>46822</v>
      </c>
      <c r="AT154" s="17">
        <v>727</v>
      </c>
      <c r="AU154" s="17">
        <v>899</v>
      </c>
      <c r="AV154" s="17">
        <v>1099.6666666666667</v>
      </c>
      <c r="AW154" s="17">
        <v>79737</v>
      </c>
      <c r="AX154" s="17">
        <v>47087</v>
      </c>
      <c r="AY154" s="17">
        <v>2075</v>
      </c>
      <c r="AZ154" s="17">
        <v>923.22580645161293</v>
      </c>
      <c r="BA154" s="17">
        <v>1094.1935483870968</v>
      </c>
      <c r="BB154" s="17">
        <v>75014</v>
      </c>
      <c r="BC154" s="17">
        <v>58238</v>
      </c>
      <c r="BD154" s="17">
        <v>1163</v>
      </c>
      <c r="BE154" s="17">
        <v>931.66666666666663</v>
      </c>
      <c r="BF154" s="17">
        <v>1080</v>
      </c>
      <c r="BG154" s="17">
        <v>107777</v>
      </c>
      <c r="BH154" s="17">
        <v>47163</v>
      </c>
      <c r="BI154" s="17">
        <v>904</v>
      </c>
      <c r="BJ154" s="17">
        <v>906.12903225806451</v>
      </c>
      <c r="BK154" s="17">
        <v>1065.8064516129032</v>
      </c>
    </row>
    <row r="155" spans="1:63" x14ac:dyDescent="0.35">
      <c r="A155" s="41">
        <v>151</v>
      </c>
      <c r="B155" s="41" t="s">
        <v>240</v>
      </c>
      <c r="C155" s="43" t="s">
        <v>171</v>
      </c>
      <c r="D155" s="17">
        <v>153545</v>
      </c>
      <c r="E155" s="17">
        <v>18383</v>
      </c>
      <c r="F155" s="17">
        <v>0</v>
      </c>
      <c r="G155" s="17">
        <v>1046.4516129032259</v>
      </c>
      <c r="H155" s="17">
        <v>1199.3548387096773</v>
      </c>
      <c r="I155" s="17">
        <v>112110</v>
      </c>
      <c r="J155" s="17">
        <v>15156</v>
      </c>
      <c r="K155" s="17">
        <v>0</v>
      </c>
      <c r="L155" s="17">
        <v>1007.5</v>
      </c>
      <c r="M155" s="17">
        <v>1193.5714285714287</v>
      </c>
      <c r="N155" s="17">
        <v>126311</v>
      </c>
      <c r="O155" s="17">
        <v>14387</v>
      </c>
      <c r="P155" s="17">
        <v>0</v>
      </c>
      <c r="Q155" s="17">
        <v>952.25806451612902</v>
      </c>
      <c r="R155" s="17">
        <v>1162.5806451612902</v>
      </c>
      <c r="S155" s="17">
        <v>141146</v>
      </c>
      <c r="T155" s="17">
        <v>17147</v>
      </c>
      <c r="U155" s="17">
        <v>0</v>
      </c>
      <c r="V155" s="17">
        <v>956.66666666666663</v>
      </c>
      <c r="W155" s="17">
        <v>1150</v>
      </c>
      <c r="X155" s="17">
        <v>115308</v>
      </c>
      <c r="Y155" s="17">
        <v>21506</v>
      </c>
      <c r="Z155" s="17">
        <v>0</v>
      </c>
      <c r="AA155" s="17">
        <v>922.90322580645159</v>
      </c>
      <c r="AB155" s="17">
        <v>1119.0322580645161</v>
      </c>
      <c r="AC155" s="17">
        <v>94413</v>
      </c>
      <c r="AD155" s="17">
        <v>17201</v>
      </c>
      <c r="AE155" s="17">
        <v>0</v>
      </c>
      <c r="AF155" s="17">
        <v>924.66666666666663</v>
      </c>
      <c r="AG155" s="17">
        <v>1101.6666666666667</v>
      </c>
      <c r="AH155" s="17">
        <v>100111</v>
      </c>
      <c r="AI155" s="17">
        <v>16869</v>
      </c>
      <c r="AJ155" s="17">
        <v>0</v>
      </c>
      <c r="AK155" s="17">
        <v>930</v>
      </c>
      <c r="AL155" s="17">
        <v>1107.4193548387098</v>
      </c>
      <c r="AM155" s="17">
        <v>112947</v>
      </c>
      <c r="AN155" s="17">
        <v>18176</v>
      </c>
      <c r="AO155" s="17">
        <v>0</v>
      </c>
      <c r="AP155" s="17">
        <v>915.48387096774195</v>
      </c>
      <c r="AQ155" s="17">
        <v>1111.2903225806451</v>
      </c>
      <c r="AR155" s="17">
        <v>113316</v>
      </c>
      <c r="AS155" s="17">
        <v>18167</v>
      </c>
      <c r="AT155" s="17">
        <v>0</v>
      </c>
      <c r="AU155" s="17">
        <v>890.66666666666663</v>
      </c>
      <c r="AV155" s="17">
        <v>1100</v>
      </c>
      <c r="AW155" s="17">
        <v>118412</v>
      </c>
      <c r="AX155" s="17">
        <v>17346</v>
      </c>
      <c r="AY155" s="17">
        <v>0</v>
      </c>
      <c r="AZ155" s="17">
        <v>923.22580645161293</v>
      </c>
      <c r="BA155" s="17">
        <v>1094.1935483870968</v>
      </c>
      <c r="BB155" s="17">
        <v>117855</v>
      </c>
      <c r="BC155" s="17">
        <v>18949</v>
      </c>
      <c r="BD155" s="17">
        <v>0</v>
      </c>
      <c r="BE155" s="17">
        <v>928.33333333333337</v>
      </c>
      <c r="BF155" s="17">
        <v>1080</v>
      </c>
      <c r="BG155" s="17">
        <v>139645</v>
      </c>
      <c r="BH155" s="17">
        <v>23441</v>
      </c>
      <c r="BI155" s="17">
        <v>0</v>
      </c>
      <c r="BJ155" s="17">
        <v>903.87096774193549</v>
      </c>
      <c r="BK155" s="17">
        <v>1065.8064516129032</v>
      </c>
    </row>
    <row r="156" spans="1:63" x14ac:dyDescent="0.35">
      <c r="A156" s="41">
        <v>152</v>
      </c>
      <c r="B156" s="41" t="s">
        <v>232</v>
      </c>
      <c r="C156" s="43" t="s">
        <v>172</v>
      </c>
      <c r="D156" s="17">
        <v>255940</v>
      </c>
      <c r="E156" s="17">
        <v>16906</v>
      </c>
      <c r="F156" s="17">
        <v>0</v>
      </c>
      <c r="G156" s="17">
        <v>1041.6129032258063</v>
      </c>
      <c r="H156" s="17">
        <v>1189.6774193548388</v>
      </c>
      <c r="I156" s="17">
        <v>174828</v>
      </c>
      <c r="J156" s="17">
        <v>14574</v>
      </c>
      <c r="K156" s="17">
        <v>0</v>
      </c>
      <c r="L156" s="17">
        <v>1007.5</v>
      </c>
      <c r="M156" s="17">
        <v>1186.7857142857142</v>
      </c>
      <c r="N156" s="17">
        <v>243592</v>
      </c>
      <c r="O156" s="17">
        <v>18372</v>
      </c>
      <c r="P156" s="17">
        <v>0</v>
      </c>
      <c r="Q156" s="17">
        <v>948.06451612903231</v>
      </c>
      <c r="R156" s="17">
        <v>1162.5806451612902</v>
      </c>
      <c r="S156" s="17">
        <v>235312</v>
      </c>
      <c r="T156" s="17">
        <v>24592</v>
      </c>
      <c r="U156" s="17">
        <v>0</v>
      </c>
      <c r="V156" s="17">
        <v>956.66666666666663</v>
      </c>
      <c r="W156" s="17">
        <v>1150</v>
      </c>
      <c r="X156" s="17">
        <v>222655</v>
      </c>
      <c r="Y156" s="17">
        <v>21328</v>
      </c>
      <c r="Z156" s="17">
        <v>0</v>
      </c>
      <c r="AA156" s="17">
        <v>923.54838709677415</v>
      </c>
      <c r="AB156" s="17">
        <v>1130.6451612903227</v>
      </c>
      <c r="AC156" s="17">
        <v>219111</v>
      </c>
      <c r="AD156" s="17">
        <v>18461</v>
      </c>
      <c r="AE156" s="17">
        <v>0</v>
      </c>
      <c r="AF156" s="17">
        <v>927.33333333333337</v>
      </c>
      <c r="AG156" s="17">
        <v>1101.3333333333333</v>
      </c>
      <c r="AH156" s="17">
        <v>206058</v>
      </c>
      <c r="AI156" s="17">
        <v>24160</v>
      </c>
      <c r="AJ156" s="17">
        <v>0</v>
      </c>
      <c r="AK156" s="17">
        <v>927.74193548387098</v>
      </c>
      <c r="AL156" s="17">
        <v>1104.516129032258</v>
      </c>
      <c r="AM156" s="17">
        <v>193093</v>
      </c>
      <c r="AN156" s="17">
        <v>24409</v>
      </c>
      <c r="AO156" s="17">
        <v>0</v>
      </c>
      <c r="AP156" s="17">
        <v>920.64516129032256</v>
      </c>
      <c r="AQ156" s="17">
        <v>1110.9677419354839</v>
      </c>
      <c r="AR156" s="17">
        <v>196995</v>
      </c>
      <c r="AS156" s="17">
        <v>23785</v>
      </c>
      <c r="AT156" s="17">
        <v>0</v>
      </c>
      <c r="AU156" s="17">
        <v>899.83333333333337</v>
      </c>
      <c r="AV156" s="17">
        <v>1098.6666666666667</v>
      </c>
      <c r="AW156" s="17">
        <v>215764</v>
      </c>
      <c r="AX156" s="17">
        <v>15995</v>
      </c>
      <c r="AY156" s="17">
        <v>0</v>
      </c>
      <c r="AZ156" s="17">
        <v>923.22580645161293</v>
      </c>
      <c r="BA156" s="17">
        <v>1094.1935483870968</v>
      </c>
      <c r="BB156" s="17">
        <v>195855</v>
      </c>
      <c r="BC156" s="17">
        <v>22258</v>
      </c>
      <c r="BD156" s="17">
        <v>0</v>
      </c>
      <c r="BE156" s="17">
        <v>933.33333333333337</v>
      </c>
      <c r="BF156" s="17">
        <v>1080</v>
      </c>
      <c r="BG156" s="17">
        <v>261947</v>
      </c>
      <c r="BH156" s="17">
        <v>35121</v>
      </c>
      <c r="BI156" s="17">
        <v>0</v>
      </c>
      <c r="BJ156" s="17">
        <v>908.06451612903231</v>
      </c>
      <c r="BK156" s="17">
        <v>1058.7096774193549</v>
      </c>
    </row>
    <row r="157" spans="1:63" x14ac:dyDescent="0.35">
      <c r="A157" s="41">
        <v>153</v>
      </c>
      <c r="B157" s="41" t="s">
        <v>240</v>
      </c>
      <c r="C157" s="43" t="s">
        <v>173</v>
      </c>
      <c r="D157" s="17">
        <v>141739</v>
      </c>
      <c r="E157" s="17">
        <v>5320</v>
      </c>
      <c r="F157" s="17">
        <v>0</v>
      </c>
      <c r="G157" s="17">
        <v>1041.2903225806451</v>
      </c>
      <c r="H157" s="17">
        <v>1190</v>
      </c>
      <c r="I157" s="17">
        <v>119002</v>
      </c>
      <c r="J157" s="17">
        <v>4702</v>
      </c>
      <c r="K157" s="17">
        <v>0</v>
      </c>
      <c r="L157" s="17">
        <v>1006.0714285714286</v>
      </c>
      <c r="M157" s="17">
        <v>1186.7857142857142</v>
      </c>
      <c r="N157" s="17">
        <v>145502</v>
      </c>
      <c r="O157" s="17">
        <v>4037</v>
      </c>
      <c r="P157" s="17">
        <v>0</v>
      </c>
      <c r="Q157" s="17">
        <v>952.90322580645159</v>
      </c>
      <c r="R157" s="17">
        <v>1163.2258064516129</v>
      </c>
      <c r="S157" s="17">
        <v>137999</v>
      </c>
      <c r="T157" s="17">
        <v>3759</v>
      </c>
      <c r="U157" s="17">
        <v>0</v>
      </c>
      <c r="V157" s="17">
        <v>956.66666666666663</v>
      </c>
      <c r="W157" s="17">
        <v>1150</v>
      </c>
      <c r="X157" s="17">
        <v>134752</v>
      </c>
      <c r="Y157" s="17">
        <v>3651</v>
      </c>
      <c r="Z157" s="17">
        <v>0</v>
      </c>
      <c r="AA157" s="17">
        <v>928.70967741935488</v>
      </c>
      <c r="AB157" s="17">
        <v>1119.6774193548388</v>
      </c>
      <c r="AC157" s="17">
        <v>131672</v>
      </c>
      <c r="AD157" s="17">
        <v>3135</v>
      </c>
      <c r="AE157" s="17">
        <v>0</v>
      </c>
      <c r="AF157" s="17">
        <v>922.33333333333337</v>
      </c>
      <c r="AG157" s="17">
        <v>1102.3333333333333</v>
      </c>
      <c r="AH157" s="17">
        <v>134481</v>
      </c>
      <c r="AI157" s="17">
        <v>4465.8500000000004</v>
      </c>
      <c r="AJ157" s="17">
        <v>0</v>
      </c>
      <c r="AK157" s="17">
        <v>931.93548387096769</v>
      </c>
      <c r="AL157" s="17">
        <v>1107.4193548387098</v>
      </c>
      <c r="AM157" s="17">
        <v>150123</v>
      </c>
      <c r="AN157" s="17">
        <v>6907</v>
      </c>
      <c r="AO157" s="17">
        <v>0</v>
      </c>
      <c r="AP157" s="17">
        <v>916.12903225806451</v>
      </c>
      <c r="AQ157" s="17">
        <v>1111.2903225806451</v>
      </c>
      <c r="AR157" s="17">
        <v>134570</v>
      </c>
      <c r="AS157" s="17">
        <v>5167</v>
      </c>
      <c r="AT157" s="17">
        <v>0</v>
      </c>
      <c r="AU157" s="17">
        <v>890.66666666666663</v>
      </c>
      <c r="AV157" s="17">
        <v>1100</v>
      </c>
      <c r="AW157" s="17">
        <v>139423</v>
      </c>
      <c r="AX157" s="17">
        <v>4959</v>
      </c>
      <c r="AY157" s="17">
        <v>0</v>
      </c>
      <c r="AZ157" s="17">
        <v>922.90322580645159</v>
      </c>
      <c r="BA157" s="17">
        <v>1094.1935483870968</v>
      </c>
      <c r="BB157" s="17">
        <v>139523</v>
      </c>
      <c r="BC157" s="17">
        <v>5512</v>
      </c>
      <c r="BD157" s="17">
        <v>0</v>
      </c>
      <c r="BE157" s="17">
        <v>931</v>
      </c>
      <c r="BF157" s="17">
        <v>1080</v>
      </c>
      <c r="BG157" s="17">
        <v>164417</v>
      </c>
      <c r="BH157" s="17">
        <v>8529</v>
      </c>
      <c r="BI157" s="17">
        <v>0</v>
      </c>
      <c r="BJ157" s="17">
        <v>901.61290322580646</v>
      </c>
      <c r="BK157" s="17">
        <v>1059.0322580645161</v>
      </c>
    </row>
    <row r="158" spans="1:63" x14ac:dyDescent="0.35">
      <c r="A158" s="41">
        <v>154</v>
      </c>
      <c r="B158" s="41" t="s">
        <v>234</v>
      </c>
      <c r="C158" s="43" t="s">
        <v>174</v>
      </c>
      <c r="D158" s="17">
        <v>281460</v>
      </c>
      <c r="E158" s="17">
        <v>27544</v>
      </c>
      <c r="F158" s="17">
        <v>0</v>
      </c>
      <c r="G158" s="17">
        <v>1018.2258064516129</v>
      </c>
      <c r="H158" s="17">
        <v>1150</v>
      </c>
      <c r="I158" s="17">
        <v>272314</v>
      </c>
      <c r="J158" s="17">
        <v>26462</v>
      </c>
      <c r="K158" s="17">
        <v>0</v>
      </c>
      <c r="L158" s="17">
        <v>1001.4285714285714</v>
      </c>
      <c r="M158" s="17">
        <v>1144.2857142857142</v>
      </c>
      <c r="N158" s="17">
        <v>319994</v>
      </c>
      <c r="O158" s="17">
        <v>31838</v>
      </c>
      <c r="P158" s="17">
        <v>0</v>
      </c>
      <c r="Q158" s="17">
        <v>940.80645161290317</v>
      </c>
      <c r="R158" s="17">
        <v>1130</v>
      </c>
      <c r="S158" s="17">
        <v>312593</v>
      </c>
      <c r="T158" s="17">
        <v>40014</v>
      </c>
      <c r="U158" s="17">
        <v>0</v>
      </c>
      <c r="V158" s="17">
        <v>946.66666666666663</v>
      </c>
      <c r="W158" s="17">
        <v>1112.8333333333333</v>
      </c>
      <c r="X158" s="17">
        <v>306222</v>
      </c>
      <c r="Y158" s="17">
        <v>32692</v>
      </c>
      <c r="Z158" s="17">
        <v>0</v>
      </c>
      <c r="AA158" s="17">
        <v>915.80645161290317</v>
      </c>
      <c r="AB158" s="17">
        <v>1078.7096774193549</v>
      </c>
      <c r="AC158" s="17">
        <v>267135</v>
      </c>
      <c r="AD158" s="17">
        <v>23411</v>
      </c>
      <c r="AE158" s="17">
        <v>0</v>
      </c>
      <c r="AF158" s="17">
        <v>926.16666666666663</v>
      </c>
      <c r="AG158" s="17">
        <v>1073</v>
      </c>
      <c r="AH158" s="17">
        <v>246622</v>
      </c>
      <c r="AI158" s="17">
        <v>20934</v>
      </c>
      <c r="AJ158" s="17">
        <v>0</v>
      </c>
      <c r="AK158" s="17">
        <v>924.19354838709683</v>
      </c>
      <c r="AL158" s="17">
        <v>1090</v>
      </c>
      <c r="AM158" s="17">
        <v>260332</v>
      </c>
      <c r="AN158" s="17">
        <v>23184</v>
      </c>
      <c r="AO158" s="17">
        <v>0</v>
      </c>
      <c r="AP158" s="17">
        <v>910.32258064516134</v>
      </c>
      <c r="AQ158" s="17">
        <v>1107.741935483871</v>
      </c>
      <c r="AR158" s="17">
        <v>288407</v>
      </c>
      <c r="AS158" s="17">
        <v>19197</v>
      </c>
      <c r="AT158" s="17">
        <v>0</v>
      </c>
      <c r="AU158" s="17">
        <v>893</v>
      </c>
      <c r="AV158" s="17">
        <v>1100</v>
      </c>
      <c r="AW158" s="17">
        <v>324531</v>
      </c>
      <c r="AX158" s="17">
        <v>19114</v>
      </c>
      <c r="AY158" s="17">
        <v>0</v>
      </c>
      <c r="AZ158" s="17">
        <v>915.16129032258061</v>
      </c>
      <c r="BA158" s="17">
        <v>1087.0967741935483</v>
      </c>
      <c r="BB158" s="17">
        <v>298050</v>
      </c>
      <c r="BC158" s="17">
        <v>19564</v>
      </c>
      <c r="BD158" s="17">
        <v>0</v>
      </c>
      <c r="BE158" s="17">
        <v>920</v>
      </c>
      <c r="BF158" s="17">
        <v>1062.6666666666667</v>
      </c>
      <c r="BG158" s="17">
        <v>351856</v>
      </c>
      <c r="BH158" s="17">
        <v>31488</v>
      </c>
      <c r="BI158" s="17">
        <v>0</v>
      </c>
      <c r="BJ158" s="17">
        <v>900.64516129032256</v>
      </c>
      <c r="BK158" s="17">
        <v>1039.0322580645161</v>
      </c>
    </row>
    <row r="159" spans="1:63" x14ac:dyDescent="0.35">
      <c r="A159" s="41">
        <v>155</v>
      </c>
      <c r="B159" s="41" t="s">
        <v>234</v>
      </c>
      <c r="C159" s="43" t="s">
        <v>175</v>
      </c>
      <c r="D159" s="17">
        <v>257859</v>
      </c>
      <c r="E159" s="17">
        <v>30454</v>
      </c>
      <c r="F159" s="17">
        <v>0</v>
      </c>
      <c r="G159" s="17">
        <v>1018.2258064516129</v>
      </c>
      <c r="H159" s="17">
        <v>1150</v>
      </c>
      <c r="I159" s="17">
        <v>274963</v>
      </c>
      <c r="J159" s="17">
        <v>40286</v>
      </c>
      <c r="K159" s="17">
        <v>0</v>
      </c>
      <c r="L159" s="17">
        <v>1001.4285714285714</v>
      </c>
      <c r="M159" s="17">
        <v>1144.2857142857142</v>
      </c>
      <c r="N159" s="17">
        <v>287103</v>
      </c>
      <c r="O159" s="17">
        <v>59198</v>
      </c>
      <c r="P159" s="17">
        <v>0</v>
      </c>
      <c r="Q159" s="17">
        <v>939.51612903225805</v>
      </c>
      <c r="R159" s="17">
        <v>1130</v>
      </c>
      <c r="S159" s="17">
        <v>297147</v>
      </c>
      <c r="T159" s="17">
        <v>66497</v>
      </c>
      <c r="U159" s="17">
        <v>0</v>
      </c>
      <c r="V159" s="17">
        <v>946.66666666666663</v>
      </c>
      <c r="W159" s="17">
        <v>1112.8333333333333</v>
      </c>
      <c r="X159" s="17">
        <v>292586</v>
      </c>
      <c r="Y159" s="17">
        <v>62133</v>
      </c>
      <c r="Z159" s="17">
        <v>0</v>
      </c>
      <c r="AA159" s="17">
        <v>915.80645161290317</v>
      </c>
      <c r="AB159" s="17">
        <v>1078.7096774193549</v>
      </c>
      <c r="AC159" s="17">
        <v>257933</v>
      </c>
      <c r="AD159" s="17">
        <v>57384</v>
      </c>
      <c r="AE159" s="17">
        <v>0</v>
      </c>
      <c r="AF159" s="17">
        <v>926.16666666666663</v>
      </c>
      <c r="AG159" s="17">
        <v>1073</v>
      </c>
      <c r="AH159" s="17">
        <v>255075</v>
      </c>
      <c r="AI159" s="17">
        <v>31268</v>
      </c>
      <c r="AJ159" s="17">
        <v>0</v>
      </c>
      <c r="AK159" s="17">
        <v>924.19354838709683</v>
      </c>
      <c r="AL159" s="17">
        <v>1090</v>
      </c>
      <c r="AM159" s="17">
        <v>246363</v>
      </c>
      <c r="AN159" s="17">
        <v>32981</v>
      </c>
      <c r="AO159" s="17">
        <v>0</v>
      </c>
      <c r="AP159" s="17">
        <v>910.32258064516134</v>
      </c>
      <c r="AQ159" s="17">
        <v>1107.741935483871</v>
      </c>
      <c r="AR159" s="17">
        <v>252666</v>
      </c>
      <c r="AS159" s="17">
        <v>29636</v>
      </c>
      <c r="AT159" s="17">
        <v>0</v>
      </c>
      <c r="AU159" s="17">
        <v>893</v>
      </c>
      <c r="AV159" s="17">
        <v>1100</v>
      </c>
      <c r="AW159" s="17">
        <v>80038</v>
      </c>
      <c r="AX159" s="17">
        <v>22439</v>
      </c>
      <c r="AY159" s="17">
        <v>0</v>
      </c>
      <c r="AZ159" s="17">
        <v>915.16129032258061</v>
      </c>
      <c r="BA159" s="17">
        <v>1087.0967741935483</v>
      </c>
      <c r="BB159" s="17">
        <v>159712</v>
      </c>
      <c r="BC159" s="17">
        <v>23164</v>
      </c>
      <c r="BD159" s="17">
        <v>0</v>
      </c>
      <c r="BE159" s="17">
        <v>920</v>
      </c>
      <c r="BF159" s="17">
        <v>1062.6666666666667</v>
      </c>
      <c r="BG159" s="17">
        <v>299736</v>
      </c>
      <c r="BH159" s="17">
        <v>42473</v>
      </c>
      <c r="BI159" s="17">
        <v>0</v>
      </c>
      <c r="BJ159" s="17">
        <v>900.64516129032256</v>
      </c>
      <c r="BK159" s="17">
        <v>1039.0322580645161</v>
      </c>
    </row>
    <row r="160" spans="1:63" x14ac:dyDescent="0.35">
      <c r="A160" s="41">
        <v>156</v>
      </c>
      <c r="B160" s="41" t="s">
        <v>231</v>
      </c>
      <c r="C160" s="43" t="s">
        <v>176</v>
      </c>
      <c r="D160" s="17">
        <v>338843</v>
      </c>
      <c r="E160" s="17">
        <v>41901</v>
      </c>
      <c r="F160" s="17">
        <v>0</v>
      </c>
      <c r="G160" s="17">
        <v>1014.6774193548387</v>
      </c>
      <c r="H160" s="17">
        <v>1170.3225806451612</v>
      </c>
      <c r="I160" s="17">
        <v>293385</v>
      </c>
      <c r="J160" s="17">
        <v>75592</v>
      </c>
      <c r="K160" s="17">
        <v>0</v>
      </c>
      <c r="L160" s="17">
        <v>1001.4285714285714</v>
      </c>
      <c r="M160" s="17">
        <v>1156.0714285714287</v>
      </c>
      <c r="N160" s="17">
        <v>287447</v>
      </c>
      <c r="O160" s="17">
        <v>47466</v>
      </c>
      <c r="P160" s="17">
        <v>0</v>
      </c>
      <c r="Q160" s="17">
        <v>942.25806451612902</v>
      </c>
      <c r="R160" s="17">
        <v>1140.3225806451612</v>
      </c>
      <c r="S160" s="17">
        <v>294008</v>
      </c>
      <c r="T160" s="17">
        <v>90991</v>
      </c>
      <c r="U160" s="17">
        <v>0</v>
      </c>
      <c r="V160" s="17">
        <v>944.33333333333337</v>
      </c>
      <c r="W160" s="17">
        <v>1130</v>
      </c>
      <c r="X160" s="17">
        <v>357653</v>
      </c>
      <c r="Y160" s="17">
        <v>75263</v>
      </c>
      <c r="Z160" s="17">
        <v>0</v>
      </c>
      <c r="AA160" s="17">
        <v>909.35483870967744</v>
      </c>
      <c r="AB160" s="17">
        <v>1092.5806451612902</v>
      </c>
      <c r="AC160" s="17">
        <v>311647</v>
      </c>
      <c r="AD160" s="17">
        <v>69031</v>
      </c>
      <c r="AE160" s="17">
        <v>0</v>
      </c>
      <c r="AF160" s="17">
        <v>920.5</v>
      </c>
      <c r="AG160" s="17">
        <v>1076</v>
      </c>
      <c r="AH160" s="17">
        <v>266752</v>
      </c>
      <c r="AI160" s="17">
        <v>55169</v>
      </c>
      <c r="AJ160" s="17">
        <v>0</v>
      </c>
      <c r="AK160" s="17">
        <v>919.19354838709683</v>
      </c>
      <c r="AL160" s="17">
        <v>1093.5483870967741</v>
      </c>
      <c r="AM160" s="17">
        <v>267566</v>
      </c>
      <c r="AN160" s="17">
        <v>57778</v>
      </c>
      <c r="AO160" s="17">
        <v>0</v>
      </c>
      <c r="AP160" s="17">
        <v>910</v>
      </c>
      <c r="AQ160" s="17">
        <v>1107.0967741935483</v>
      </c>
      <c r="AR160" s="17">
        <v>217416</v>
      </c>
      <c r="AS160" s="17">
        <v>53485</v>
      </c>
      <c r="AT160" s="17">
        <v>0</v>
      </c>
      <c r="AU160" s="17">
        <v>897</v>
      </c>
      <c r="AV160" s="17">
        <v>1090</v>
      </c>
      <c r="AW160" s="17">
        <v>236343</v>
      </c>
      <c r="AX160" s="17">
        <v>59505</v>
      </c>
      <c r="AY160" s="17">
        <v>0</v>
      </c>
      <c r="AZ160" s="17">
        <v>912.58064516129036</v>
      </c>
      <c r="BA160" s="17">
        <v>1087.4193548387098</v>
      </c>
      <c r="BB160" s="17">
        <v>263305</v>
      </c>
      <c r="BC160" s="17">
        <v>60348</v>
      </c>
      <c r="BD160" s="17">
        <v>0</v>
      </c>
      <c r="BE160" s="17">
        <v>920</v>
      </c>
      <c r="BF160" s="17">
        <v>1074</v>
      </c>
      <c r="BG160" s="17">
        <v>282538</v>
      </c>
      <c r="BH160" s="17">
        <v>51581</v>
      </c>
      <c r="BI160" s="17">
        <v>0</v>
      </c>
      <c r="BJ160" s="17">
        <v>892.25806451612902</v>
      </c>
      <c r="BK160" s="17">
        <v>1049.6774193548388</v>
      </c>
    </row>
    <row r="161" spans="1:63" x14ac:dyDescent="0.35">
      <c r="A161" s="41">
        <v>157</v>
      </c>
      <c r="B161" s="41" t="s">
        <v>250</v>
      </c>
      <c r="C161" s="43" t="s">
        <v>177</v>
      </c>
      <c r="D161" s="17">
        <v>344797</v>
      </c>
      <c r="E161" s="17">
        <v>3348</v>
      </c>
      <c r="F161" s="17">
        <v>3139</v>
      </c>
      <c r="G161" s="17">
        <v>1041.2903225806451</v>
      </c>
      <c r="H161" s="17">
        <v>1200</v>
      </c>
      <c r="I161" s="17">
        <v>219228</v>
      </c>
      <c r="J161" s="17">
        <v>2303</v>
      </c>
      <c r="K161" s="17">
        <v>2495</v>
      </c>
      <c r="L161" s="17">
        <v>1027.8571428571429</v>
      </c>
      <c r="M161" s="17">
        <v>1200</v>
      </c>
      <c r="N161" s="17">
        <v>246839</v>
      </c>
      <c r="O161" s="17">
        <v>2300</v>
      </c>
      <c r="P161" s="17">
        <v>2267</v>
      </c>
      <c r="Q161" s="17">
        <v>985.16129032258061</v>
      </c>
      <c r="R161" s="17">
        <v>1180</v>
      </c>
      <c r="S161" s="17">
        <v>253243</v>
      </c>
      <c r="T161" s="17">
        <v>2593</v>
      </c>
      <c r="U161" s="17">
        <v>2753</v>
      </c>
      <c r="V161" s="17">
        <v>971.93333333333328</v>
      </c>
      <c r="W161" s="17">
        <v>1180</v>
      </c>
      <c r="X161" s="17">
        <v>248757</v>
      </c>
      <c r="Y161" s="17">
        <v>5153</v>
      </c>
      <c r="Z161" s="17">
        <v>4000</v>
      </c>
      <c r="AA161" s="17">
        <v>938.54838709677415</v>
      </c>
      <c r="AB161" s="17">
        <v>1120.6451612903227</v>
      </c>
      <c r="AC161" s="17">
        <v>260298</v>
      </c>
      <c r="AD161" s="17">
        <v>8867</v>
      </c>
      <c r="AE161" s="17">
        <v>2199</v>
      </c>
      <c r="AF161" s="17">
        <v>944</v>
      </c>
      <c r="AG161" s="17">
        <v>1111</v>
      </c>
      <c r="AH161" s="17">
        <v>210556</v>
      </c>
      <c r="AI161" s="17">
        <v>11061</v>
      </c>
      <c r="AJ161" s="17">
        <v>2937</v>
      </c>
      <c r="AK161" s="17">
        <v>945.16129032258061</v>
      </c>
      <c r="AL161" s="17">
        <v>1109.6774193548388</v>
      </c>
      <c r="AM161" s="17">
        <v>231348</v>
      </c>
      <c r="AN161" s="17">
        <v>4168</v>
      </c>
      <c r="AO161" s="17">
        <v>2788</v>
      </c>
      <c r="AP161" s="17">
        <v>930.9677419354839</v>
      </c>
      <c r="AQ161" s="17">
        <v>1127.4193548387098</v>
      </c>
      <c r="AR161" s="17">
        <v>305971</v>
      </c>
      <c r="AS161" s="17">
        <v>8750</v>
      </c>
      <c r="AT161" s="17">
        <v>2944</v>
      </c>
      <c r="AU161" s="17">
        <v>912.66666666666663</v>
      </c>
      <c r="AV161" s="17">
        <v>1110</v>
      </c>
      <c r="AW161" s="17">
        <v>233912</v>
      </c>
      <c r="AX161" s="17">
        <v>6485</v>
      </c>
      <c r="AY161" s="17">
        <v>2508</v>
      </c>
      <c r="AZ161" s="17">
        <v>954.35483870967744</v>
      </c>
      <c r="BA161" s="17">
        <v>1104.1935483870968</v>
      </c>
      <c r="BB161" s="17">
        <v>235765</v>
      </c>
      <c r="BC161" s="17">
        <v>11634</v>
      </c>
      <c r="BD161" s="17">
        <v>1966</v>
      </c>
      <c r="BE161" s="17">
        <v>964</v>
      </c>
      <c r="BF161" s="17">
        <v>1085</v>
      </c>
      <c r="BG161" s="17">
        <v>232588</v>
      </c>
      <c r="BH161" s="17">
        <v>14506</v>
      </c>
      <c r="BI161" s="17">
        <v>2237</v>
      </c>
      <c r="BJ161" s="17">
        <v>940</v>
      </c>
      <c r="BK161" s="17">
        <v>1060</v>
      </c>
    </row>
    <row r="162" spans="1:63" x14ac:dyDescent="0.35">
      <c r="A162" s="41">
        <v>158</v>
      </c>
      <c r="B162" s="41" t="s">
        <v>232</v>
      </c>
      <c r="C162" s="43" t="s">
        <v>178</v>
      </c>
      <c r="D162" s="17">
        <v>270881</v>
      </c>
      <c r="E162" s="17">
        <v>11069</v>
      </c>
      <c r="F162" s="17">
        <v>0</v>
      </c>
      <c r="G162" s="17">
        <v>1046.4516129032259</v>
      </c>
      <c r="H162" s="17">
        <v>1200</v>
      </c>
      <c r="I162" s="17">
        <v>236391</v>
      </c>
      <c r="J162" s="17">
        <v>12223</v>
      </c>
      <c r="K162" s="17">
        <v>0</v>
      </c>
      <c r="L162" s="17">
        <v>1004.2857142857143</v>
      </c>
      <c r="M162" s="17">
        <v>1193.5714285714287</v>
      </c>
      <c r="N162" s="17">
        <v>301904</v>
      </c>
      <c r="O162" s="17">
        <v>15134</v>
      </c>
      <c r="P162" s="17">
        <v>0</v>
      </c>
      <c r="Q162" s="17">
        <v>943.22580645161293</v>
      </c>
      <c r="R162" s="17">
        <v>1162.5806451612902</v>
      </c>
      <c r="S162" s="17">
        <v>288399</v>
      </c>
      <c r="T162" s="17">
        <v>16323</v>
      </c>
      <c r="U162" s="17">
        <v>0</v>
      </c>
      <c r="V162" s="17">
        <v>956.66666666666663</v>
      </c>
      <c r="W162" s="17">
        <v>1150</v>
      </c>
      <c r="X162" s="17">
        <v>293040</v>
      </c>
      <c r="Y162" s="17">
        <v>12790</v>
      </c>
      <c r="Z162" s="17">
        <v>0</v>
      </c>
      <c r="AA162" s="17">
        <v>923.22580645161293</v>
      </c>
      <c r="AB162" s="17">
        <v>1130</v>
      </c>
      <c r="AC162" s="17">
        <v>267567</v>
      </c>
      <c r="AD162" s="17">
        <v>11739</v>
      </c>
      <c r="AE162" s="17">
        <v>0</v>
      </c>
      <c r="AF162" s="17">
        <v>925.66666666666663</v>
      </c>
      <c r="AG162" s="17">
        <v>1119</v>
      </c>
      <c r="AH162" s="17">
        <v>271890</v>
      </c>
      <c r="AI162" s="17">
        <v>13592</v>
      </c>
      <c r="AJ162" s="17">
        <v>0</v>
      </c>
      <c r="AK162" s="17">
        <v>930.32258064516134</v>
      </c>
      <c r="AL162" s="17">
        <v>1104.516129032258</v>
      </c>
      <c r="AM162" s="17">
        <v>283510</v>
      </c>
      <c r="AN162" s="17">
        <v>16722</v>
      </c>
      <c r="AO162" s="17">
        <v>0</v>
      </c>
      <c r="AP162" s="17">
        <v>920.64516129032256</v>
      </c>
      <c r="AQ162" s="17">
        <v>1111.2903225806451</v>
      </c>
      <c r="AR162" s="17">
        <v>260496</v>
      </c>
      <c r="AS162" s="17">
        <v>13588</v>
      </c>
      <c r="AT162" s="17">
        <v>0</v>
      </c>
      <c r="AU162" s="17">
        <v>900</v>
      </c>
      <c r="AV162" s="17">
        <v>1100</v>
      </c>
      <c r="AW162" s="17">
        <v>287639</v>
      </c>
      <c r="AX162" s="17">
        <v>12390</v>
      </c>
      <c r="AY162" s="17">
        <v>0</v>
      </c>
      <c r="AZ162" s="17">
        <v>923.22580645161293</v>
      </c>
      <c r="BA162" s="17">
        <v>1094.1935483870968</v>
      </c>
      <c r="BB162" s="17">
        <v>279040</v>
      </c>
      <c r="BC162" s="17">
        <v>14167</v>
      </c>
      <c r="BD162" s="17">
        <v>0</v>
      </c>
      <c r="BE162" s="17">
        <v>933.66666666666663</v>
      </c>
      <c r="BF162" s="17">
        <v>1080</v>
      </c>
      <c r="BG162" s="17">
        <v>355176</v>
      </c>
      <c r="BH162" s="17">
        <v>24886</v>
      </c>
      <c r="BI162" s="17">
        <v>0</v>
      </c>
      <c r="BJ162" s="17">
        <v>903.87096774193549</v>
      </c>
      <c r="BK162" s="17">
        <v>1060.3225806451612</v>
      </c>
    </row>
    <row r="163" spans="1:63" x14ac:dyDescent="0.35">
      <c r="A163" s="41">
        <v>159</v>
      </c>
      <c r="B163" s="41" t="s">
        <v>238</v>
      </c>
      <c r="C163" s="43" t="s">
        <v>179</v>
      </c>
      <c r="D163" s="17">
        <v>330558</v>
      </c>
      <c r="E163" s="17">
        <v>67493</v>
      </c>
      <c r="F163" s="17">
        <v>0</v>
      </c>
      <c r="G163" s="17">
        <v>1014.516129032258</v>
      </c>
      <c r="H163" s="17">
        <v>1150</v>
      </c>
      <c r="I163" s="17">
        <v>233542</v>
      </c>
      <c r="J163" s="17">
        <v>69926</v>
      </c>
      <c r="K163" s="17">
        <v>0</v>
      </c>
      <c r="L163" s="17">
        <v>1000.7142857142857</v>
      </c>
      <c r="M163" s="17">
        <v>1140.3571428571429</v>
      </c>
      <c r="N163" s="17">
        <v>269317</v>
      </c>
      <c r="O163" s="17">
        <v>88223</v>
      </c>
      <c r="P163" s="17">
        <v>0</v>
      </c>
      <c r="Q163" s="17">
        <v>936.61290322580646</v>
      </c>
      <c r="R163" s="17">
        <v>1120.8064516129032</v>
      </c>
      <c r="S163" s="17">
        <v>266213</v>
      </c>
      <c r="T163" s="17">
        <v>81380</v>
      </c>
      <c r="U163" s="17">
        <v>0</v>
      </c>
      <c r="V163" s="17">
        <v>944</v>
      </c>
      <c r="W163" s="17">
        <v>1104.8333333333333</v>
      </c>
      <c r="X163" s="17">
        <v>240702</v>
      </c>
      <c r="Y163" s="17">
        <v>72444</v>
      </c>
      <c r="Z163" s="17">
        <v>0</v>
      </c>
      <c r="AA163" s="17">
        <v>910</v>
      </c>
      <c r="AB163" s="17">
        <v>1068.3870967741937</v>
      </c>
      <c r="AC163" s="17">
        <v>198519</v>
      </c>
      <c r="AD163" s="17">
        <v>68818</v>
      </c>
      <c r="AE163" s="17">
        <v>0</v>
      </c>
      <c r="AF163" s="17">
        <v>920.16666666666663</v>
      </c>
      <c r="AG163" s="17">
        <v>1061</v>
      </c>
      <c r="AH163" s="17">
        <v>183243</v>
      </c>
      <c r="AI163" s="17">
        <v>70031</v>
      </c>
      <c r="AJ163" s="17">
        <v>0</v>
      </c>
      <c r="AK163" s="17">
        <v>915.16129032258061</v>
      </c>
      <c r="AL163" s="17">
        <v>1082.258064516129</v>
      </c>
      <c r="AM163" s="17">
        <v>194860</v>
      </c>
      <c r="AN163" s="17">
        <v>61929</v>
      </c>
      <c r="AO163" s="17">
        <v>0</v>
      </c>
      <c r="AP163" s="17">
        <v>911.12903225806451</v>
      </c>
      <c r="AQ163" s="17">
        <v>1097.741935483871</v>
      </c>
      <c r="AR163" s="17">
        <v>184466</v>
      </c>
      <c r="AS163" s="17">
        <v>57110</v>
      </c>
      <c r="AT163" s="17">
        <v>0</v>
      </c>
      <c r="AU163" s="17">
        <v>893.33333333333337</v>
      </c>
      <c r="AV163" s="17">
        <v>1078.6666666666667</v>
      </c>
      <c r="AW163" s="17">
        <v>195541</v>
      </c>
      <c r="AX163" s="17">
        <v>69110</v>
      </c>
      <c r="AY163" s="17">
        <v>0</v>
      </c>
      <c r="AZ163" s="17">
        <v>913.54838709677415</v>
      </c>
      <c r="BA163" s="17">
        <v>1067.4193548387098</v>
      </c>
      <c r="BB163" s="17">
        <v>210143</v>
      </c>
      <c r="BC163" s="17">
        <v>71075</v>
      </c>
      <c r="BD163" s="17">
        <v>0</v>
      </c>
      <c r="BE163" s="17">
        <v>919.33333333333337</v>
      </c>
      <c r="BF163" s="17">
        <v>1046.3333333333333</v>
      </c>
      <c r="BG163" s="17">
        <v>244977</v>
      </c>
      <c r="BH163" s="17">
        <v>53634</v>
      </c>
      <c r="BI163" s="17">
        <v>0</v>
      </c>
      <c r="BJ163" s="17">
        <v>880.16129032258061</v>
      </c>
      <c r="BK163" s="17">
        <v>1034.516129032258</v>
      </c>
    </row>
    <row r="164" spans="1:63" x14ac:dyDescent="0.35">
      <c r="A164" s="41">
        <v>160</v>
      </c>
      <c r="B164" s="41" t="s">
        <v>247</v>
      </c>
      <c r="C164" s="43" t="s">
        <v>180</v>
      </c>
      <c r="D164" s="17">
        <v>167138</v>
      </c>
      <c r="E164" s="17">
        <v>67836</v>
      </c>
      <c r="F164" s="17">
        <v>0</v>
      </c>
      <c r="G164" s="17">
        <v>1012.5806451612904</v>
      </c>
      <c r="H164" s="17">
        <v>1150</v>
      </c>
      <c r="I164" s="17">
        <v>124943</v>
      </c>
      <c r="J164" s="17">
        <v>76977</v>
      </c>
      <c r="K164" s="17">
        <v>0</v>
      </c>
      <c r="L164" s="17">
        <v>999.64285714285711</v>
      </c>
      <c r="M164" s="17">
        <v>1144.2857142857142</v>
      </c>
      <c r="N164" s="17">
        <v>138646</v>
      </c>
      <c r="O164" s="17">
        <v>62372</v>
      </c>
      <c r="P164" s="17">
        <v>0</v>
      </c>
      <c r="Q164" s="17">
        <v>938.87096774193549</v>
      </c>
      <c r="R164" s="17">
        <v>1130</v>
      </c>
      <c r="S164" s="17">
        <v>146389</v>
      </c>
      <c r="T164" s="17">
        <v>93163</v>
      </c>
      <c r="U164" s="17">
        <v>0</v>
      </c>
      <c r="V164" s="17">
        <v>945.33333333333337</v>
      </c>
      <c r="W164" s="17">
        <v>1111.6666666666667</v>
      </c>
      <c r="X164" s="17">
        <v>151662</v>
      </c>
      <c r="Y164" s="17">
        <v>80588</v>
      </c>
      <c r="Z164" s="17">
        <v>0</v>
      </c>
      <c r="AA164" s="17">
        <v>912.58064516129036</v>
      </c>
      <c r="AB164" s="17">
        <v>1072.9032258064517</v>
      </c>
      <c r="AC164" s="17">
        <v>147677</v>
      </c>
      <c r="AD164" s="17">
        <v>78317</v>
      </c>
      <c r="AE164" s="17">
        <v>0</v>
      </c>
      <c r="AF164" s="17">
        <v>920.66666666666663</v>
      </c>
      <c r="AG164" s="17">
        <v>1073</v>
      </c>
      <c r="AH164" s="17">
        <v>140698</v>
      </c>
      <c r="AI164" s="17">
        <v>92028</v>
      </c>
      <c r="AJ164" s="17">
        <v>0</v>
      </c>
      <c r="AK164" s="17">
        <v>922.90322580645159</v>
      </c>
      <c r="AL164" s="17">
        <v>1083.5483870967741</v>
      </c>
      <c r="AM164" s="17">
        <v>161229</v>
      </c>
      <c r="AN164" s="17">
        <v>79480</v>
      </c>
      <c r="AO164" s="17">
        <v>0</v>
      </c>
      <c r="AP164" s="17">
        <v>910.32258064516134</v>
      </c>
      <c r="AQ164" s="17">
        <v>1107.4193548387098</v>
      </c>
      <c r="AR164" s="17">
        <v>165237</v>
      </c>
      <c r="AS164" s="17">
        <v>77061</v>
      </c>
      <c r="AT164" s="17">
        <v>0</v>
      </c>
      <c r="AU164" s="17">
        <v>893.66666666666663</v>
      </c>
      <c r="AV164" s="17">
        <v>1099.6666666666667</v>
      </c>
      <c r="AW164" s="17">
        <v>162164</v>
      </c>
      <c r="AX164" s="17">
        <v>65537</v>
      </c>
      <c r="AY164" s="17">
        <v>0</v>
      </c>
      <c r="AZ164" s="17">
        <v>915.16129032258061</v>
      </c>
      <c r="BA164" s="17">
        <v>1088.0645161290322</v>
      </c>
      <c r="BB164" s="17">
        <v>165344</v>
      </c>
      <c r="BC164" s="17">
        <v>69499</v>
      </c>
      <c r="BD164" s="17">
        <v>0</v>
      </c>
      <c r="BE164" s="17">
        <v>919.5</v>
      </c>
      <c r="BF164" s="17">
        <v>1062.6666666666667</v>
      </c>
      <c r="BG164" s="17">
        <v>168787</v>
      </c>
      <c r="BH164" s="17">
        <v>77391</v>
      </c>
      <c r="BI164" s="17">
        <v>0</v>
      </c>
      <c r="BJ164" s="17">
        <v>900.48387096774195</v>
      </c>
      <c r="BK164" s="17">
        <v>1044.516129032258</v>
      </c>
    </row>
    <row r="165" spans="1:63" x14ac:dyDescent="0.35">
      <c r="A165" s="41">
        <v>161</v>
      </c>
      <c r="B165" s="41" t="s">
        <v>244</v>
      </c>
      <c r="C165" s="43" t="s">
        <v>181</v>
      </c>
      <c r="D165" s="17">
        <v>274087</v>
      </c>
      <c r="E165" s="17">
        <v>5598</v>
      </c>
      <c r="F165" s="17">
        <v>0</v>
      </c>
      <c r="G165" s="17">
        <v>1019.0322580645161</v>
      </c>
      <c r="H165" s="17">
        <v>1177.0967741935483</v>
      </c>
      <c r="I165" s="17">
        <v>185851</v>
      </c>
      <c r="J165" s="17">
        <v>7106</v>
      </c>
      <c r="K165" s="17">
        <v>0</v>
      </c>
      <c r="L165" s="17">
        <v>1006.25</v>
      </c>
      <c r="M165" s="17">
        <v>1170</v>
      </c>
      <c r="N165" s="17">
        <v>221658</v>
      </c>
      <c r="O165" s="17">
        <v>7084</v>
      </c>
      <c r="P165" s="17">
        <v>0</v>
      </c>
      <c r="Q165" s="17">
        <v>942.90322580645159</v>
      </c>
      <c r="R165" s="17">
        <v>1170</v>
      </c>
      <c r="S165" s="17">
        <v>251709</v>
      </c>
      <c r="T165" s="17">
        <v>6557</v>
      </c>
      <c r="U165" s="17">
        <v>0</v>
      </c>
      <c r="V165" s="17">
        <v>957.5</v>
      </c>
      <c r="W165" s="17">
        <v>1151.6666666666667</v>
      </c>
      <c r="X165" s="17">
        <v>190803</v>
      </c>
      <c r="Y165" s="17">
        <v>6508</v>
      </c>
      <c r="Z165" s="17">
        <v>0</v>
      </c>
      <c r="AA165" s="17">
        <v>920.48387096774195</v>
      </c>
      <c r="AB165" s="17">
        <v>1111.6129032258063</v>
      </c>
      <c r="AC165" s="17">
        <v>182605</v>
      </c>
      <c r="AD165" s="17">
        <v>6850</v>
      </c>
      <c r="AE165" s="17">
        <v>0</v>
      </c>
      <c r="AF165" s="17">
        <v>923.16666666666663</v>
      </c>
      <c r="AG165" s="17">
        <v>1096.6666666666667</v>
      </c>
      <c r="AH165" s="17">
        <v>154779</v>
      </c>
      <c r="AI165" s="17">
        <v>7471</v>
      </c>
      <c r="AJ165" s="17">
        <v>0</v>
      </c>
      <c r="AK165" s="17">
        <v>918.22580645161293</v>
      </c>
      <c r="AL165" s="17">
        <v>1105.8064516129032</v>
      </c>
      <c r="AM165" s="17">
        <v>135263</v>
      </c>
      <c r="AN165" s="17">
        <v>7161</v>
      </c>
      <c r="AO165" s="17">
        <v>0</v>
      </c>
      <c r="AP165" s="17">
        <v>918.87096774193549</v>
      </c>
      <c r="AQ165" s="17">
        <v>1116.7741935483871</v>
      </c>
      <c r="AR165" s="17">
        <v>97438</v>
      </c>
      <c r="AS165" s="17">
        <v>4079</v>
      </c>
      <c r="AT165" s="17">
        <v>0</v>
      </c>
      <c r="AU165" s="17">
        <v>893.5</v>
      </c>
      <c r="AV165" s="17">
        <v>1100</v>
      </c>
      <c r="AW165" s="17">
        <v>122835</v>
      </c>
      <c r="AX165" s="17">
        <v>3162</v>
      </c>
      <c r="AY165" s="17">
        <v>0</v>
      </c>
      <c r="AZ165" s="17">
        <v>935.16129032258061</v>
      </c>
      <c r="BA165" s="17">
        <v>1097.4193548387098</v>
      </c>
      <c r="BB165" s="17">
        <v>114820</v>
      </c>
      <c r="BC165" s="17">
        <v>3683</v>
      </c>
      <c r="BD165" s="17">
        <v>0</v>
      </c>
      <c r="BE165" s="17">
        <v>943.66666666666663</v>
      </c>
      <c r="BF165" s="17">
        <v>1063</v>
      </c>
      <c r="BG165" s="17">
        <v>129253</v>
      </c>
      <c r="BH165" s="17">
        <v>4983</v>
      </c>
      <c r="BI165" s="17">
        <v>0</v>
      </c>
      <c r="BJ165" s="17">
        <v>910.9677419354839</v>
      </c>
      <c r="BK165" s="17">
        <v>1059.3548387096773</v>
      </c>
    </row>
    <row r="166" spans="1:63" x14ac:dyDescent="0.35">
      <c r="A166" s="41">
        <v>162</v>
      </c>
      <c r="B166" s="41" t="s">
        <v>239</v>
      </c>
      <c r="C166" s="43" t="s">
        <v>182</v>
      </c>
      <c r="D166" s="17">
        <v>221224</v>
      </c>
      <c r="E166" s="17">
        <v>20200</v>
      </c>
      <c r="F166" s="17">
        <v>131</v>
      </c>
      <c r="G166" s="17">
        <v>1017.0967741935484</v>
      </c>
      <c r="H166" s="17">
        <v>1164.516129032258</v>
      </c>
      <c r="I166" s="17">
        <v>228446</v>
      </c>
      <c r="J166" s="17">
        <v>22123</v>
      </c>
      <c r="K166" s="17">
        <v>114</v>
      </c>
      <c r="L166" s="17">
        <v>1001.7857142857143</v>
      </c>
      <c r="M166" s="17">
        <v>1168.9285714285713</v>
      </c>
      <c r="N166" s="17">
        <v>283309</v>
      </c>
      <c r="O166" s="17">
        <v>21637</v>
      </c>
      <c r="P166" s="17">
        <v>228</v>
      </c>
      <c r="Q166" s="17">
        <v>942.58064516129036</v>
      </c>
      <c r="R166" s="17">
        <v>1140</v>
      </c>
      <c r="S166" s="17">
        <v>331727</v>
      </c>
      <c r="T166" s="17">
        <v>24874</v>
      </c>
      <c r="U166" s="17">
        <v>153</v>
      </c>
      <c r="V166" s="17">
        <v>944.33333333333337</v>
      </c>
      <c r="W166" s="17">
        <v>1128</v>
      </c>
      <c r="X166" s="17">
        <v>282735</v>
      </c>
      <c r="Y166" s="17">
        <v>25110</v>
      </c>
      <c r="Z166" s="17">
        <v>276</v>
      </c>
      <c r="AA166" s="17">
        <v>913.22580645161293</v>
      </c>
      <c r="AB166" s="17">
        <v>1087.4193548387098</v>
      </c>
      <c r="AC166" s="17">
        <v>249260</v>
      </c>
      <c r="AD166" s="17">
        <v>18669</v>
      </c>
      <c r="AE166" s="17">
        <v>226</v>
      </c>
      <c r="AF166" s="17">
        <v>923.16666666666663</v>
      </c>
      <c r="AG166" s="17">
        <v>1071.6666666666667</v>
      </c>
      <c r="AH166" s="17">
        <v>248086</v>
      </c>
      <c r="AI166" s="17">
        <v>19248</v>
      </c>
      <c r="AJ166" s="17">
        <v>296</v>
      </c>
      <c r="AK166" s="17">
        <v>923.22580645161293</v>
      </c>
      <c r="AL166" s="17">
        <v>1090</v>
      </c>
      <c r="AM166" s="17">
        <v>248357</v>
      </c>
      <c r="AN166" s="17">
        <v>19153</v>
      </c>
      <c r="AO166" s="17">
        <v>305</v>
      </c>
      <c r="AP166" s="17">
        <v>911.61290322580646</v>
      </c>
      <c r="AQ166" s="17">
        <v>1109.3548387096773</v>
      </c>
      <c r="AR166" s="17">
        <v>267167</v>
      </c>
      <c r="AS166" s="17">
        <v>18750</v>
      </c>
      <c r="AT166" s="17">
        <v>384</v>
      </c>
      <c r="AU166" s="17">
        <v>892.66666666666663</v>
      </c>
      <c r="AV166" s="17">
        <v>1100</v>
      </c>
      <c r="AW166" s="17">
        <v>269199</v>
      </c>
      <c r="AX166" s="17">
        <v>19516</v>
      </c>
      <c r="AY166" s="17">
        <v>392</v>
      </c>
      <c r="AZ166" s="17">
        <v>913.22580645161293</v>
      </c>
      <c r="BA166" s="17">
        <v>1090.9677419354839</v>
      </c>
      <c r="BB166" s="17">
        <v>287883</v>
      </c>
      <c r="BC166" s="17">
        <v>24633</v>
      </c>
      <c r="BD166" s="17">
        <v>195</v>
      </c>
      <c r="BE166" s="17">
        <v>923.66666666666663</v>
      </c>
      <c r="BF166" s="17">
        <v>1060</v>
      </c>
      <c r="BG166" s="17">
        <v>400393</v>
      </c>
      <c r="BH166" s="17">
        <v>27725</v>
      </c>
      <c r="BI166" s="17">
        <v>282</v>
      </c>
      <c r="BJ166" s="17">
        <v>895.80645161290317</v>
      </c>
      <c r="BK166" s="17">
        <v>1049.6774193548388</v>
      </c>
    </row>
    <row r="167" spans="1:63" x14ac:dyDescent="0.35">
      <c r="A167" s="41">
        <v>163</v>
      </c>
      <c r="B167" s="41" t="s">
        <v>238</v>
      </c>
      <c r="C167" s="43" t="s">
        <v>183</v>
      </c>
      <c r="D167" s="17">
        <v>212931</v>
      </c>
      <c r="E167" s="17">
        <v>32656</v>
      </c>
      <c r="F167" s="17">
        <v>0</v>
      </c>
      <c r="G167" s="17">
        <v>1030.9677419354839</v>
      </c>
      <c r="H167" s="17">
        <v>1150</v>
      </c>
      <c r="I167" s="17">
        <v>211195</v>
      </c>
      <c r="J167" s="17">
        <v>36003</v>
      </c>
      <c r="K167" s="17">
        <v>0</v>
      </c>
      <c r="L167" s="17">
        <v>1004.4642857142857</v>
      </c>
      <c r="M167" s="17">
        <v>1148.5714285714287</v>
      </c>
      <c r="N167" s="17">
        <v>232725</v>
      </c>
      <c r="O167" s="17">
        <v>28169</v>
      </c>
      <c r="P167" s="17">
        <v>0</v>
      </c>
      <c r="Q167" s="17">
        <v>951.29032258064512</v>
      </c>
      <c r="R167" s="17">
        <v>1131.2903225806451</v>
      </c>
      <c r="S167" s="17">
        <v>212430</v>
      </c>
      <c r="T167" s="17">
        <v>35316</v>
      </c>
      <c r="U167" s="17">
        <v>0</v>
      </c>
      <c r="V167" s="17">
        <v>946.66666666666663</v>
      </c>
      <c r="W167" s="17">
        <v>1112.8333333333333</v>
      </c>
      <c r="X167" s="17">
        <v>192278</v>
      </c>
      <c r="Y167" s="17">
        <v>26874</v>
      </c>
      <c r="Z167" s="17">
        <v>0</v>
      </c>
      <c r="AA167" s="17">
        <v>915.80645161290317</v>
      </c>
      <c r="AB167" s="17">
        <v>1078.7096774193549</v>
      </c>
      <c r="AC167" s="17">
        <v>171180</v>
      </c>
      <c r="AD167" s="17">
        <v>23354</v>
      </c>
      <c r="AE167" s="17">
        <v>0</v>
      </c>
      <c r="AF167" s="17">
        <v>925.66666666666663</v>
      </c>
      <c r="AG167" s="17">
        <v>1073</v>
      </c>
      <c r="AH167" s="17">
        <v>160605</v>
      </c>
      <c r="AI167" s="17">
        <v>22778</v>
      </c>
      <c r="AJ167" s="17">
        <v>0</v>
      </c>
      <c r="AK167" s="17">
        <v>925.48387096774195</v>
      </c>
      <c r="AL167" s="17">
        <v>1090</v>
      </c>
      <c r="AM167" s="17">
        <v>165149</v>
      </c>
      <c r="AN167" s="17">
        <v>22317</v>
      </c>
      <c r="AO167" s="17">
        <v>0</v>
      </c>
      <c r="AP167" s="17">
        <v>916.61290322580646</v>
      </c>
      <c r="AQ167" s="17">
        <v>1106.1290322580646</v>
      </c>
      <c r="AR167" s="17">
        <v>177229</v>
      </c>
      <c r="AS167" s="17">
        <v>16173</v>
      </c>
      <c r="AT167" s="17">
        <v>0</v>
      </c>
      <c r="AU167" s="17">
        <v>900.33333333333337</v>
      </c>
      <c r="AV167" s="17">
        <v>1100</v>
      </c>
      <c r="AW167" s="17">
        <v>176431</v>
      </c>
      <c r="AX167" s="17">
        <v>18181</v>
      </c>
      <c r="AY167" s="17">
        <v>0</v>
      </c>
      <c r="AZ167" s="17">
        <v>916.45161290322585</v>
      </c>
      <c r="BA167" s="17">
        <v>1094.516129032258</v>
      </c>
      <c r="BB167" s="17">
        <v>185766</v>
      </c>
      <c r="BC167" s="17">
        <v>19030</v>
      </c>
      <c r="BD167" s="17">
        <v>0</v>
      </c>
      <c r="BE167" s="17">
        <v>921.66666666666663</v>
      </c>
      <c r="BF167" s="17">
        <v>1074.3333333333333</v>
      </c>
      <c r="BG167" s="17">
        <v>211455</v>
      </c>
      <c r="BH167" s="17">
        <v>27868</v>
      </c>
      <c r="BI167" s="17">
        <v>0</v>
      </c>
      <c r="BJ167" s="17">
        <v>900.48387096774195</v>
      </c>
      <c r="BK167" s="17">
        <v>1048.7096774193549</v>
      </c>
    </row>
    <row r="168" spans="1:63" x14ac:dyDescent="0.35">
      <c r="A168" s="41">
        <v>164</v>
      </c>
      <c r="B168" s="41" t="s">
        <v>243</v>
      </c>
      <c r="C168" s="43" t="s">
        <v>184</v>
      </c>
      <c r="D168" s="17">
        <v>86137</v>
      </c>
      <c r="E168" s="17">
        <v>10486</v>
      </c>
      <c r="F168" s="17">
        <v>370</v>
      </c>
      <c r="G168" s="17">
        <v>1046.1290322580646</v>
      </c>
      <c r="H168" s="17">
        <v>1150</v>
      </c>
      <c r="I168" s="17">
        <v>102266</v>
      </c>
      <c r="J168" s="17">
        <v>11416</v>
      </c>
      <c r="K168" s="17">
        <v>143</v>
      </c>
      <c r="L168" s="17">
        <v>1006.6071428571429</v>
      </c>
      <c r="M168" s="17">
        <v>1148.5714285714287</v>
      </c>
      <c r="N168" s="17">
        <v>107255</v>
      </c>
      <c r="O168" s="17">
        <v>17949</v>
      </c>
      <c r="P168" s="17">
        <v>242</v>
      </c>
      <c r="Q168" s="17">
        <v>950.48387096774195</v>
      </c>
      <c r="R168" s="17">
        <v>1140</v>
      </c>
      <c r="S168" s="17">
        <v>96079</v>
      </c>
      <c r="T168" s="17">
        <v>15444</v>
      </c>
      <c r="U168" s="17">
        <v>339</v>
      </c>
      <c r="V168" s="17">
        <v>946.66666666666663</v>
      </c>
      <c r="W168" s="17">
        <v>1117</v>
      </c>
      <c r="X168" s="17">
        <v>88107</v>
      </c>
      <c r="Y168" s="17">
        <v>13618</v>
      </c>
      <c r="Z168" s="17">
        <v>1163</v>
      </c>
      <c r="AA168" s="17">
        <v>915.80645161290317</v>
      </c>
      <c r="AB168" s="17">
        <v>1081.6129032258063</v>
      </c>
      <c r="AC168" s="17">
        <v>87924</v>
      </c>
      <c r="AD168" s="17">
        <v>11672</v>
      </c>
      <c r="AE168" s="17">
        <v>503</v>
      </c>
      <c r="AF168" s="17">
        <v>926</v>
      </c>
      <c r="AG168" s="17">
        <v>1079</v>
      </c>
      <c r="AH168" s="17">
        <v>107881</v>
      </c>
      <c r="AI168" s="17">
        <v>13725</v>
      </c>
      <c r="AJ168" s="17">
        <v>246</v>
      </c>
      <c r="AK168" s="17">
        <v>924.83870967741939</v>
      </c>
      <c r="AL168" s="17">
        <v>1090</v>
      </c>
      <c r="AM168" s="17">
        <v>74598</v>
      </c>
      <c r="AN168" s="17">
        <v>9928</v>
      </c>
      <c r="AO168" s="17">
        <v>256</v>
      </c>
      <c r="AP168" s="17">
        <v>921.29032258064512</v>
      </c>
      <c r="AQ168" s="17">
        <v>1107.741935483871</v>
      </c>
      <c r="AR168" s="17">
        <v>62602</v>
      </c>
      <c r="AS168" s="17">
        <v>8103</v>
      </c>
      <c r="AT168" s="17">
        <v>53</v>
      </c>
      <c r="AU168" s="17">
        <v>893.66666666666663</v>
      </c>
      <c r="AV168" s="17">
        <v>1100</v>
      </c>
      <c r="AW168" s="17">
        <v>69346</v>
      </c>
      <c r="AX168" s="17">
        <v>7868</v>
      </c>
      <c r="AY168" s="17">
        <v>435</v>
      </c>
      <c r="AZ168" s="17">
        <v>914.51612903225805</v>
      </c>
      <c r="BA168" s="17">
        <v>1093.5483870967741</v>
      </c>
      <c r="BB168" s="17">
        <v>72299</v>
      </c>
      <c r="BC168" s="17">
        <v>7818</v>
      </c>
      <c r="BD168" s="17">
        <v>198</v>
      </c>
      <c r="BE168" s="17">
        <v>924</v>
      </c>
      <c r="BF168" s="17">
        <v>1079</v>
      </c>
      <c r="BG168" s="17">
        <v>76147</v>
      </c>
      <c r="BH168" s="17">
        <v>14487</v>
      </c>
      <c r="BI168" s="17">
        <v>173</v>
      </c>
      <c r="BJ168" s="17">
        <v>906.77419354838707</v>
      </c>
      <c r="BK168" s="17">
        <v>1054.516129032258</v>
      </c>
    </row>
    <row r="169" spans="1:63" x14ac:dyDescent="0.35">
      <c r="A169" s="41">
        <v>165</v>
      </c>
      <c r="B169" s="41" t="s">
        <v>248</v>
      </c>
      <c r="C169" s="43" t="s">
        <v>185</v>
      </c>
      <c r="D169" s="17">
        <v>125753</v>
      </c>
      <c r="E169" s="17">
        <v>15922</v>
      </c>
      <c r="F169" s="17">
        <v>0</v>
      </c>
      <c r="G169" s="17">
        <v>1007.741935483871</v>
      </c>
      <c r="H169" s="17">
        <v>1150</v>
      </c>
      <c r="I169" s="17">
        <v>115328</v>
      </c>
      <c r="J169" s="17">
        <v>20738</v>
      </c>
      <c r="K169" s="17">
        <v>0</v>
      </c>
      <c r="L169" s="17">
        <v>1000.1785714285714</v>
      </c>
      <c r="M169" s="17">
        <v>1150</v>
      </c>
      <c r="N169" s="17">
        <v>129015</v>
      </c>
      <c r="O169" s="17">
        <v>19090</v>
      </c>
      <c r="P169" s="17">
        <v>0</v>
      </c>
      <c r="Q169" s="17">
        <v>947.41935483870964</v>
      </c>
      <c r="R169" s="17">
        <v>1141.6129032258063</v>
      </c>
      <c r="S169" s="17">
        <v>129145</v>
      </c>
      <c r="T169" s="17">
        <v>16920</v>
      </c>
      <c r="U169" s="17">
        <v>0</v>
      </c>
      <c r="V169" s="17">
        <v>944.33333333333337</v>
      </c>
      <c r="W169" s="17">
        <v>1121</v>
      </c>
      <c r="X169" s="17">
        <v>137338</v>
      </c>
      <c r="Y169" s="17">
        <v>20095</v>
      </c>
      <c r="Z169" s="17">
        <v>0</v>
      </c>
      <c r="AA169" s="17">
        <v>913.22580645161293</v>
      </c>
      <c r="AB169" s="17">
        <v>1087.4193548387098</v>
      </c>
      <c r="AC169" s="17">
        <v>128521</v>
      </c>
      <c r="AD169" s="17">
        <v>16619</v>
      </c>
      <c r="AE169" s="17">
        <v>0</v>
      </c>
      <c r="AF169" s="17">
        <v>925.83333333333337</v>
      </c>
      <c r="AG169" s="17">
        <v>1078.3333333333333</v>
      </c>
      <c r="AH169" s="17">
        <v>123416</v>
      </c>
      <c r="AI169" s="17">
        <v>17988</v>
      </c>
      <c r="AJ169" s="17">
        <v>0</v>
      </c>
      <c r="AK169" s="17">
        <v>920.64516129032256</v>
      </c>
      <c r="AL169" s="17">
        <v>1090</v>
      </c>
      <c r="AM169" s="17">
        <v>125244</v>
      </c>
      <c r="AN169" s="17">
        <v>18836</v>
      </c>
      <c r="AO169" s="17">
        <v>0</v>
      </c>
      <c r="AP169" s="17">
        <v>911.61290322580646</v>
      </c>
      <c r="AQ169" s="17">
        <v>1109.3548387096773</v>
      </c>
      <c r="AR169" s="17">
        <v>136832</v>
      </c>
      <c r="AS169" s="17">
        <v>17490</v>
      </c>
      <c r="AT169" s="17">
        <v>0</v>
      </c>
      <c r="AU169" s="17">
        <v>891.66666666666663</v>
      </c>
      <c r="AV169" s="17">
        <v>1100</v>
      </c>
      <c r="AW169" s="17">
        <v>119538</v>
      </c>
      <c r="AX169" s="17">
        <v>16619</v>
      </c>
      <c r="AY169" s="17">
        <v>0</v>
      </c>
      <c r="AZ169" s="17">
        <v>912.74193548387098</v>
      </c>
      <c r="BA169" s="17">
        <v>1087.741935483871</v>
      </c>
      <c r="BB169" s="17">
        <v>126016</v>
      </c>
      <c r="BC169" s="17">
        <v>19154</v>
      </c>
      <c r="BD169" s="17">
        <v>0</v>
      </c>
      <c r="BE169" s="17">
        <v>919.33333333333337</v>
      </c>
      <c r="BF169" s="17">
        <v>1063.3333333333333</v>
      </c>
      <c r="BG169" s="17">
        <v>133028</v>
      </c>
      <c r="BH169" s="17">
        <v>21271</v>
      </c>
      <c r="BI169" s="17">
        <v>0</v>
      </c>
      <c r="BJ169" s="17">
        <v>895.32258064516134</v>
      </c>
      <c r="BK169" s="17">
        <v>1044.8387096774193</v>
      </c>
    </row>
    <row r="170" spans="1:63" x14ac:dyDescent="0.35">
      <c r="A170" s="41">
        <v>166</v>
      </c>
      <c r="B170" s="41" t="s">
        <v>246</v>
      </c>
      <c r="C170" s="43" t="s">
        <v>186</v>
      </c>
      <c r="D170" s="17">
        <v>144537</v>
      </c>
      <c r="E170" s="17">
        <v>9288</v>
      </c>
      <c r="F170" s="17">
        <v>0</v>
      </c>
      <c r="G170" s="17">
        <v>999.83870967741939</v>
      </c>
      <c r="H170" s="17">
        <v>1150</v>
      </c>
      <c r="I170" s="17">
        <v>156663</v>
      </c>
      <c r="J170" s="17">
        <v>14169</v>
      </c>
      <c r="K170" s="17">
        <v>0</v>
      </c>
      <c r="L170" s="17">
        <v>994.28571428571433</v>
      </c>
      <c r="M170" s="17">
        <v>1150</v>
      </c>
      <c r="N170" s="17">
        <v>173623</v>
      </c>
      <c r="O170" s="17">
        <v>11250</v>
      </c>
      <c r="P170" s="17">
        <v>0</v>
      </c>
      <c r="Q170" s="17">
        <v>940</v>
      </c>
      <c r="R170" s="17">
        <v>1141.6129032258063</v>
      </c>
      <c r="S170" s="17">
        <v>156569</v>
      </c>
      <c r="T170" s="17">
        <v>9710</v>
      </c>
      <c r="U170" s="17">
        <v>0</v>
      </c>
      <c r="V170" s="17">
        <v>944</v>
      </c>
      <c r="W170" s="17">
        <v>1113.6666666666667</v>
      </c>
      <c r="X170" s="17">
        <v>155976</v>
      </c>
      <c r="Y170" s="17">
        <v>9861</v>
      </c>
      <c r="Z170" s="17">
        <v>0</v>
      </c>
      <c r="AA170" s="17">
        <v>909.0322580645161</v>
      </c>
      <c r="AB170" s="17">
        <v>1075.8064516129032</v>
      </c>
      <c r="AC170" s="17">
        <v>135011</v>
      </c>
      <c r="AD170" s="17">
        <v>10202</v>
      </c>
      <c r="AE170" s="17">
        <v>0</v>
      </c>
      <c r="AF170" s="17">
        <v>923</v>
      </c>
      <c r="AG170" s="17">
        <v>1076</v>
      </c>
      <c r="AH170" s="17">
        <v>147444</v>
      </c>
      <c r="AI170" s="17">
        <v>10265</v>
      </c>
      <c r="AJ170" s="17">
        <v>0</v>
      </c>
      <c r="AK170" s="17">
        <v>920</v>
      </c>
      <c r="AL170" s="17">
        <v>1090</v>
      </c>
      <c r="AM170" s="17">
        <v>163656</v>
      </c>
      <c r="AN170" s="17">
        <v>11391</v>
      </c>
      <c r="AO170" s="17">
        <v>0</v>
      </c>
      <c r="AP170" s="17">
        <v>911.29032258064512</v>
      </c>
      <c r="AQ170" s="17">
        <v>1109.3548387096773</v>
      </c>
      <c r="AR170" s="17">
        <v>138323</v>
      </c>
      <c r="AS170" s="17">
        <v>11382</v>
      </c>
      <c r="AT170" s="17">
        <v>0</v>
      </c>
      <c r="AU170" s="17">
        <v>892</v>
      </c>
      <c r="AV170" s="17">
        <v>1100</v>
      </c>
      <c r="AW170" s="17">
        <v>117954</v>
      </c>
      <c r="AX170" s="17">
        <v>10122</v>
      </c>
      <c r="AY170" s="17">
        <v>0</v>
      </c>
      <c r="AZ170" s="17">
        <v>912.09677419354841</v>
      </c>
      <c r="BA170" s="17">
        <v>1087.741935483871</v>
      </c>
      <c r="BB170" s="17">
        <v>122408</v>
      </c>
      <c r="BC170" s="17">
        <v>9747</v>
      </c>
      <c r="BD170" s="17">
        <v>0</v>
      </c>
      <c r="BE170" s="17">
        <v>919.33333333333337</v>
      </c>
      <c r="BF170" s="17">
        <v>1063.3333333333333</v>
      </c>
      <c r="BG170" s="17">
        <v>121170</v>
      </c>
      <c r="BH170" s="17">
        <v>8178</v>
      </c>
      <c r="BI170" s="17">
        <v>0</v>
      </c>
      <c r="BJ170" s="17">
        <v>879.51612903225805</v>
      </c>
      <c r="BK170" s="17">
        <v>1050</v>
      </c>
    </row>
    <row r="171" spans="1:63" x14ac:dyDescent="0.35">
      <c r="A171" s="41">
        <v>167</v>
      </c>
      <c r="B171" s="41" t="s">
        <v>239</v>
      </c>
      <c r="C171" s="43" t="s">
        <v>187</v>
      </c>
      <c r="D171" s="17">
        <v>223652</v>
      </c>
      <c r="E171" s="17">
        <v>41791</v>
      </c>
      <c r="F171" s="17">
        <v>1628</v>
      </c>
      <c r="G171" s="17">
        <v>1017.0967741935484</v>
      </c>
      <c r="H171" s="17">
        <v>1164.516129032258</v>
      </c>
      <c r="I171" s="17">
        <v>197251</v>
      </c>
      <c r="J171" s="17">
        <v>33622</v>
      </c>
      <c r="K171" s="17">
        <v>1301</v>
      </c>
      <c r="L171" s="17">
        <v>1001.7857142857143</v>
      </c>
      <c r="M171" s="17">
        <v>1168.9285714285713</v>
      </c>
      <c r="N171" s="17">
        <v>223038</v>
      </c>
      <c r="O171" s="17">
        <v>39728</v>
      </c>
      <c r="P171" s="17">
        <v>2627</v>
      </c>
      <c r="Q171" s="17">
        <v>942.58064516129036</v>
      </c>
      <c r="R171" s="17">
        <v>1140</v>
      </c>
      <c r="S171" s="17">
        <v>249414</v>
      </c>
      <c r="T171" s="17">
        <v>33424</v>
      </c>
      <c r="U171" s="17">
        <v>3077</v>
      </c>
      <c r="V171" s="17">
        <v>944.33333333333337</v>
      </c>
      <c r="W171" s="17">
        <v>1128</v>
      </c>
      <c r="X171" s="17">
        <v>236020</v>
      </c>
      <c r="Y171" s="17">
        <v>33560</v>
      </c>
      <c r="Z171" s="17">
        <v>1197</v>
      </c>
      <c r="AA171" s="17">
        <v>913.22580645161293</v>
      </c>
      <c r="AB171" s="17">
        <v>1087.4193548387098</v>
      </c>
      <c r="AC171" s="17">
        <v>213081</v>
      </c>
      <c r="AD171" s="17">
        <v>34026</v>
      </c>
      <c r="AE171" s="17">
        <v>2090</v>
      </c>
      <c r="AF171" s="17">
        <v>923.16666666666663</v>
      </c>
      <c r="AG171" s="17">
        <v>1071.6666666666667</v>
      </c>
      <c r="AH171" s="17">
        <v>213257</v>
      </c>
      <c r="AI171" s="17">
        <v>34163</v>
      </c>
      <c r="AJ171" s="17">
        <v>2056</v>
      </c>
      <c r="AK171" s="17">
        <v>923.22580645161293</v>
      </c>
      <c r="AL171" s="17">
        <v>1090</v>
      </c>
      <c r="AM171" s="17">
        <v>232367</v>
      </c>
      <c r="AN171" s="17">
        <v>35393</v>
      </c>
      <c r="AO171" s="17">
        <v>1847</v>
      </c>
      <c r="AP171" s="17">
        <v>911.61290322580646</v>
      </c>
      <c r="AQ171" s="17">
        <v>1109.3548387096773</v>
      </c>
      <c r="AR171" s="17">
        <v>179647</v>
      </c>
      <c r="AS171" s="17">
        <v>32378</v>
      </c>
      <c r="AT171" s="17">
        <v>3686</v>
      </c>
      <c r="AU171" s="17">
        <v>892.66666666666663</v>
      </c>
      <c r="AV171" s="17">
        <v>1100</v>
      </c>
      <c r="AW171" s="17">
        <v>181632</v>
      </c>
      <c r="AX171" s="17">
        <v>32395</v>
      </c>
      <c r="AY171" s="17">
        <v>6407</v>
      </c>
      <c r="AZ171" s="17">
        <v>913.22580645161293</v>
      </c>
      <c r="BA171" s="17">
        <v>1089.6774193548388</v>
      </c>
      <c r="BB171" s="17">
        <v>189282</v>
      </c>
      <c r="BC171" s="17">
        <v>49734</v>
      </c>
      <c r="BD171" s="17">
        <v>4513</v>
      </c>
      <c r="BE171" s="17">
        <v>923.66666666666663</v>
      </c>
      <c r="BF171" s="17">
        <v>1060</v>
      </c>
      <c r="BG171" s="17">
        <v>212242</v>
      </c>
      <c r="BH171" s="17">
        <v>42518</v>
      </c>
      <c r="BI171" s="17">
        <v>5809</v>
      </c>
      <c r="BJ171" s="17">
        <v>895.32258064516134</v>
      </c>
      <c r="BK171" s="17">
        <v>1049.6774193548388</v>
      </c>
    </row>
    <row r="172" spans="1:63" x14ac:dyDescent="0.35">
      <c r="A172" s="41">
        <v>168</v>
      </c>
      <c r="B172" s="41" t="s">
        <v>247</v>
      </c>
      <c r="C172" s="43" t="s">
        <v>188</v>
      </c>
      <c r="D172" s="17">
        <v>167325</v>
      </c>
      <c r="E172" s="17">
        <v>26613</v>
      </c>
      <c r="F172" s="17">
        <v>0</v>
      </c>
      <c r="G172" s="17">
        <v>1010.1612903225806</v>
      </c>
      <c r="H172" s="17">
        <v>1150</v>
      </c>
      <c r="I172" s="17">
        <v>200030</v>
      </c>
      <c r="J172" s="17">
        <v>45628</v>
      </c>
      <c r="K172" s="17">
        <v>0</v>
      </c>
      <c r="L172" s="17">
        <v>998.75</v>
      </c>
      <c r="M172" s="17">
        <v>1144.2857142857142</v>
      </c>
      <c r="N172" s="17">
        <v>240124</v>
      </c>
      <c r="O172" s="17">
        <v>42058</v>
      </c>
      <c r="P172" s="17">
        <v>0</v>
      </c>
      <c r="Q172" s="17">
        <v>938.87096774193549</v>
      </c>
      <c r="R172" s="17">
        <v>1130</v>
      </c>
      <c r="S172" s="17">
        <v>223573</v>
      </c>
      <c r="T172" s="17">
        <v>52203</v>
      </c>
      <c r="U172" s="17">
        <v>0</v>
      </c>
      <c r="V172" s="17">
        <v>945.33333333333337</v>
      </c>
      <c r="W172" s="17">
        <v>1111.6666666666667</v>
      </c>
      <c r="X172" s="17">
        <v>186735</v>
      </c>
      <c r="Y172" s="17">
        <v>35956</v>
      </c>
      <c r="Z172" s="17">
        <v>0</v>
      </c>
      <c r="AA172" s="17">
        <v>912.90322580645159</v>
      </c>
      <c r="AB172" s="17">
        <v>1074.1935483870968</v>
      </c>
      <c r="AC172" s="17">
        <v>160319</v>
      </c>
      <c r="AD172" s="17">
        <v>35569</v>
      </c>
      <c r="AE172" s="17">
        <v>0</v>
      </c>
      <c r="AF172" s="17">
        <v>921</v>
      </c>
      <c r="AG172" s="17">
        <v>1073</v>
      </c>
      <c r="AH172" s="17">
        <v>158101</v>
      </c>
      <c r="AI172" s="17">
        <v>25972</v>
      </c>
      <c r="AJ172" s="17">
        <v>0</v>
      </c>
      <c r="AK172" s="17">
        <v>915.80645161290317</v>
      </c>
      <c r="AL172" s="17">
        <v>1082.258064516129</v>
      </c>
      <c r="AM172" s="17">
        <v>164480</v>
      </c>
      <c r="AN172" s="17">
        <v>33173</v>
      </c>
      <c r="AO172" s="17">
        <v>0</v>
      </c>
      <c r="AP172" s="17">
        <v>910.64516129032256</v>
      </c>
      <c r="AQ172" s="17">
        <v>1097.741935483871</v>
      </c>
      <c r="AR172" s="17">
        <v>189611</v>
      </c>
      <c r="AS172" s="17">
        <v>23639</v>
      </c>
      <c r="AT172" s="17">
        <v>0</v>
      </c>
      <c r="AU172" s="17">
        <v>893.66666666666663</v>
      </c>
      <c r="AV172" s="17">
        <v>1078.6666666666667</v>
      </c>
      <c r="AW172" s="17">
        <v>175627</v>
      </c>
      <c r="AX172" s="17">
        <v>30204</v>
      </c>
      <c r="AY172" s="17">
        <v>0</v>
      </c>
      <c r="AZ172" s="17">
        <v>913.54838709677415</v>
      </c>
      <c r="BA172" s="17">
        <v>1067.4193548387098</v>
      </c>
      <c r="BB172" s="17">
        <v>181153</v>
      </c>
      <c r="BC172" s="17">
        <v>29453</v>
      </c>
      <c r="BD172" s="17">
        <v>0</v>
      </c>
      <c r="BE172" s="17">
        <v>919.5</v>
      </c>
      <c r="BF172" s="17">
        <v>1046.3333333333333</v>
      </c>
      <c r="BG172" s="17">
        <v>174329</v>
      </c>
      <c r="BH172" s="17">
        <v>35242</v>
      </c>
      <c r="BI172" s="17">
        <v>0</v>
      </c>
      <c r="BJ172" s="17">
        <v>895</v>
      </c>
      <c r="BK172" s="17">
        <v>1034.8387096774193</v>
      </c>
    </row>
    <row r="173" spans="1:63" x14ac:dyDescent="0.35">
      <c r="A173" s="41">
        <v>169</v>
      </c>
      <c r="B173" s="41" t="s">
        <v>250</v>
      </c>
      <c r="C173" s="43" t="s">
        <v>189</v>
      </c>
      <c r="D173" s="17">
        <v>138421</v>
      </c>
      <c r="E173" s="17">
        <v>18163</v>
      </c>
      <c r="F173" s="17">
        <v>0</v>
      </c>
      <c r="G173" s="17">
        <v>1046.6129032258063</v>
      </c>
      <c r="H173" s="17">
        <v>1184.3548387096773</v>
      </c>
      <c r="I173" s="17">
        <v>160123</v>
      </c>
      <c r="J173" s="17">
        <v>9777</v>
      </c>
      <c r="K173" s="17">
        <v>0</v>
      </c>
      <c r="L173" s="17">
        <v>1025</v>
      </c>
      <c r="M173" s="17">
        <v>1175</v>
      </c>
      <c r="N173" s="17">
        <v>111934</v>
      </c>
      <c r="O173" s="17">
        <v>6076</v>
      </c>
      <c r="P173" s="17">
        <v>1450</v>
      </c>
      <c r="Q173" s="17">
        <v>989.67741935483866</v>
      </c>
      <c r="R173" s="17">
        <v>1175</v>
      </c>
      <c r="S173" s="17">
        <v>139180</v>
      </c>
      <c r="T173" s="17">
        <v>7560</v>
      </c>
      <c r="U173" s="17">
        <v>0</v>
      </c>
      <c r="V173" s="17">
        <v>974.16666666666663</v>
      </c>
      <c r="W173" s="17">
        <v>1153.1666666666667</v>
      </c>
      <c r="X173" s="17">
        <v>124645</v>
      </c>
      <c r="Y173" s="17">
        <v>10890</v>
      </c>
      <c r="Z173" s="17">
        <v>0</v>
      </c>
      <c r="AA173" s="17">
        <v>934.19354838709683</v>
      </c>
      <c r="AB173" s="17">
        <v>1112.5806451612902</v>
      </c>
      <c r="AC173" s="17">
        <v>133982</v>
      </c>
      <c r="AD173" s="17">
        <v>13406</v>
      </c>
      <c r="AE173" s="17">
        <v>1450</v>
      </c>
      <c r="AF173" s="17">
        <v>944</v>
      </c>
      <c r="AG173" s="17">
        <v>1111</v>
      </c>
      <c r="AH173" s="17">
        <v>122771</v>
      </c>
      <c r="AI173" s="17">
        <v>11796</v>
      </c>
      <c r="AJ173" s="17">
        <v>0</v>
      </c>
      <c r="AK173" s="17">
        <v>945.16129032258061</v>
      </c>
      <c r="AL173" s="17">
        <v>1110.6451612903227</v>
      </c>
      <c r="AM173" s="17">
        <v>135674</v>
      </c>
      <c r="AN173" s="17">
        <v>5349</v>
      </c>
      <c r="AO173" s="17">
        <v>0</v>
      </c>
      <c r="AP173" s="17">
        <v>932.41935483870964</v>
      </c>
      <c r="AQ173" s="17">
        <v>1126.7741935483871</v>
      </c>
      <c r="AR173" s="17">
        <v>125134</v>
      </c>
      <c r="AS173" s="17">
        <v>8406</v>
      </c>
      <c r="AT173" s="17">
        <v>0</v>
      </c>
      <c r="AU173" s="17">
        <v>913.33333333333337</v>
      </c>
      <c r="AV173" s="17">
        <v>1109.6666666666667</v>
      </c>
      <c r="AW173" s="17">
        <v>134687</v>
      </c>
      <c r="AX173" s="17">
        <v>7203</v>
      </c>
      <c r="AY173" s="17">
        <v>0</v>
      </c>
      <c r="AZ173" s="17">
        <v>961.61290322580646</v>
      </c>
      <c r="BA173" s="17">
        <v>1104.1935483870968</v>
      </c>
      <c r="BB173" s="17">
        <v>96223</v>
      </c>
      <c r="BC173" s="17">
        <v>5309</v>
      </c>
      <c r="BD173" s="17">
        <v>0</v>
      </c>
      <c r="BE173" s="17">
        <v>968.83333333333337</v>
      </c>
      <c r="BF173" s="17">
        <v>1085</v>
      </c>
      <c r="BG173" s="17">
        <v>99603</v>
      </c>
      <c r="BH173" s="17">
        <v>8150</v>
      </c>
      <c r="BI173" s="17">
        <v>0</v>
      </c>
      <c r="BJ173" s="17">
        <v>940.64516129032256</v>
      </c>
      <c r="BK173" s="17">
        <v>1059.3548387096773</v>
      </c>
    </row>
    <row r="174" spans="1:63" x14ac:dyDescent="0.35">
      <c r="A174" s="41">
        <v>170</v>
      </c>
      <c r="B174" s="41" t="s">
        <v>234</v>
      </c>
      <c r="C174" s="43" t="s">
        <v>190</v>
      </c>
      <c r="D174" s="17">
        <v>211442</v>
      </c>
      <c r="E174" s="17">
        <v>11276</v>
      </c>
      <c r="F174" s="17">
        <v>0</v>
      </c>
      <c r="G174" s="17">
        <v>1018.2258064516129</v>
      </c>
      <c r="H174" s="17">
        <v>1150</v>
      </c>
      <c r="I174" s="17">
        <v>230809</v>
      </c>
      <c r="J174" s="17">
        <v>15046</v>
      </c>
      <c r="K174" s="17">
        <v>0</v>
      </c>
      <c r="L174" s="17">
        <v>1001.4285714285714</v>
      </c>
      <c r="M174" s="17">
        <v>1144.2857142857142</v>
      </c>
      <c r="N174" s="17">
        <v>271398</v>
      </c>
      <c r="O174" s="17">
        <v>20267</v>
      </c>
      <c r="P174" s="17">
        <v>0</v>
      </c>
      <c r="Q174" s="17">
        <v>939.51612903225805</v>
      </c>
      <c r="R174" s="17">
        <v>1130</v>
      </c>
      <c r="S174" s="17">
        <v>297048</v>
      </c>
      <c r="T174" s="17">
        <v>20013</v>
      </c>
      <c r="U174" s="17">
        <v>0</v>
      </c>
      <c r="V174" s="17">
        <v>946.66666666666663</v>
      </c>
      <c r="W174" s="17">
        <v>1112.8333333333333</v>
      </c>
      <c r="X174" s="17">
        <v>279878</v>
      </c>
      <c r="Y174" s="17">
        <v>20803</v>
      </c>
      <c r="Z174" s="17">
        <v>0</v>
      </c>
      <c r="AA174" s="17">
        <v>915.80645161290317</v>
      </c>
      <c r="AB174" s="17">
        <v>1078.7096774193549</v>
      </c>
      <c r="AC174" s="17">
        <v>248021</v>
      </c>
      <c r="AD174" s="17">
        <v>20456</v>
      </c>
      <c r="AE174" s="17">
        <v>0</v>
      </c>
      <c r="AF174" s="17">
        <v>926.16666666666663</v>
      </c>
      <c r="AG174" s="17">
        <v>1073</v>
      </c>
      <c r="AH174" s="17">
        <v>228659</v>
      </c>
      <c r="AI174" s="17">
        <v>16515</v>
      </c>
      <c r="AJ174" s="17">
        <v>0</v>
      </c>
      <c r="AK174" s="17">
        <v>924.19354838709683</v>
      </c>
      <c r="AL174" s="17">
        <v>1090</v>
      </c>
      <c r="AM174" s="17">
        <v>238223</v>
      </c>
      <c r="AN174" s="17">
        <v>15207</v>
      </c>
      <c r="AO174" s="17">
        <v>0</v>
      </c>
      <c r="AP174" s="17">
        <v>910.32258064516134</v>
      </c>
      <c r="AQ174" s="17">
        <v>1107.741935483871</v>
      </c>
      <c r="AR174" s="17">
        <v>261032</v>
      </c>
      <c r="AS174" s="17">
        <v>13415</v>
      </c>
      <c r="AT174" s="17">
        <v>0</v>
      </c>
      <c r="AU174" s="17">
        <v>893</v>
      </c>
      <c r="AV174" s="17">
        <v>1100</v>
      </c>
      <c r="AW174" s="17">
        <v>259251</v>
      </c>
      <c r="AX174" s="17">
        <v>15283</v>
      </c>
      <c r="AY174" s="17">
        <v>0</v>
      </c>
      <c r="AZ174" s="17">
        <v>915.16129032258061</v>
      </c>
      <c r="BA174" s="17">
        <v>1087.741935483871</v>
      </c>
      <c r="BB174" s="17">
        <v>236081</v>
      </c>
      <c r="BC174" s="17">
        <v>15239</v>
      </c>
      <c r="BD174" s="17">
        <v>0</v>
      </c>
      <c r="BE174" s="17">
        <v>920</v>
      </c>
      <c r="BF174" s="17">
        <v>1062.6666666666667</v>
      </c>
      <c r="BG174" s="17">
        <v>295377</v>
      </c>
      <c r="BH174" s="17">
        <v>16425</v>
      </c>
      <c r="BI174" s="17">
        <v>0</v>
      </c>
      <c r="BJ174" s="17">
        <v>900.64516129032256</v>
      </c>
      <c r="BK174" s="17">
        <v>1039.0322580645161</v>
      </c>
    </row>
    <row r="175" spans="1:63" x14ac:dyDescent="0.35">
      <c r="A175" s="41">
        <v>171</v>
      </c>
      <c r="B175" s="41" t="s">
        <v>237</v>
      </c>
      <c r="C175" s="43" t="s">
        <v>191</v>
      </c>
      <c r="D175" s="17">
        <v>193279</v>
      </c>
      <c r="E175" s="17">
        <v>16426</v>
      </c>
      <c r="F175" s="17">
        <v>0</v>
      </c>
      <c r="G175" s="17">
        <v>1007.741935483871</v>
      </c>
      <c r="H175" s="17">
        <v>1150</v>
      </c>
      <c r="I175" s="17">
        <v>186476</v>
      </c>
      <c r="J175" s="17">
        <v>18415</v>
      </c>
      <c r="K175" s="17">
        <v>0</v>
      </c>
      <c r="L175" s="17">
        <v>1000.1785714285714</v>
      </c>
      <c r="M175" s="17">
        <v>1150</v>
      </c>
      <c r="N175" s="17">
        <v>158189</v>
      </c>
      <c r="O175" s="17">
        <v>18988</v>
      </c>
      <c r="P175" s="17">
        <v>0</v>
      </c>
      <c r="Q175" s="17">
        <v>941.45161290322585</v>
      </c>
      <c r="R175" s="17">
        <v>1150</v>
      </c>
      <c r="S175" s="17">
        <v>142716</v>
      </c>
      <c r="T175" s="17">
        <v>14980</v>
      </c>
      <c r="U175" s="17">
        <v>0</v>
      </c>
      <c r="V175" s="17">
        <v>944.66666666666663</v>
      </c>
      <c r="W175" s="17">
        <v>1135</v>
      </c>
      <c r="X175" s="17">
        <v>139347</v>
      </c>
      <c r="Y175" s="17">
        <v>15124</v>
      </c>
      <c r="Z175" s="17">
        <v>0</v>
      </c>
      <c r="AA175" s="17">
        <v>913.22580645161293</v>
      </c>
      <c r="AB175" s="17">
        <v>1087.4193548387098</v>
      </c>
      <c r="AC175" s="17">
        <v>123023</v>
      </c>
      <c r="AD175" s="17">
        <v>12945</v>
      </c>
      <c r="AE175" s="17">
        <v>0</v>
      </c>
      <c r="AF175" s="17">
        <v>924.83333333333337</v>
      </c>
      <c r="AG175" s="17">
        <v>1079.3333333333333</v>
      </c>
      <c r="AH175" s="17">
        <v>121535</v>
      </c>
      <c r="AI175" s="17">
        <v>12171</v>
      </c>
      <c r="AJ175" s="17">
        <v>0</v>
      </c>
      <c r="AK175" s="17">
        <v>920.64516129032256</v>
      </c>
      <c r="AL175" s="17">
        <v>1090</v>
      </c>
      <c r="AM175" s="17">
        <v>118082</v>
      </c>
      <c r="AN175" s="17">
        <v>11459</v>
      </c>
      <c r="AO175" s="17">
        <v>0</v>
      </c>
      <c r="AP175" s="17">
        <v>910</v>
      </c>
      <c r="AQ175" s="17">
        <v>1109.3548387096773</v>
      </c>
      <c r="AR175" s="17">
        <v>136437</v>
      </c>
      <c r="AS175" s="17">
        <v>11941</v>
      </c>
      <c r="AT175" s="17">
        <v>0</v>
      </c>
      <c r="AU175" s="17">
        <v>892</v>
      </c>
      <c r="AV175" s="17">
        <v>1100</v>
      </c>
      <c r="AW175" s="17">
        <v>127325</v>
      </c>
      <c r="AX175" s="17">
        <v>13419</v>
      </c>
      <c r="AY175" s="17">
        <v>0</v>
      </c>
      <c r="AZ175" s="17">
        <v>913.22580645161293</v>
      </c>
      <c r="BA175" s="17">
        <v>1088.0645161290322</v>
      </c>
      <c r="BB175" s="17">
        <v>118973</v>
      </c>
      <c r="BC175" s="17">
        <v>12142</v>
      </c>
      <c r="BD175" s="17">
        <v>0</v>
      </c>
      <c r="BE175" s="17">
        <v>919.33333333333337</v>
      </c>
      <c r="BF175" s="17">
        <v>1063.3333333333333</v>
      </c>
      <c r="BG175" s="17">
        <v>135376</v>
      </c>
      <c r="BH175" s="17">
        <v>18346</v>
      </c>
      <c r="BI175" s="17">
        <v>0</v>
      </c>
      <c r="BJ175" s="17">
        <v>895.32258064516134</v>
      </c>
      <c r="BK175" s="17">
        <v>1044.8387096774193</v>
      </c>
    </row>
    <row r="176" spans="1:63" x14ac:dyDescent="0.35">
      <c r="A176" s="41">
        <v>172</v>
      </c>
      <c r="B176" s="41" t="s">
        <v>231</v>
      </c>
      <c r="C176" s="43" t="s">
        <v>192</v>
      </c>
      <c r="D176" s="17">
        <v>373914</v>
      </c>
      <c r="E176" s="17">
        <v>81513</v>
      </c>
      <c r="F176" s="17">
        <v>0</v>
      </c>
      <c r="G176" s="17">
        <v>1014.6774193548387</v>
      </c>
      <c r="H176" s="17">
        <v>1170.3225806451612</v>
      </c>
      <c r="I176" s="17">
        <v>338066</v>
      </c>
      <c r="J176" s="17">
        <v>92709</v>
      </c>
      <c r="K176" s="17">
        <v>0</v>
      </c>
      <c r="L176" s="17">
        <v>1001.4285714285714</v>
      </c>
      <c r="M176" s="17">
        <v>1156.0714285714287</v>
      </c>
      <c r="N176" s="17">
        <v>340826</v>
      </c>
      <c r="O176" s="17">
        <v>88703</v>
      </c>
      <c r="P176" s="17">
        <v>0</v>
      </c>
      <c r="Q176" s="17">
        <v>942.25806451612902</v>
      </c>
      <c r="R176" s="17">
        <v>1140.3225806451612</v>
      </c>
      <c r="S176" s="17">
        <v>329581</v>
      </c>
      <c r="T176" s="17">
        <v>131173</v>
      </c>
      <c r="U176" s="17">
        <v>0</v>
      </c>
      <c r="V176" s="17">
        <v>944.33333333333337</v>
      </c>
      <c r="W176" s="17">
        <v>1130</v>
      </c>
      <c r="X176" s="17">
        <v>398385</v>
      </c>
      <c r="Y176" s="17">
        <v>99883</v>
      </c>
      <c r="Z176" s="17">
        <v>0</v>
      </c>
      <c r="AA176" s="17">
        <v>909.35483870967744</v>
      </c>
      <c r="AB176" s="17">
        <v>1092.5806451612902</v>
      </c>
      <c r="AC176" s="17">
        <v>341952</v>
      </c>
      <c r="AD176" s="17">
        <v>107092</v>
      </c>
      <c r="AE176" s="17">
        <v>0</v>
      </c>
      <c r="AF176" s="17">
        <v>920.5</v>
      </c>
      <c r="AG176" s="17">
        <v>1076</v>
      </c>
      <c r="AH176" s="17">
        <v>328066</v>
      </c>
      <c r="AI176" s="17">
        <v>80671</v>
      </c>
      <c r="AJ176" s="17">
        <v>0</v>
      </c>
      <c r="AK176" s="17">
        <v>918.70967741935488</v>
      </c>
      <c r="AL176" s="17">
        <v>1093.2258064516129</v>
      </c>
      <c r="AM176" s="17">
        <v>290224</v>
      </c>
      <c r="AN176" s="17">
        <v>92271</v>
      </c>
      <c r="AO176" s="17">
        <v>0</v>
      </c>
      <c r="AP176" s="17">
        <v>910</v>
      </c>
      <c r="AQ176" s="17">
        <v>1107.0967741935483</v>
      </c>
      <c r="AR176" s="17">
        <v>294065</v>
      </c>
      <c r="AS176" s="17">
        <v>86365</v>
      </c>
      <c r="AT176" s="17">
        <v>0</v>
      </c>
      <c r="AU176" s="17">
        <v>897.33333333333337</v>
      </c>
      <c r="AV176" s="17">
        <v>1090</v>
      </c>
      <c r="AW176" s="17">
        <v>279031</v>
      </c>
      <c r="AX176" s="17">
        <v>88577</v>
      </c>
      <c r="AY176" s="17">
        <v>0</v>
      </c>
      <c r="AZ176" s="17">
        <v>912.58064516129036</v>
      </c>
      <c r="BA176" s="17">
        <v>1087.4193548387098</v>
      </c>
      <c r="BB176" s="17">
        <v>308509</v>
      </c>
      <c r="BC176" s="17">
        <v>84028</v>
      </c>
      <c r="BD176" s="17">
        <v>0</v>
      </c>
      <c r="BE176" s="17">
        <v>920</v>
      </c>
      <c r="BF176" s="17">
        <v>1074</v>
      </c>
      <c r="BG176" s="17">
        <v>341414</v>
      </c>
      <c r="BH176" s="17">
        <v>102361</v>
      </c>
      <c r="BI176" s="17">
        <v>0</v>
      </c>
      <c r="BJ176" s="17">
        <v>892.25806451612902</v>
      </c>
      <c r="BK176" s="17">
        <v>1049.6774193548388</v>
      </c>
    </row>
    <row r="177" spans="1:63" x14ac:dyDescent="0.35">
      <c r="A177" s="41">
        <v>173</v>
      </c>
      <c r="B177" s="41" t="s">
        <v>233</v>
      </c>
      <c r="C177" s="43" t="s">
        <v>193</v>
      </c>
      <c r="D177" s="17">
        <v>203263</v>
      </c>
      <c r="E177" s="17">
        <v>12055</v>
      </c>
      <c r="F177" s="17">
        <v>0</v>
      </c>
      <c r="G177" s="17">
        <v>1002.5806451612904</v>
      </c>
      <c r="H177" s="17">
        <v>1132.9032258064517</v>
      </c>
      <c r="I177" s="17">
        <v>230732</v>
      </c>
      <c r="J177" s="17">
        <v>13560</v>
      </c>
      <c r="K177" s="17">
        <v>0</v>
      </c>
      <c r="L177" s="17">
        <v>967.85714285714289</v>
      </c>
      <c r="M177" s="17">
        <v>1126.4285714285713</v>
      </c>
      <c r="N177" s="17">
        <v>276721</v>
      </c>
      <c r="O177" s="17">
        <v>19658</v>
      </c>
      <c r="P177" s="17">
        <v>0</v>
      </c>
      <c r="Q177" s="17">
        <v>898.45161290322585</v>
      </c>
      <c r="R177" s="17">
        <v>1107.4193548387098</v>
      </c>
      <c r="S177" s="17">
        <v>289036</v>
      </c>
      <c r="T177" s="17">
        <v>18791</v>
      </c>
      <c r="U177" s="17">
        <v>0</v>
      </c>
      <c r="V177" s="17">
        <v>918.83333333333337</v>
      </c>
      <c r="W177" s="17">
        <v>1100</v>
      </c>
      <c r="X177" s="17">
        <v>237008</v>
      </c>
      <c r="Y177" s="17">
        <v>15136</v>
      </c>
      <c r="Z177" s="17">
        <v>0</v>
      </c>
      <c r="AA177" s="17">
        <v>886.45161290322585</v>
      </c>
      <c r="AB177" s="17">
        <v>1080.3225806451612</v>
      </c>
      <c r="AC177" s="17">
        <v>249834</v>
      </c>
      <c r="AD177" s="17">
        <v>11878</v>
      </c>
      <c r="AE177" s="17">
        <v>0</v>
      </c>
      <c r="AF177" s="17">
        <v>897.33333333333337</v>
      </c>
      <c r="AG177" s="17">
        <v>1057.0999999999999</v>
      </c>
      <c r="AH177" s="17">
        <v>253332</v>
      </c>
      <c r="AI177" s="17">
        <v>16674</v>
      </c>
      <c r="AJ177" s="17">
        <v>0</v>
      </c>
      <c r="AK177" s="17">
        <v>891.12903225806451</v>
      </c>
      <c r="AL177" s="17">
        <v>1079.9354838709678</v>
      </c>
      <c r="AM177" s="17">
        <v>285451</v>
      </c>
      <c r="AN177" s="17">
        <v>17311</v>
      </c>
      <c r="AO177" s="17">
        <v>0</v>
      </c>
      <c r="AP177" s="17">
        <v>876.61290322580646</v>
      </c>
      <c r="AQ177" s="17">
        <v>1072.5806451612902</v>
      </c>
      <c r="AR177" s="17">
        <v>321510</v>
      </c>
      <c r="AS177" s="17">
        <v>16313</v>
      </c>
      <c r="AT177" s="17">
        <v>0</v>
      </c>
      <c r="AU177" s="17">
        <v>866</v>
      </c>
      <c r="AV177" s="17">
        <v>1050</v>
      </c>
      <c r="AW177" s="17">
        <v>386634</v>
      </c>
      <c r="AX177" s="17">
        <v>17850</v>
      </c>
      <c r="AY177" s="17">
        <v>0</v>
      </c>
      <c r="AZ177" s="17">
        <v>900.77419354838707</v>
      </c>
      <c r="BA177" s="17">
        <v>1041.9354838709678</v>
      </c>
      <c r="BB177" s="17">
        <v>334985</v>
      </c>
      <c r="BC177" s="17">
        <v>15854</v>
      </c>
      <c r="BD177" s="17">
        <v>0</v>
      </c>
      <c r="BE177" s="17">
        <v>913.73333333333335</v>
      </c>
      <c r="BF177" s="17">
        <v>1020</v>
      </c>
      <c r="BG177" s="17">
        <v>281320</v>
      </c>
      <c r="BH177" s="17">
        <v>23481</v>
      </c>
      <c r="BI177" s="17">
        <v>0</v>
      </c>
      <c r="BJ177" s="17">
        <v>899.35483870967744</v>
      </c>
      <c r="BK177" s="17">
        <v>1013.2258064516129</v>
      </c>
    </row>
    <row r="178" spans="1:63" x14ac:dyDescent="0.35">
      <c r="A178" s="41">
        <v>174</v>
      </c>
      <c r="B178" s="41" t="s">
        <v>249</v>
      </c>
      <c r="C178" s="43" t="s">
        <v>194</v>
      </c>
      <c r="D178" s="17">
        <v>247857</v>
      </c>
      <c r="E178" s="17">
        <v>11350</v>
      </c>
      <c r="F178" s="17">
        <v>0</v>
      </c>
      <c r="G178" s="17">
        <v>1012.0967741935484</v>
      </c>
      <c r="H178" s="17">
        <v>1163.8709677419354</v>
      </c>
      <c r="I178" s="17">
        <v>290632</v>
      </c>
      <c r="J178" s="17">
        <v>21505</v>
      </c>
      <c r="K178" s="17">
        <v>0</v>
      </c>
      <c r="L178" s="17">
        <v>1002.1428571428571</v>
      </c>
      <c r="M178" s="17">
        <v>1160</v>
      </c>
      <c r="N178" s="17">
        <v>246211</v>
      </c>
      <c r="O178" s="17">
        <v>33403</v>
      </c>
      <c r="P178" s="17">
        <v>0</v>
      </c>
      <c r="Q178" s="17">
        <v>948.06451612903231</v>
      </c>
      <c r="R178" s="17">
        <v>1147.4193548387098</v>
      </c>
      <c r="S178" s="17">
        <v>212724</v>
      </c>
      <c r="T178" s="17">
        <v>20596</v>
      </c>
      <c r="U178" s="17">
        <v>0</v>
      </c>
      <c r="V178" s="17">
        <v>944.66666666666663</v>
      </c>
      <c r="W178" s="17">
        <v>1121</v>
      </c>
      <c r="X178" s="17">
        <v>212548</v>
      </c>
      <c r="Y178" s="17">
        <v>13241</v>
      </c>
      <c r="Z178" s="17">
        <v>0</v>
      </c>
      <c r="AA178" s="17">
        <v>913.22580645161293</v>
      </c>
      <c r="AB178" s="17">
        <v>1087.4193548387098</v>
      </c>
      <c r="AC178" s="17">
        <v>165706</v>
      </c>
      <c r="AD178" s="17">
        <v>11954</v>
      </c>
      <c r="AE178" s="17">
        <v>0</v>
      </c>
      <c r="AF178" s="17">
        <v>925.16666666666663</v>
      </c>
      <c r="AG178" s="17">
        <v>1080</v>
      </c>
      <c r="AH178" s="17">
        <v>168238</v>
      </c>
      <c r="AI178" s="17">
        <v>11728</v>
      </c>
      <c r="AJ178" s="17">
        <v>0</v>
      </c>
      <c r="AK178" s="17">
        <v>919.0322580645161</v>
      </c>
      <c r="AL178" s="17">
        <v>1087.741935483871</v>
      </c>
      <c r="AM178" s="17">
        <v>158617</v>
      </c>
      <c r="AN178" s="17">
        <v>11749</v>
      </c>
      <c r="AO178" s="17">
        <v>0</v>
      </c>
      <c r="AP178" s="17">
        <v>910</v>
      </c>
      <c r="AQ178" s="17">
        <v>1110.6451612903227</v>
      </c>
      <c r="AR178" s="17">
        <v>160072</v>
      </c>
      <c r="AS178" s="17">
        <v>8503</v>
      </c>
      <c r="AT178" s="17">
        <v>0</v>
      </c>
      <c r="AU178" s="17">
        <v>892.33333333333337</v>
      </c>
      <c r="AV178" s="17">
        <v>1100</v>
      </c>
      <c r="AW178" s="17">
        <v>146389</v>
      </c>
      <c r="AX178" s="17">
        <v>11148</v>
      </c>
      <c r="AY178" s="17">
        <v>0</v>
      </c>
      <c r="AZ178" s="17">
        <v>915</v>
      </c>
      <c r="BA178" s="17">
        <v>1084.8387096774193</v>
      </c>
      <c r="BB178" s="17">
        <v>137018</v>
      </c>
      <c r="BC178" s="17">
        <v>11681</v>
      </c>
      <c r="BD178" s="17">
        <v>0</v>
      </c>
      <c r="BE178" s="17">
        <v>918.33333333333337</v>
      </c>
      <c r="BF178" s="17">
        <v>1063.3333333333333</v>
      </c>
      <c r="BG178" s="17">
        <v>139962</v>
      </c>
      <c r="BH178" s="17">
        <v>13430</v>
      </c>
      <c r="BI178" s="17">
        <v>0</v>
      </c>
      <c r="BJ178" s="17">
        <v>895.16129032258061</v>
      </c>
      <c r="BK178" s="17">
        <v>1044.8387096774193</v>
      </c>
    </row>
    <row r="179" spans="1:63" x14ac:dyDescent="0.35">
      <c r="A179" s="41">
        <v>175</v>
      </c>
      <c r="B179" s="41" t="s">
        <v>251</v>
      </c>
      <c r="C179" s="43" t="s">
        <v>195</v>
      </c>
      <c r="D179" s="17">
        <v>299411</v>
      </c>
      <c r="E179" s="17">
        <v>36617</v>
      </c>
      <c r="F179" s="17">
        <v>0</v>
      </c>
      <c r="G179" s="17">
        <v>1054.516129032258</v>
      </c>
      <c r="H179" s="17">
        <v>1199.3548387096773</v>
      </c>
      <c r="I179" s="17">
        <v>194062</v>
      </c>
      <c r="J179" s="17">
        <v>28849</v>
      </c>
      <c r="K179" s="17">
        <v>0</v>
      </c>
      <c r="L179" s="17">
        <v>1014.2857142857143</v>
      </c>
      <c r="M179" s="17">
        <v>1193.5714285714287</v>
      </c>
      <c r="N179" s="17">
        <v>216569</v>
      </c>
      <c r="O179" s="17">
        <v>34524</v>
      </c>
      <c r="P179" s="17">
        <v>0</v>
      </c>
      <c r="Q179" s="17">
        <v>955.80645161290317</v>
      </c>
      <c r="R179" s="17">
        <v>1162.5806451612902</v>
      </c>
      <c r="S179" s="17">
        <v>291144</v>
      </c>
      <c r="T179" s="17">
        <v>57280</v>
      </c>
      <c r="U179" s="17">
        <v>0</v>
      </c>
      <c r="V179" s="17">
        <v>956.66666666666663</v>
      </c>
      <c r="W179" s="17">
        <v>1150</v>
      </c>
      <c r="X179" s="17">
        <v>238143</v>
      </c>
      <c r="Y179" s="17">
        <v>37731</v>
      </c>
      <c r="Z179" s="17">
        <v>0</v>
      </c>
      <c r="AA179" s="17">
        <v>932.90322580645159</v>
      </c>
      <c r="AB179" s="17">
        <v>1125.1612903225807</v>
      </c>
      <c r="AC179" s="17">
        <v>202601</v>
      </c>
      <c r="AD179" s="17">
        <v>28134</v>
      </c>
      <c r="AE179" s="17">
        <v>0</v>
      </c>
      <c r="AF179" s="17">
        <v>925.66666666666663</v>
      </c>
      <c r="AG179" s="17">
        <v>1101.3333333333333</v>
      </c>
      <c r="AH179" s="17">
        <v>212921</v>
      </c>
      <c r="AI179" s="17">
        <v>39781</v>
      </c>
      <c r="AJ179" s="17">
        <v>0</v>
      </c>
      <c r="AK179" s="17">
        <v>931.93548387096769</v>
      </c>
      <c r="AL179" s="17">
        <v>1107.4193548387098</v>
      </c>
      <c r="AM179" s="17">
        <v>227955</v>
      </c>
      <c r="AN179" s="17">
        <v>42369</v>
      </c>
      <c r="AO179" s="17">
        <v>0</v>
      </c>
      <c r="AP179" s="17">
        <v>920.9677419354839</v>
      </c>
      <c r="AQ179" s="17">
        <v>1111.2903225806451</v>
      </c>
      <c r="AR179" s="17">
        <v>221029</v>
      </c>
      <c r="AS179" s="17">
        <v>41062</v>
      </c>
      <c r="AT179" s="17">
        <v>0</v>
      </c>
      <c r="AU179" s="17">
        <v>899</v>
      </c>
      <c r="AV179" s="17">
        <v>1099.3333333333333</v>
      </c>
      <c r="AW179" s="17">
        <v>241238</v>
      </c>
      <c r="AX179" s="17">
        <v>47324</v>
      </c>
      <c r="AY179" s="17">
        <v>0</v>
      </c>
      <c r="AZ179" s="17">
        <v>923.22580645161293</v>
      </c>
      <c r="BA179" s="17">
        <v>1092.9032258064517</v>
      </c>
      <c r="BB179" s="17">
        <v>211561</v>
      </c>
      <c r="BC179" s="17">
        <v>55265</v>
      </c>
      <c r="BD179" s="17">
        <v>0</v>
      </c>
      <c r="BE179" s="17">
        <v>933.66666666666663</v>
      </c>
      <c r="BF179" s="17">
        <v>1078.6666666666667</v>
      </c>
      <c r="BG179" s="17">
        <v>279931</v>
      </c>
      <c r="BH179" s="17">
        <v>70908</v>
      </c>
      <c r="BI179" s="17">
        <v>0</v>
      </c>
      <c r="BJ179" s="17">
        <v>910.9677419354839</v>
      </c>
      <c r="BK179" s="17">
        <v>1065.1612903225807</v>
      </c>
    </row>
    <row r="180" spans="1:63" x14ac:dyDescent="0.35">
      <c r="A180" s="41">
        <v>176</v>
      </c>
      <c r="B180" s="41" t="s">
        <v>243</v>
      </c>
      <c r="C180" s="43" t="s">
        <v>196</v>
      </c>
      <c r="D180" s="17">
        <v>121246</v>
      </c>
      <c r="E180" s="17">
        <v>11519</v>
      </c>
      <c r="F180" s="17">
        <v>0</v>
      </c>
      <c r="G180" s="17">
        <v>1045.483870967742</v>
      </c>
      <c r="H180" s="17">
        <v>1150</v>
      </c>
      <c r="I180" s="17">
        <v>89674</v>
      </c>
      <c r="J180" s="17">
        <v>14543</v>
      </c>
      <c r="K180" s="17">
        <v>0</v>
      </c>
      <c r="L180" s="17">
        <v>1003.9285714285714</v>
      </c>
      <c r="M180" s="17">
        <v>1148.5714285714287</v>
      </c>
      <c r="N180" s="17">
        <v>109547</v>
      </c>
      <c r="O180" s="17">
        <v>18075</v>
      </c>
      <c r="P180" s="17">
        <v>0</v>
      </c>
      <c r="Q180" s="17">
        <v>951.29032258064512</v>
      </c>
      <c r="R180" s="17">
        <v>1131.6129032258063</v>
      </c>
      <c r="S180" s="17">
        <v>114561</v>
      </c>
      <c r="T180" s="17">
        <v>14398</v>
      </c>
      <c r="U180" s="17">
        <v>0</v>
      </c>
      <c r="V180" s="17">
        <v>945.33333333333337</v>
      </c>
      <c r="W180" s="17">
        <v>1112.8333333333333</v>
      </c>
      <c r="X180" s="17">
        <v>111395</v>
      </c>
      <c r="Y180" s="17">
        <v>15740</v>
      </c>
      <c r="Z180" s="17">
        <v>0</v>
      </c>
      <c r="AA180" s="17">
        <v>915.80645161290317</v>
      </c>
      <c r="AB180" s="17">
        <v>1078.7096774193549</v>
      </c>
      <c r="AC180" s="17">
        <v>93245</v>
      </c>
      <c r="AD180" s="17">
        <v>13246</v>
      </c>
      <c r="AE180" s="17">
        <v>0</v>
      </c>
      <c r="AF180" s="17">
        <v>926.16666666666663</v>
      </c>
      <c r="AG180" s="17">
        <v>1073</v>
      </c>
      <c r="AH180" s="17">
        <v>93068</v>
      </c>
      <c r="AI180" s="17">
        <v>17096</v>
      </c>
      <c r="AJ180" s="17">
        <v>0</v>
      </c>
      <c r="AK180" s="17">
        <v>925.48387096774195</v>
      </c>
      <c r="AL180" s="17">
        <v>1090</v>
      </c>
      <c r="AM180" s="17">
        <v>97285</v>
      </c>
      <c r="AN180" s="17">
        <v>16982</v>
      </c>
      <c r="AO180" s="17">
        <v>0</v>
      </c>
      <c r="AP180" s="17">
        <v>916.12903225806451</v>
      </c>
      <c r="AQ180" s="17">
        <v>1107.741935483871</v>
      </c>
      <c r="AR180" s="17">
        <v>107449</v>
      </c>
      <c r="AS180" s="17">
        <v>18079</v>
      </c>
      <c r="AT180" s="17">
        <v>0</v>
      </c>
      <c r="AU180" s="17">
        <v>900.66666666666663</v>
      </c>
      <c r="AV180" s="17">
        <v>1100</v>
      </c>
      <c r="AW180" s="17">
        <v>107835</v>
      </c>
      <c r="AX180" s="17">
        <v>15872</v>
      </c>
      <c r="AY180" s="17">
        <v>0</v>
      </c>
      <c r="AZ180" s="17">
        <v>916.45161290322585</v>
      </c>
      <c r="BA180" s="17">
        <v>1095.1612903225807</v>
      </c>
      <c r="BB180" s="17">
        <v>108175</v>
      </c>
      <c r="BC180" s="17">
        <v>13408</v>
      </c>
      <c r="BD180" s="17">
        <v>0</v>
      </c>
      <c r="BE180" s="17">
        <v>921.83333333333337</v>
      </c>
      <c r="BF180" s="17">
        <v>1075.6666666666667</v>
      </c>
      <c r="BG180" s="17">
        <v>134604</v>
      </c>
      <c r="BH180" s="17">
        <v>16834</v>
      </c>
      <c r="BI180" s="17">
        <v>0</v>
      </c>
      <c r="BJ180" s="17">
        <v>901.45161290322585</v>
      </c>
      <c r="BK180" s="17">
        <v>1049.0322580645161</v>
      </c>
    </row>
    <row r="181" spans="1:63" x14ac:dyDescent="0.35">
      <c r="A181" s="41">
        <v>177</v>
      </c>
      <c r="B181" s="41" t="s">
        <v>239</v>
      </c>
      <c r="C181" s="43" t="s">
        <v>197</v>
      </c>
      <c r="D181" s="17">
        <v>116491</v>
      </c>
      <c r="E181" s="17">
        <v>41069</v>
      </c>
      <c r="F181" s="17">
        <v>0</v>
      </c>
      <c r="G181" s="17">
        <v>1017.0967741935484</v>
      </c>
      <c r="H181" s="17">
        <v>1164.516129032258</v>
      </c>
      <c r="I181" s="17">
        <v>124509</v>
      </c>
      <c r="J181" s="17">
        <v>35044</v>
      </c>
      <c r="K181" s="17">
        <v>0</v>
      </c>
      <c r="L181" s="17">
        <v>1001.7857142857143</v>
      </c>
      <c r="M181" s="17">
        <v>1168.9285714285713</v>
      </c>
      <c r="N181" s="17">
        <v>127833</v>
      </c>
      <c r="O181" s="17">
        <v>55742</v>
      </c>
      <c r="P181" s="17">
        <v>0</v>
      </c>
      <c r="Q181" s="17">
        <v>942.58064516129036</v>
      </c>
      <c r="R181" s="17">
        <v>1140</v>
      </c>
      <c r="S181" s="17">
        <v>134369</v>
      </c>
      <c r="T181" s="17">
        <v>35904</v>
      </c>
      <c r="U181" s="17">
        <v>0</v>
      </c>
      <c r="V181" s="17">
        <v>944.33333333333337</v>
      </c>
      <c r="W181" s="17">
        <v>1128</v>
      </c>
      <c r="X181" s="17">
        <v>150163</v>
      </c>
      <c r="Y181" s="17">
        <v>14768</v>
      </c>
      <c r="Z181" s="17">
        <v>0</v>
      </c>
      <c r="AA181" s="17">
        <v>913.22580645161293</v>
      </c>
      <c r="AB181" s="17">
        <v>1087.4193548387098</v>
      </c>
      <c r="AC181" s="17">
        <v>108928</v>
      </c>
      <c r="AD181" s="17">
        <v>8671</v>
      </c>
      <c r="AE181" s="17">
        <v>0</v>
      </c>
      <c r="AF181" s="17">
        <v>923.16666666666663</v>
      </c>
      <c r="AG181" s="17">
        <v>1071.6666666666667</v>
      </c>
      <c r="AH181" s="17">
        <v>122032</v>
      </c>
      <c r="AI181" s="17">
        <v>16897</v>
      </c>
      <c r="AJ181" s="17">
        <v>0</v>
      </c>
      <c r="AK181" s="17">
        <v>923.22580645161293</v>
      </c>
      <c r="AL181" s="17">
        <v>1090</v>
      </c>
      <c r="AM181" s="17">
        <v>114614</v>
      </c>
      <c r="AN181" s="17">
        <v>15500</v>
      </c>
      <c r="AO181" s="17">
        <v>0</v>
      </c>
      <c r="AP181" s="17">
        <v>911.61290322580646</v>
      </c>
      <c r="AQ181" s="17">
        <v>1109.3548387096773</v>
      </c>
      <c r="AR181" s="17">
        <v>87205</v>
      </c>
      <c r="AS181" s="17">
        <v>16405</v>
      </c>
      <c r="AT181" s="17">
        <v>0</v>
      </c>
      <c r="AU181" s="17">
        <v>892.66666666666663</v>
      </c>
      <c r="AV181" s="17">
        <v>1100</v>
      </c>
      <c r="AW181" s="17">
        <v>91421</v>
      </c>
      <c r="AX181" s="17">
        <v>17103</v>
      </c>
      <c r="AY181" s="17">
        <v>0</v>
      </c>
      <c r="AZ181" s="17">
        <v>913.22580645161293</v>
      </c>
      <c r="BA181" s="17">
        <v>1089.6774193548388</v>
      </c>
      <c r="BB181" s="17">
        <v>84720</v>
      </c>
      <c r="BC181" s="17">
        <v>14603</v>
      </c>
      <c r="BD181" s="17">
        <v>0</v>
      </c>
      <c r="BE181" s="17">
        <v>923.66666666666663</v>
      </c>
      <c r="BF181" s="17">
        <v>1060</v>
      </c>
      <c r="BG181" s="17">
        <v>90769</v>
      </c>
      <c r="BH181" s="17">
        <v>29373</v>
      </c>
      <c r="BI181" s="17">
        <v>0</v>
      </c>
      <c r="BJ181" s="17">
        <v>895.32258064516134</v>
      </c>
      <c r="BK181" s="17">
        <v>1049.6774193548388</v>
      </c>
    </row>
    <row r="182" spans="1:63" x14ac:dyDescent="0.35">
      <c r="A182" s="41">
        <v>178</v>
      </c>
      <c r="B182" s="41" t="s">
        <v>237</v>
      </c>
      <c r="C182" s="43" t="s">
        <v>198</v>
      </c>
      <c r="D182" s="17">
        <v>116393</v>
      </c>
      <c r="E182" s="17">
        <v>5455</v>
      </c>
      <c r="F182" s="17">
        <v>0</v>
      </c>
      <c r="G182" s="17">
        <v>1005.9677419354839</v>
      </c>
      <c r="H182" s="17">
        <v>1150</v>
      </c>
      <c r="I182" s="17">
        <v>89867</v>
      </c>
      <c r="J182" s="17">
        <v>7154</v>
      </c>
      <c r="K182" s="17">
        <v>0</v>
      </c>
      <c r="L182" s="17">
        <v>994.46428571428567</v>
      </c>
      <c r="M182" s="17">
        <v>1150</v>
      </c>
      <c r="N182" s="17">
        <v>76282</v>
      </c>
      <c r="O182" s="17">
        <v>5269</v>
      </c>
      <c r="P182" s="17">
        <v>0</v>
      </c>
      <c r="Q182" s="17">
        <v>940</v>
      </c>
      <c r="R182" s="17">
        <v>1150</v>
      </c>
      <c r="S182" s="17">
        <v>88829</v>
      </c>
      <c r="T182" s="17">
        <v>4749</v>
      </c>
      <c r="U182" s="17">
        <v>0</v>
      </c>
      <c r="V182" s="17">
        <v>944.33333333333337</v>
      </c>
      <c r="W182" s="17">
        <v>1134.3333333333333</v>
      </c>
      <c r="X182" s="17">
        <v>88822</v>
      </c>
      <c r="Y182" s="17">
        <v>7204</v>
      </c>
      <c r="Z182" s="17">
        <v>0</v>
      </c>
      <c r="AA182" s="17">
        <v>904.83870967741939</v>
      </c>
      <c r="AB182" s="17">
        <v>1087.4193548387098</v>
      </c>
      <c r="AC182" s="17">
        <v>75332</v>
      </c>
      <c r="AD182" s="17">
        <v>5442</v>
      </c>
      <c r="AE182" s="17">
        <v>0</v>
      </c>
      <c r="AF182" s="17">
        <v>923.83333333333337</v>
      </c>
      <c r="AG182" s="17">
        <v>1079.3333333333333</v>
      </c>
      <c r="AH182" s="17">
        <v>69203</v>
      </c>
      <c r="AI182" s="17">
        <v>5759</v>
      </c>
      <c r="AJ182" s="17">
        <v>0</v>
      </c>
      <c r="AK182" s="17">
        <v>920.64516129032256</v>
      </c>
      <c r="AL182" s="17">
        <v>1090</v>
      </c>
      <c r="AM182" s="17">
        <v>73838</v>
      </c>
      <c r="AN182" s="17">
        <v>6006</v>
      </c>
      <c r="AO182" s="17">
        <v>0</v>
      </c>
      <c r="AP182" s="17">
        <v>910</v>
      </c>
      <c r="AQ182" s="17">
        <v>1109.3548387096773</v>
      </c>
      <c r="AR182" s="17">
        <v>72183</v>
      </c>
      <c r="AS182" s="17">
        <v>4835</v>
      </c>
      <c r="AT182" s="17">
        <v>0</v>
      </c>
      <c r="AU182" s="17">
        <v>892</v>
      </c>
      <c r="AV182" s="17">
        <v>1100</v>
      </c>
      <c r="AW182" s="17">
        <v>68694</v>
      </c>
      <c r="AX182" s="17">
        <v>3916</v>
      </c>
      <c r="AY182" s="17">
        <v>0</v>
      </c>
      <c r="AZ182" s="17">
        <v>913.22580645161293</v>
      </c>
      <c r="BA182" s="17">
        <v>1088.0645161290322</v>
      </c>
      <c r="BB182" s="17">
        <v>72919</v>
      </c>
      <c r="BC182" s="17">
        <v>3951</v>
      </c>
      <c r="BD182" s="17">
        <v>0</v>
      </c>
      <c r="BE182" s="17">
        <v>919.33333333333337</v>
      </c>
      <c r="BF182" s="17">
        <v>1063.3333333333333</v>
      </c>
      <c r="BG182" s="17">
        <v>66441</v>
      </c>
      <c r="BH182" s="17">
        <v>5027</v>
      </c>
      <c r="BI182" s="17">
        <v>0</v>
      </c>
      <c r="BJ182" s="17">
        <v>895.32258064516134</v>
      </c>
      <c r="BK182" s="17">
        <v>1044.8387096774193</v>
      </c>
    </row>
    <row r="183" spans="1:63" x14ac:dyDescent="0.35">
      <c r="A183" s="41">
        <v>179</v>
      </c>
      <c r="B183" s="41" t="s">
        <v>234</v>
      </c>
      <c r="C183" s="43" t="s">
        <v>199</v>
      </c>
      <c r="D183" s="17">
        <v>182096</v>
      </c>
      <c r="E183" s="17">
        <v>12643</v>
      </c>
      <c r="F183" s="17">
        <v>0</v>
      </c>
      <c r="G183" s="17">
        <v>1018.2258064516129</v>
      </c>
      <c r="H183" s="17">
        <v>1150.9677419354839</v>
      </c>
      <c r="I183" s="17">
        <v>162944</v>
      </c>
      <c r="J183" s="17">
        <v>14023</v>
      </c>
      <c r="K183" s="17">
        <v>2</v>
      </c>
      <c r="L183" s="17">
        <v>1001.4285714285714</v>
      </c>
      <c r="M183" s="17">
        <v>1144.2857142857142</v>
      </c>
      <c r="N183" s="17">
        <v>196959</v>
      </c>
      <c r="O183" s="17">
        <v>24851</v>
      </c>
      <c r="P183" s="17">
        <v>0</v>
      </c>
      <c r="Q183" s="17">
        <v>939.51612903225805</v>
      </c>
      <c r="R183" s="17">
        <v>1130</v>
      </c>
      <c r="S183" s="17">
        <v>203623</v>
      </c>
      <c r="T183" s="17">
        <v>20681</v>
      </c>
      <c r="U183" s="17">
        <v>0</v>
      </c>
      <c r="V183" s="17">
        <v>946.66666666666663</v>
      </c>
      <c r="W183" s="17">
        <v>1113.1666666666667</v>
      </c>
      <c r="X183" s="17">
        <v>195583</v>
      </c>
      <c r="Y183" s="17">
        <v>23795</v>
      </c>
      <c r="Z183" s="17">
        <v>0</v>
      </c>
      <c r="AA183" s="17">
        <v>915.80645161290317</v>
      </c>
      <c r="AB183" s="17">
        <v>1078.7096774193549</v>
      </c>
      <c r="AC183" s="17">
        <v>187926</v>
      </c>
      <c r="AD183" s="17">
        <v>18008</v>
      </c>
      <c r="AE183" s="17">
        <v>0</v>
      </c>
      <c r="AF183" s="17">
        <v>925.33333333333337</v>
      </c>
      <c r="AG183" s="17">
        <v>1073</v>
      </c>
      <c r="AH183" s="17">
        <v>180503</v>
      </c>
      <c r="AI183" s="17">
        <v>17605</v>
      </c>
      <c r="AJ183" s="17">
        <v>0</v>
      </c>
      <c r="AK183" s="17">
        <v>924.19354838709683</v>
      </c>
      <c r="AL183" s="17">
        <v>1090</v>
      </c>
      <c r="AM183" s="17">
        <v>190926</v>
      </c>
      <c r="AN183" s="17">
        <v>16474</v>
      </c>
      <c r="AO183" s="17">
        <v>0</v>
      </c>
      <c r="AP183" s="17">
        <v>910.32258064516134</v>
      </c>
      <c r="AQ183" s="17">
        <v>1107.741935483871</v>
      </c>
      <c r="AR183" s="17">
        <v>189517</v>
      </c>
      <c r="AS183" s="17">
        <v>16182</v>
      </c>
      <c r="AT183" s="17">
        <v>0</v>
      </c>
      <c r="AU183" s="17">
        <v>893</v>
      </c>
      <c r="AV183" s="17">
        <v>1100</v>
      </c>
      <c r="AW183" s="17">
        <v>193709</v>
      </c>
      <c r="AX183" s="17">
        <v>18117</v>
      </c>
      <c r="AY183" s="17">
        <v>0</v>
      </c>
      <c r="AZ183" s="17">
        <v>915.16129032258061</v>
      </c>
      <c r="BA183" s="17">
        <v>1087.0967741935483</v>
      </c>
      <c r="BB183" s="17">
        <v>188067</v>
      </c>
      <c r="BC183" s="17">
        <v>20811</v>
      </c>
      <c r="BD183" s="17">
        <v>0</v>
      </c>
      <c r="BE183" s="17">
        <v>920</v>
      </c>
      <c r="BF183" s="17">
        <v>1062.6666666666667</v>
      </c>
      <c r="BG183" s="17">
        <v>206871</v>
      </c>
      <c r="BH183" s="17">
        <v>22211</v>
      </c>
      <c r="BI183" s="17">
        <v>0</v>
      </c>
      <c r="BJ183" s="17">
        <v>900.64516129032256</v>
      </c>
      <c r="BK183" s="17">
        <v>1039.0322580645161</v>
      </c>
    </row>
    <row r="184" spans="1:63" x14ac:dyDescent="0.35">
      <c r="A184" s="41">
        <v>180</v>
      </c>
      <c r="B184" s="41" t="s">
        <v>235</v>
      </c>
      <c r="C184" s="43" t="s">
        <v>216</v>
      </c>
      <c r="D184" s="17">
        <v>188703</v>
      </c>
      <c r="E184" s="17">
        <v>2112</v>
      </c>
      <c r="F184" s="17">
        <v>0</v>
      </c>
      <c r="G184" s="17">
        <v>993.33333333333337</v>
      </c>
      <c r="H184" s="17">
        <v>1160</v>
      </c>
      <c r="I184" s="17">
        <v>229455</v>
      </c>
      <c r="J184" s="17">
        <v>4293</v>
      </c>
      <c r="K184" s="17">
        <v>0</v>
      </c>
      <c r="L184" s="17">
        <v>989.28571428571433</v>
      </c>
      <c r="M184" s="17">
        <v>1166.0714285714287</v>
      </c>
      <c r="N184" s="17">
        <v>198974</v>
      </c>
      <c r="O184" s="17">
        <v>4218</v>
      </c>
      <c r="P184" s="17">
        <v>0</v>
      </c>
      <c r="Q184" s="17">
        <v>945.80645161290317</v>
      </c>
      <c r="R184" s="17">
        <v>1170</v>
      </c>
      <c r="S184" s="17">
        <v>252235</v>
      </c>
      <c r="T184" s="17">
        <v>2802</v>
      </c>
      <c r="U184" s="17">
        <v>0</v>
      </c>
      <c r="V184" s="17">
        <v>950.66666666666663</v>
      </c>
      <c r="W184" s="17">
        <v>1159</v>
      </c>
      <c r="X184" s="17">
        <v>217657</v>
      </c>
      <c r="Y184" s="17">
        <v>2279</v>
      </c>
      <c r="Z184" s="17">
        <v>0</v>
      </c>
      <c r="AA184" s="17">
        <v>920</v>
      </c>
      <c r="AB184" s="17">
        <v>1133.8709677419354</v>
      </c>
      <c r="AC184" s="17">
        <v>194445</v>
      </c>
      <c r="AD184" s="17">
        <v>1375</v>
      </c>
      <c r="AE184" s="17">
        <v>0</v>
      </c>
      <c r="AF184" s="17">
        <v>920.66666666666663</v>
      </c>
      <c r="AG184" s="17">
        <v>1130</v>
      </c>
      <c r="AH184" s="17">
        <v>179745</v>
      </c>
      <c r="AI184" s="17">
        <v>2583</v>
      </c>
      <c r="AJ184" s="17">
        <v>0</v>
      </c>
      <c r="AK184" s="17">
        <v>916.29032258064512</v>
      </c>
      <c r="AL184" s="17">
        <v>1106.7741935483871</v>
      </c>
      <c r="AM184" s="17">
        <v>194243</v>
      </c>
      <c r="AN184" s="17">
        <v>1792</v>
      </c>
      <c r="AO184" s="17">
        <v>0</v>
      </c>
      <c r="AP184" s="17">
        <v>913.06451612903231</v>
      </c>
      <c r="AQ184" s="17">
        <v>1116.7741935483871</v>
      </c>
      <c r="AR184" s="17">
        <v>189965</v>
      </c>
      <c r="AS184" s="17">
        <v>3021</v>
      </c>
      <c r="AT184" s="17">
        <v>0</v>
      </c>
      <c r="AU184" s="17">
        <v>894</v>
      </c>
      <c r="AV184" s="17">
        <v>1100</v>
      </c>
      <c r="AW184" s="17">
        <v>266082</v>
      </c>
      <c r="AX184" s="17">
        <v>2389</v>
      </c>
      <c r="AY184" s="17">
        <v>0</v>
      </c>
      <c r="AZ184" s="17">
        <v>933.54838709677415</v>
      </c>
      <c r="BA184" s="17">
        <v>1087.4193548387098</v>
      </c>
      <c r="BB184" s="17">
        <v>218620</v>
      </c>
      <c r="BC184" s="17">
        <v>2339</v>
      </c>
      <c r="BD184" s="17">
        <v>0</v>
      </c>
      <c r="BE184" s="17">
        <v>943</v>
      </c>
      <c r="BF184" s="17">
        <v>1047.3333333333333</v>
      </c>
      <c r="BG184" s="17">
        <v>219950</v>
      </c>
      <c r="BH184" s="17">
        <v>3588</v>
      </c>
      <c r="BI184" s="17">
        <v>0</v>
      </c>
      <c r="BJ184" s="17">
        <v>912.41935483870964</v>
      </c>
      <c r="BK184" s="17">
        <v>1040</v>
      </c>
    </row>
    <row r="185" spans="1:63" x14ac:dyDescent="0.35">
      <c r="A185" s="41">
        <v>181</v>
      </c>
      <c r="B185" s="41" t="s">
        <v>237</v>
      </c>
      <c r="C185" s="43" t="s">
        <v>217</v>
      </c>
      <c r="D185" s="17">
        <v>0</v>
      </c>
      <c r="E185" s="17">
        <v>0</v>
      </c>
      <c r="F185" s="17">
        <v>0</v>
      </c>
      <c r="G185" s="17"/>
      <c r="H185" s="17"/>
      <c r="I185" s="17">
        <v>74775</v>
      </c>
      <c r="J185" s="17">
        <v>7589</v>
      </c>
      <c r="K185" s="17">
        <v>0</v>
      </c>
      <c r="L185" s="17">
        <v>988.82352941176475</v>
      </c>
      <c r="M185" s="17">
        <v>1150</v>
      </c>
      <c r="N185" s="17">
        <v>158478</v>
      </c>
      <c r="O185" s="17">
        <v>15618</v>
      </c>
      <c r="P185" s="17">
        <v>0</v>
      </c>
      <c r="Q185" s="17">
        <v>940.48387096774195</v>
      </c>
      <c r="R185" s="17">
        <v>1150</v>
      </c>
      <c r="S185" s="17">
        <v>179258</v>
      </c>
      <c r="T185" s="17">
        <v>16317</v>
      </c>
      <c r="U185" s="17">
        <v>0</v>
      </c>
      <c r="V185" s="17">
        <v>944.33333333333337</v>
      </c>
      <c r="W185" s="17">
        <v>1135</v>
      </c>
      <c r="X185" s="17">
        <v>180314</v>
      </c>
      <c r="Y185" s="17">
        <v>27326</v>
      </c>
      <c r="Z185" s="17">
        <v>0</v>
      </c>
      <c r="AA185" s="17">
        <v>913.22580645161293</v>
      </c>
      <c r="AB185" s="17">
        <v>1087.4193548387098</v>
      </c>
      <c r="AC185" s="17">
        <v>182510</v>
      </c>
      <c r="AD185" s="17">
        <v>35538</v>
      </c>
      <c r="AE185" s="17">
        <v>0</v>
      </c>
      <c r="AF185" s="17">
        <v>924.83333333333337</v>
      </c>
      <c r="AG185" s="17">
        <v>1079.3333333333333</v>
      </c>
      <c r="AH185" s="17">
        <v>191293</v>
      </c>
      <c r="AI185" s="17">
        <v>60675</v>
      </c>
      <c r="AJ185" s="17">
        <v>0</v>
      </c>
      <c r="AK185" s="17">
        <v>920.64516129032256</v>
      </c>
      <c r="AL185" s="17">
        <v>1090</v>
      </c>
      <c r="AM185" s="17">
        <v>187786</v>
      </c>
      <c r="AN185" s="17">
        <v>62468</v>
      </c>
      <c r="AO185" s="17">
        <v>0</v>
      </c>
      <c r="AP185" s="17">
        <v>910</v>
      </c>
      <c r="AQ185" s="17">
        <v>1109.3548387096773</v>
      </c>
      <c r="AR185" s="17">
        <v>185634</v>
      </c>
      <c r="AS185" s="17">
        <v>58592</v>
      </c>
      <c r="AT185" s="17">
        <v>0</v>
      </c>
      <c r="AU185" s="17">
        <v>892</v>
      </c>
      <c r="AV185" s="17">
        <v>1100</v>
      </c>
      <c r="AW185" s="17">
        <v>189086</v>
      </c>
      <c r="AX185" s="17">
        <v>54108</v>
      </c>
      <c r="AY185" s="17">
        <v>0</v>
      </c>
      <c r="AZ185" s="17">
        <v>913.22580645161293</v>
      </c>
      <c r="BA185" s="17">
        <v>1088.3870967741937</v>
      </c>
      <c r="BB185" s="17">
        <v>190736</v>
      </c>
      <c r="BC185" s="17">
        <v>46889</v>
      </c>
      <c r="BD185" s="17">
        <v>0</v>
      </c>
      <c r="BE185" s="17">
        <v>919.66666666666663</v>
      </c>
      <c r="BF185" s="17">
        <v>1063.3333333333333</v>
      </c>
      <c r="BG185" s="17">
        <v>211966</v>
      </c>
      <c r="BH185" s="17">
        <v>48019</v>
      </c>
      <c r="BI185" s="17">
        <v>0</v>
      </c>
      <c r="BJ185" s="17">
        <v>895.32258064516134</v>
      </c>
      <c r="BK185" s="17">
        <v>1044.8387096774193</v>
      </c>
    </row>
    <row r="186" spans="1:63" x14ac:dyDescent="0.35">
      <c r="A186" s="41">
        <v>182</v>
      </c>
      <c r="B186" s="41" t="s">
        <v>249</v>
      </c>
      <c r="C186" s="43" t="s">
        <v>218</v>
      </c>
      <c r="D186" s="17">
        <v>0</v>
      </c>
      <c r="E186" s="17">
        <v>0</v>
      </c>
      <c r="F186" s="17">
        <v>0</v>
      </c>
      <c r="G186" s="17"/>
      <c r="H186" s="17"/>
      <c r="I186" s="17">
        <v>233268</v>
      </c>
      <c r="J186" s="17">
        <v>13107</v>
      </c>
      <c r="K186" s="17">
        <v>0</v>
      </c>
      <c r="L186" s="17">
        <v>988.21428571428567</v>
      </c>
      <c r="M186" s="17">
        <v>1160</v>
      </c>
      <c r="N186" s="17">
        <v>452303</v>
      </c>
      <c r="O186" s="17">
        <v>45396</v>
      </c>
      <c r="P186" s="17">
        <v>0</v>
      </c>
      <c r="Q186" s="17">
        <v>948.06451612903231</v>
      </c>
      <c r="R186" s="17">
        <v>1146.9354838709678</v>
      </c>
      <c r="S186" s="17">
        <v>420870</v>
      </c>
      <c r="T186" s="17">
        <v>57036</v>
      </c>
      <c r="U186" s="17">
        <v>0</v>
      </c>
      <c r="V186" s="17">
        <v>944.33333333333337</v>
      </c>
      <c r="W186" s="17">
        <v>1121</v>
      </c>
      <c r="X186" s="17">
        <v>406399</v>
      </c>
      <c r="Y186" s="17">
        <v>61533</v>
      </c>
      <c r="Z186" s="17">
        <v>0</v>
      </c>
      <c r="AA186" s="17">
        <v>913.22580645161293</v>
      </c>
      <c r="AB186" s="17">
        <v>1087.4193548387098</v>
      </c>
      <c r="AC186" s="17">
        <v>350292</v>
      </c>
      <c r="AD186" s="17">
        <v>51256</v>
      </c>
      <c r="AE186" s="17">
        <v>0</v>
      </c>
      <c r="AF186" s="17">
        <v>925.16666666666663</v>
      </c>
      <c r="AG186" s="17">
        <v>1080</v>
      </c>
      <c r="AH186" s="17">
        <v>338176</v>
      </c>
      <c r="AI186" s="17">
        <v>68469</v>
      </c>
      <c r="AJ186" s="17">
        <v>0</v>
      </c>
      <c r="AK186" s="17">
        <v>919.0322580645161</v>
      </c>
      <c r="AL186" s="17">
        <v>1087.741935483871</v>
      </c>
      <c r="AM186" s="17">
        <v>297427</v>
      </c>
      <c r="AN186" s="17">
        <v>60363</v>
      </c>
      <c r="AO186" s="17">
        <v>0</v>
      </c>
      <c r="AP186" s="17">
        <v>910</v>
      </c>
      <c r="AQ186" s="17">
        <v>1110.6451612903227</v>
      </c>
      <c r="AR186" s="17">
        <v>317747</v>
      </c>
      <c r="AS186" s="17">
        <v>46461</v>
      </c>
      <c r="AT186" s="17">
        <v>0</v>
      </c>
      <c r="AU186" s="17">
        <v>892.33333333333337</v>
      </c>
      <c r="AV186" s="17">
        <v>1100</v>
      </c>
      <c r="AW186" s="17">
        <v>295190</v>
      </c>
      <c r="AX186" s="17">
        <v>43080</v>
      </c>
      <c r="AY186" s="17">
        <v>0</v>
      </c>
      <c r="AZ186" s="17">
        <v>914.67741935483866</v>
      </c>
      <c r="BA186" s="17">
        <v>1086.1290322580646</v>
      </c>
      <c r="BB186" s="17">
        <v>309634</v>
      </c>
      <c r="BC186" s="17">
        <v>48029</v>
      </c>
      <c r="BD186" s="17">
        <v>0</v>
      </c>
      <c r="BE186" s="17">
        <v>918.66666666666663</v>
      </c>
      <c r="BF186" s="17">
        <v>1063.3333333333333</v>
      </c>
      <c r="BG186" s="17">
        <v>308206</v>
      </c>
      <c r="BH186" s="17">
        <v>55827</v>
      </c>
      <c r="BI186" s="17">
        <v>0</v>
      </c>
      <c r="BJ186" s="17">
        <v>895.16129032258061</v>
      </c>
      <c r="BK186" s="17">
        <v>1044.8387096774193</v>
      </c>
    </row>
    <row r="187" spans="1:63" x14ac:dyDescent="0.35">
      <c r="A187" s="41">
        <v>183</v>
      </c>
      <c r="B187" s="41" t="s">
        <v>236</v>
      </c>
      <c r="C187" s="43" t="s">
        <v>219</v>
      </c>
      <c r="D187" s="17">
        <v>0</v>
      </c>
      <c r="E187" s="17">
        <v>0</v>
      </c>
      <c r="F187" s="17">
        <v>0</v>
      </c>
      <c r="G187" s="17"/>
      <c r="H187" s="17"/>
      <c r="I187" s="17">
        <v>0</v>
      </c>
      <c r="J187" s="17">
        <v>0</v>
      </c>
      <c r="K187" s="17">
        <v>0</v>
      </c>
      <c r="L187" s="17"/>
      <c r="M187" s="17"/>
      <c r="N187" s="17">
        <v>41434</v>
      </c>
      <c r="O187" s="17">
        <v>2122</v>
      </c>
      <c r="P187" s="17">
        <v>0</v>
      </c>
      <c r="Q187" s="17">
        <v>887.5</v>
      </c>
      <c r="R187" s="17">
        <v>1120</v>
      </c>
      <c r="S187" s="17">
        <v>228539</v>
      </c>
      <c r="T187" s="17">
        <v>4537</v>
      </c>
      <c r="U187" s="17">
        <v>0</v>
      </c>
      <c r="V187" s="17">
        <v>899.73333333333335</v>
      </c>
      <c r="W187" s="17">
        <v>1112</v>
      </c>
      <c r="X187" s="17">
        <v>211864</v>
      </c>
      <c r="Y187" s="17">
        <v>6632</v>
      </c>
      <c r="Z187" s="17">
        <v>0</v>
      </c>
      <c r="AA187" s="17">
        <v>881.70967741935488</v>
      </c>
      <c r="AB187" s="17">
        <v>1046.1290322580646</v>
      </c>
      <c r="AC187" s="17">
        <v>213836</v>
      </c>
      <c r="AD187" s="17">
        <v>7537</v>
      </c>
      <c r="AE187" s="17">
        <v>0</v>
      </c>
      <c r="AF187" s="17">
        <v>891.83333333333337</v>
      </c>
      <c r="AG187" s="17">
        <v>1047.3333333333333</v>
      </c>
      <c r="AH187" s="17">
        <v>166740</v>
      </c>
      <c r="AI187" s="17">
        <v>6254</v>
      </c>
      <c r="AJ187" s="17">
        <v>0</v>
      </c>
      <c r="AK187" s="17">
        <v>896.61290322580646</v>
      </c>
      <c r="AL187" s="17">
        <v>1067.4193548387098</v>
      </c>
      <c r="AM187" s="17">
        <v>135360</v>
      </c>
      <c r="AN187" s="17">
        <v>4814</v>
      </c>
      <c r="AO187" s="17">
        <v>0</v>
      </c>
      <c r="AP187" s="17">
        <v>879.35483870967744</v>
      </c>
      <c r="AQ187" s="17">
        <v>1077.4193548387098</v>
      </c>
      <c r="AR187" s="17">
        <v>128537</v>
      </c>
      <c r="AS187" s="17">
        <v>6713</v>
      </c>
      <c r="AT187" s="17">
        <v>0</v>
      </c>
      <c r="AU187" s="17">
        <v>870.66666666666663</v>
      </c>
      <c r="AV187" s="17">
        <v>1050</v>
      </c>
      <c r="AW187" s="17">
        <v>141420</v>
      </c>
      <c r="AX187" s="17">
        <v>5705</v>
      </c>
      <c r="AY187" s="17">
        <v>0</v>
      </c>
      <c r="AZ187" s="17">
        <v>902.90322580645159</v>
      </c>
      <c r="BA187" s="17">
        <v>1042.5806451612902</v>
      </c>
      <c r="BB187" s="17">
        <v>147032</v>
      </c>
      <c r="BC187" s="17">
        <v>5604</v>
      </c>
      <c r="BD187" s="17">
        <v>0</v>
      </c>
      <c r="BE187" s="17">
        <v>909.33333333333337</v>
      </c>
      <c r="BF187" s="17">
        <v>1020.3333333333334</v>
      </c>
      <c r="BG187" s="17">
        <v>121155</v>
      </c>
      <c r="BH187" s="17">
        <v>10452</v>
      </c>
      <c r="BI187" s="17">
        <v>0</v>
      </c>
      <c r="BJ187" s="17">
        <v>896.61290322580646</v>
      </c>
      <c r="BK187" s="17">
        <v>1008.9677419354839</v>
      </c>
    </row>
    <row r="188" spans="1:63" x14ac:dyDescent="0.35">
      <c r="A188" s="41">
        <v>184</v>
      </c>
      <c r="B188" s="41" t="s">
        <v>238</v>
      </c>
      <c r="C188" s="43" t="s">
        <v>220</v>
      </c>
      <c r="D188" s="17">
        <v>0</v>
      </c>
      <c r="E188" s="17">
        <v>0</v>
      </c>
      <c r="F188" s="17">
        <v>0</v>
      </c>
      <c r="G188" s="17"/>
      <c r="H188" s="17"/>
      <c r="I188" s="17">
        <v>0</v>
      </c>
      <c r="J188" s="17">
        <v>0</v>
      </c>
      <c r="K188" s="17">
        <v>0</v>
      </c>
      <c r="L188" s="17"/>
      <c r="M188" s="17"/>
      <c r="N188" s="17">
        <v>0</v>
      </c>
      <c r="O188" s="17">
        <v>0</v>
      </c>
      <c r="P188" s="17">
        <v>0</v>
      </c>
      <c r="Q188" s="17"/>
      <c r="R188" s="17"/>
      <c r="S188" s="17">
        <v>117623</v>
      </c>
      <c r="T188" s="17">
        <v>5036</v>
      </c>
      <c r="U188" s="17">
        <v>0</v>
      </c>
      <c r="V188" s="17">
        <v>940.47619047619048</v>
      </c>
      <c r="W188" s="17">
        <v>1105.7142857142858</v>
      </c>
      <c r="X188" s="17">
        <v>187844</v>
      </c>
      <c r="Y188" s="17">
        <v>13204</v>
      </c>
      <c r="Z188" s="17">
        <v>0</v>
      </c>
      <c r="AA188" s="17">
        <v>915.80645161290317</v>
      </c>
      <c r="AB188" s="17">
        <v>1078.7096774193549</v>
      </c>
      <c r="AC188" s="17">
        <v>189843</v>
      </c>
      <c r="AD188" s="17">
        <v>11923</v>
      </c>
      <c r="AE188" s="17">
        <v>0</v>
      </c>
      <c r="AF188" s="17">
        <v>926.16666666666663</v>
      </c>
      <c r="AG188" s="17">
        <v>1073</v>
      </c>
      <c r="AH188" s="17">
        <v>212379</v>
      </c>
      <c r="AI188" s="17">
        <v>15768</v>
      </c>
      <c r="AJ188" s="17">
        <v>0</v>
      </c>
      <c r="AK188" s="17">
        <v>925.48387096774195</v>
      </c>
      <c r="AL188" s="17">
        <v>1090</v>
      </c>
      <c r="AM188" s="17">
        <v>211185</v>
      </c>
      <c r="AN188" s="17">
        <v>18879</v>
      </c>
      <c r="AO188" s="17">
        <v>0</v>
      </c>
      <c r="AP188" s="17">
        <v>915.48387096774195</v>
      </c>
      <c r="AQ188" s="17">
        <v>1106.1290322580646</v>
      </c>
      <c r="AR188" s="17">
        <v>220380</v>
      </c>
      <c r="AS188" s="17">
        <v>22038</v>
      </c>
      <c r="AT188" s="17">
        <v>0</v>
      </c>
      <c r="AU188" s="17">
        <v>900.33333333333337</v>
      </c>
      <c r="AV188" s="17">
        <v>1100</v>
      </c>
      <c r="AW188" s="17">
        <v>224153</v>
      </c>
      <c r="AX188" s="17">
        <v>18758</v>
      </c>
      <c r="AY188" s="17">
        <v>0</v>
      </c>
      <c r="AZ188" s="17">
        <v>916.45161290322585</v>
      </c>
      <c r="BA188" s="17">
        <v>1094.1935483870968</v>
      </c>
      <c r="BB188" s="17">
        <v>226068</v>
      </c>
      <c r="BC188" s="17">
        <v>12888</v>
      </c>
      <c r="BD188" s="17">
        <v>0</v>
      </c>
      <c r="BE188" s="17">
        <v>921.66666666666663</v>
      </c>
      <c r="BF188" s="17">
        <v>1075.6666666666667</v>
      </c>
      <c r="BG188" s="17">
        <v>242458</v>
      </c>
      <c r="BH188" s="17">
        <v>11772</v>
      </c>
      <c r="BI188" s="17">
        <v>0</v>
      </c>
      <c r="BJ188" s="17">
        <v>901.45161290322585</v>
      </c>
      <c r="BK188" s="17">
        <v>1049.0322580645161</v>
      </c>
    </row>
    <row r="189" spans="1:63" x14ac:dyDescent="0.35">
      <c r="A189" s="41">
        <v>185</v>
      </c>
      <c r="B189" s="41" t="s">
        <v>244</v>
      </c>
      <c r="C189" s="43" t="s">
        <v>221</v>
      </c>
      <c r="D189" s="17">
        <v>0</v>
      </c>
      <c r="E189" s="17">
        <v>0</v>
      </c>
      <c r="F189" s="17">
        <v>0</v>
      </c>
      <c r="G189" s="17"/>
      <c r="H189" s="17"/>
      <c r="I189" s="17">
        <v>0</v>
      </c>
      <c r="J189" s="17">
        <v>0</v>
      </c>
      <c r="K189" s="17">
        <v>0</v>
      </c>
      <c r="L189" s="17"/>
      <c r="M189" s="17"/>
      <c r="N189" s="17">
        <v>0</v>
      </c>
      <c r="O189" s="17">
        <v>0</v>
      </c>
      <c r="P189" s="17">
        <v>0</v>
      </c>
      <c r="Q189" s="17"/>
      <c r="R189" s="17"/>
      <c r="S189" s="17">
        <v>5920</v>
      </c>
      <c r="T189" s="17">
        <v>741</v>
      </c>
      <c r="U189" s="17">
        <v>0</v>
      </c>
      <c r="V189" s="17">
        <v>930</v>
      </c>
      <c r="W189" s="17">
        <v>1140</v>
      </c>
      <c r="X189" s="17">
        <v>139343</v>
      </c>
      <c r="Y189" s="17">
        <v>4977</v>
      </c>
      <c r="Z189" s="17">
        <v>0</v>
      </c>
      <c r="AA189" s="17">
        <v>917.58064516129036</v>
      </c>
      <c r="AB189" s="17">
        <v>1111.6129032258063</v>
      </c>
      <c r="AC189" s="17">
        <v>145118</v>
      </c>
      <c r="AD189" s="17">
        <v>4915</v>
      </c>
      <c r="AE189" s="17">
        <v>0</v>
      </c>
      <c r="AF189" s="17">
        <v>921.5</v>
      </c>
      <c r="AG189" s="17">
        <v>1096.6666666666667</v>
      </c>
      <c r="AH189" s="17">
        <v>140305</v>
      </c>
      <c r="AI189" s="17">
        <v>12680</v>
      </c>
      <c r="AJ189" s="17">
        <v>0</v>
      </c>
      <c r="AK189" s="17">
        <v>918.22580645161293</v>
      </c>
      <c r="AL189" s="17">
        <v>1105.8064516129032</v>
      </c>
      <c r="AM189" s="17">
        <v>138672</v>
      </c>
      <c r="AN189" s="17">
        <v>8631</v>
      </c>
      <c r="AO189" s="17">
        <v>0</v>
      </c>
      <c r="AP189" s="17">
        <v>919.51612903225805</v>
      </c>
      <c r="AQ189" s="17">
        <v>1116.7741935483871</v>
      </c>
      <c r="AR189" s="17">
        <v>120644</v>
      </c>
      <c r="AS189" s="17">
        <v>6161</v>
      </c>
      <c r="AT189" s="17">
        <v>0</v>
      </c>
      <c r="AU189" s="17">
        <v>893.5</v>
      </c>
      <c r="AV189" s="17">
        <v>1100</v>
      </c>
      <c r="AW189" s="17">
        <v>124937</v>
      </c>
      <c r="AX189" s="17">
        <v>5708</v>
      </c>
      <c r="AY189" s="17">
        <v>0</v>
      </c>
      <c r="AZ189" s="17">
        <v>935.16129032258061</v>
      </c>
      <c r="BA189" s="17">
        <v>1097.0967741935483</v>
      </c>
      <c r="BB189" s="17">
        <v>130060</v>
      </c>
      <c r="BC189" s="17">
        <v>8790</v>
      </c>
      <c r="BD189" s="17">
        <v>0</v>
      </c>
      <c r="BE189" s="17">
        <v>943.33333333333337</v>
      </c>
      <c r="BF189" s="17">
        <v>1062</v>
      </c>
      <c r="BG189" s="17">
        <v>129423</v>
      </c>
      <c r="BH189" s="17">
        <v>8467</v>
      </c>
      <c r="BI189" s="17">
        <v>0</v>
      </c>
      <c r="BJ189" s="17">
        <v>905.16129032258061</v>
      </c>
      <c r="BK189" s="17">
        <v>1060</v>
      </c>
    </row>
    <row r="190" spans="1:63" x14ac:dyDescent="0.35">
      <c r="A190" s="41">
        <v>186</v>
      </c>
      <c r="B190" s="41" t="s">
        <v>237</v>
      </c>
      <c r="C190" s="43" t="s">
        <v>222</v>
      </c>
      <c r="D190" s="17">
        <v>0</v>
      </c>
      <c r="E190" s="17">
        <v>0</v>
      </c>
      <c r="F190" s="17">
        <v>0</v>
      </c>
      <c r="G190" s="17"/>
      <c r="H190" s="17"/>
      <c r="I190" s="17">
        <v>0</v>
      </c>
      <c r="J190" s="17">
        <v>0</v>
      </c>
      <c r="K190" s="17">
        <v>0</v>
      </c>
      <c r="L190" s="17"/>
      <c r="M190" s="17"/>
      <c r="N190" s="17">
        <v>0</v>
      </c>
      <c r="O190" s="17">
        <v>0</v>
      </c>
      <c r="P190" s="17">
        <v>0</v>
      </c>
      <c r="Q190" s="17"/>
      <c r="R190" s="17"/>
      <c r="S190" s="17">
        <v>0</v>
      </c>
      <c r="T190" s="17">
        <v>0</v>
      </c>
      <c r="U190" s="17">
        <v>0</v>
      </c>
      <c r="V190" s="17"/>
      <c r="W190" s="17"/>
      <c r="X190" s="17">
        <v>97905</v>
      </c>
      <c r="Y190" s="17">
        <v>1653</v>
      </c>
      <c r="Z190" s="17">
        <v>0</v>
      </c>
      <c r="AA190" s="17">
        <v>912.77777777777783</v>
      </c>
      <c r="AB190" s="17">
        <v>1078.3333333333333</v>
      </c>
      <c r="AC190" s="17">
        <v>180905</v>
      </c>
      <c r="AD190" s="17">
        <v>8320</v>
      </c>
      <c r="AE190" s="17">
        <v>0</v>
      </c>
      <c r="AF190" s="17">
        <v>924.83333333333337</v>
      </c>
      <c r="AG190" s="17">
        <v>1079.3333333333333</v>
      </c>
      <c r="AH190" s="17">
        <v>156084</v>
      </c>
      <c r="AI190" s="17">
        <v>14216</v>
      </c>
      <c r="AJ190" s="17">
        <v>0</v>
      </c>
      <c r="AK190" s="17">
        <v>920.64516129032256</v>
      </c>
      <c r="AL190" s="17">
        <v>1090</v>
      </c>
      <c r="AM190" s="17">
        <v>146243</v>
      </c>
      <c r="AN190" s="17">
        <v>8411</v>
      </c>
      <c r="AO190" s="17">
        <v>0</v>
      </c>
      <c r="AP190" s="17">
        <v>910</v>
      </c>
      <c r="AQ190" s="17">
        <v>1109.3548387096773</v>
      </c>
      <c r="AR190" s="17">
        <v>165634</v>
      </c>
      <c r="AS190" s="17">
        <v>7142</v>
      </c>
      <c r="AT190" s="17">
        <v>0</v>
      </c>
      <c r="AU190" s="17">
        <v>892</v>
      </c>
      <c r="AV190" s="17">
        <v>1100</v>
      </c>
      <c r="AW190" s="17">
        <v>174521</v>
      </c>
      <c r="AX190" s="17">
        <v>9624</v>
      </c>
      <c r="AY190" s="17">
        <v>0</v>
      </c>
      <c r="AZ190" s="17">
        <v>913.22580645161293</v>
      </c>
      <c r="BA190" s="17">
        <v>1088.0645161290322</v>
      </c>
      <c r="BB190" s="17">
        <v>192854</v>
      </c>
      <c r="BC190" s="17">
        <v>10916</v>
      </c>
      <c r="BD190" s="17">
        <v>0</v>
      </c>
      <c r="BE190" s="17">
        <v>919.33333333333337</v>
      </c>
      <c r="BF190" s="17">
        <v>1063.3333333333333</v>
      </c>
      <c r="BG190" s="17">
        <v>202375</v>
      </c>
      <c r="BH190" s="17">
        <v>10627</v>
      </c>
      <c r="BI190" s="17">
        <v>0</v>
      </c>
      <c r="BJ190" s="17">
        <v>895.32258064516134</v>
      </c>
      <c r="BK190" s="17">
        <v>1044.8387096774193</v>
      </c>
    </row>
    <row r="191" spans="1:63" x14ac:dyDescent="0.35">
      <c r="A191" s="41">
        <v>187</v>
      </c>
      <c r="B191" s="41" t="s">
        <v>231</v>
      </c>
      <c r="C191" s="43" t="s">
        <v>223</v>
      </c>
      <c r="D191" s="17">
        <v>0</v>
      </c>
      <c r="E191" s="17">
        <v>0</v>
      </c>
      <c r="F191" s="17">
        <v>0</v>
      </c>
      <c r="G191" s="17"/>
      <c r="H191" s="17"/>
      <c r="I191" s="17">
        <v>0</v>
      </c>
      <c r="J191" s="17">
        <v>0</v>
      </c>
      <c r="K191" s="17">
        <v>0</v>
      </c>
      <c r="L191" s="17"/>
      <c r="M191" s="17"/>
      <c r="N191" s="17">
        <v>0</v>
      </c>
      <c r="O191" s="17">
        <v>0</v>
      </c>
      <c r="P191" s="17">
        <v>0</v>
      </c>
      <c r="Q191" s="17"/>
      <c r="R191" s="17"/>
      <c r="S191" s="17">
        <v>0</v>
      </c>
      <c r="T191" s="17">
        <v>0</v>
      </c>
      <c r="U191" s="17">
        <v>0</v>
      </c>
      <c r="V191" s="17"/>
      <c r="W191" s="17"/>
      <c r="X191" s="17">
        <v>0</v>
      </c>
      <c r="Y191" s="17">
        <v>0</v>
      </c>
      <c r="Z191" s="17">
        <v>0</v>
      </c>
      <c r="AA191" s="17"/>
      <c r="AB191" s="17"/>
      <c r="AC191" s="17">
        <v>52830</v>
      </c>
      <c r="AD191" s="17">
        <v>2293</v>
      </c>
      <c r="AE191" s="17">
        <v>0</v>
      </c>
      <c r="AF191" s="17">
        <v>947.72727272727275</v>
      </c>
      <c r="AG191" s="17">
        <v>1094.5454545454545</v>
      </c>
      <c r="AH191" s="17">
        <v>149128</v>
      </c>
      <c r="AI191" s="17">
        <v>8906</v>
      </c>
      <c r="AJ191" s="17">
        <v>0</v>
      </c>
      <c r="AK191" s="17">
        <v>919.19354838709683</v>
      </c>
      <c r="AL191" s="17">
        <v>1091.7741935483871</v>
      </c>
      <c r="AM191" s="17">
        <v>173496</v>
      </c>
      <c r="AN191" s="17">
        <v>4949</v>
      </c>
      <c r="AO191" s="17">
        <v>0</v>
      </c>
      <c r="AP191" s="17">
        <v>910</v>
      </c>
      <c r="AQ191" s="17">
        <v>1093.2258064516129</v>
      </c>
      <c r="AR191" s="17">
        <v>165296</v>
      </c>
      <c r="AS191" s="17">
        <v>11808</v>
      </c>
      <c r="AT191" s="17">
        <v>0</v>
      </c>
      <c r="AU191" s="17">
        <v>895.33333333333337</v>
      </c>
      <c r="AV191" s="17">
        <v>1090</v>
      </c>
      <c r="AW191" s="17">
        <v>195338</v>
      </c>
      <c r="AX191" s="17">
        <v>11798</v>
      </c>
      <c r="AY191" s="17">
        <v>0</v>
      </c>
      <c r="AZ191" s="17">
        <v>907.41935483870964</v>
      </c>
      <c r="BA191" s="17">
        <v>1087.4193548387098</v>
      </c>
      <c r="BB191" s="17">
        <v>215667</v>
      </c>
      <c r="BC191" s="17">
        <v>12564</v>
      </c>
      <c r="BD191" s="17">
        <v>0</v>
      </c>
      <c r="BE191" s="17">
        <v>920</v>
      </c>
      <c r="BF191" s="17">
        <v>1074</v>
      </c>
      <c r="BG191" s="17">
        <v>243232</v>
      </c>
      <c r="BH191" s="17">
        <v>9354</v>
      </c>
      <c r="BI191" s="17">
        <v>0</v>
      </c>
      <c r="BJ191" s="17">
        <v>892.25806451612902</v>
      </c>
      <c r="BK191" s="17">
        <v>1049.6774193548388</v>
      </c>
    </row>
    <row r="192" spans="1:63" x14ac:dyDescent="0.35">
      <c r="A192" s="41">
        <v>188</v>
      </c>
      <c r="B192" s="41" t="s">
        <v>237</v>
      </c>
      <c r="C192" s="43" t="s">
        <v>224</v>
      </c>
      <c r="D192" s="17">
        <v>0</v>
      </c>
      <c r="E192" s="17">
        <v>0</v>
      </c>
      <c r="F192" s="17">
        <v>0</v>
      </c>
      <c r="G192" s="17"/>
      <c r="H192" s="17"/>
      <c r="I192" s="17">
        <v>0</v>
      </c>
      <c r="J192" s="17">
        <v>0</v>
      </c>
      <c r="K192" s="17">
        <v>0</v>
      </c>
      <c r="L192" s="17"/>
      <c r="M192" s="17"/>
      <c r="N192" s="17">
        <v>0</v>
      </c>
      <c r="O192" s="17">
        <v>0</v>
      </c>
      <c r="P192" s="17">
        <v>0</v>
      </c>
      <c r="Q192" s="17"/>
      <c r="R192" s="17"/>
      <c r="S192" s="17">
        <v>0</v>
      </c>
      <c r="T192" s="17">
        <v>0</v>
      </c>
      <c r="U192" s="17">
        <v>0</v>
      </c>
      <c r="V192" s="17"/>
      <c r="W192" s="17"/>
      <c r="X192" s="17">
        <v>0</v>
      </c>
      <c r="Y192" s="17">
        <v>0</v>
      </c>
      <c r="Z192" s="17">
        <v>0</v>
      </c>
      <c r="AA192" s="17"/>
      <c r="AB192" s="17"/>
      <c r="AC192" s="17">
        <v>0</v>
      </c>
      <c r="AD192" s="17">
        <v>0</v>
      </c>
      <c r="AE192" s="17">
        <v>0</v>
      </c>
      <c r="AF192" s="17"/>
      <c r="AG192" s="17"/>
      <c r="AH192" s="17">
        <v>144677</v>
      </c>
      <c r="AI192" s="17">
        <v>3336</v>
      </c>
      <c r="AJ192" s="17">
        <v>0</v>
      </c>
      <c r="AK192" s="17">
        <v>920.64516129032256</v>
      </c>
      <c r="AL192" s="17">
        <v>1090</v>
      </c>
      <c r="AM192" s="17">
        <v>170463</v>
      </c>
      <c r="AN192" s="17">
        <v>6089</v>
      </c>
      <c r="AO192" s="17">
        <v>0</v>
      </c>
      <c r="AP192" s="17">
        <v>910</v>
      </c>
      <c r="AQ192" s="17">
        <v>1109.3548387096773</v>
      </c>
      <c r="AR192" s="17">
        <v>225689</v>
      </c>
      <c r="AS192" s="17">
        <v>9861</v>
      </c>
      <c r="AT192" s="17">
        <v>0</v>
      </c>
      <c r="AU192" s="17">
        <v>892</v>
      </c>
      <c r="AV192" s="17">
        <v>1100</v>
      </c>
      <c r="AW192" s="17">
        <v>225527</v>
      </c>
      <c r="AX192" s="17">
        <v>7184</v>
      </c>
      <c r="AY192" s="17">
        <v>0</v>
      </c>
      <c r="AZ192" s="17">
        <v>913.22580645161293</v>
      </c>
      <c r="BA192" s="17">
        <v>1088.0645161290322</v>
      </c>
      <c r="BB192" s="17">
        <v>243275</v>
      </c>
      <c r="BC192" s="17">
        <v>8350</v>
      </c>
      <c r="BD192" s="17">
        <v>0</v>
      </c>
      <c r="BE192" s="17">
        <v>919.33333333333337</v>
      </c>
      <c r="BF192" s="17">
        <v>1063.3333333333333</v>
      </c>
      <c r="BG192" s="17">
        <v>282541</v>
      </c>
      <c r="BH192" s="17">
        <v>10427</v>
      </c>
      <c r="BI192" s="17">
        <v>0</v>
      </c>
      <c r="BJ192" s="17">
        <v>895.32258064516134</v>
      </c>
      <c r="BK192" s="17">
        <v>1044.8387096774193</v>
      </c>
    </row>
    <row r="193" spans="1:63" x14ac:dyDescent="0.35">
      <c r="A193" s="41">
        <v>189</v>
      </c>
      <c r="B193" s="41" t="s">
        <v>248</v>
      </c>
      <c r="C193" s="43" t="s">
        <v>225</v>
      </c>
      <c r="D193" s="17">
        <v>0</v>
      </c>
      <c r="E193" s="17">
        <v>0</v>
      </c>
      <c r="F193" s="17">
        <v>0</v>
      </c>
      <c r="G193" s="17"/>
      <c r="H193" s="17"/>
      <c r="I193" s="17">
        <v>0</v>
      </c>
      <c r="J193" s="17">
        <v>0</v>
      </c>
      <c r="K193" s="17">
        <v>0</v>
      </c>
      <c r="L193" s="17"/>
      <c r="M193" s="17"/>
      <c r="N193" s="17">
        <v>0</v>
      </c>
      <c r="O193" s="17">
        <v>0</v>
      </c>
      <c r="P193" s="17">
        <v>0</v>
      </c>
      <c r="Q193" s="17"/>
      <c r="R193" s="17"/>
      <c r="S193" s="17">
        <v>0</v>
      </c>
      <c r="T193" s="17">
        <v>0</v>
      </c>
      <c r="U193" s="17">
        <v>0</v>
      </c>
      <c r="V193" s="17"/>
      <c r="W193" s="17"/>
      <c r="X193" s="17">
        <v>0</v>
      </c>
      <c r="Y193" s="17">
        <v>0</v>
      </c>
      <c r="Z193" s="17">
        <v>0</v>
      </c>
      <c r="AA193" s="17"/>
      <c r="AB193" s="17"/>
      <c r="AC193" s="17">
        <v>0</v>
      </c>
      <c r="AD193" s="17">
        <v>0</v>
      </c>
      <c r="AE193" s="17">
        <v>0</v>
      </c>
      <c r="AF193" s="17"/>
      <c r="AG193" s="17"/>
      <c r="AH193" s="17">
        <v>88216</v>
      </c>
      <c r="AI193" s="17">
        <v>13685</v>
      </c>
      <c r="AJ193" s="17">
        <v>0</v>
      </c>
      <c r="AK193" s="17">
        <v>912.72727272727275</v>
      </c>
      <c r="AL193" s="17">
        <v>1085.2272727272727</v>
      </c>
      <c r="AM193" s="17">
        <v>159129</v>
      </c>
      <c r="AN193" s="17">
        <v>18682</v>
      </c>
      <c r="AO193" s="17">
        <v>0</v>
      </c>
      <c r="AP193" s="17">
        <v>911.61290322580646</v>
      </c>
      <c r="AQ193" s="17">
        <v>1109.1935483870968</v>
      </c>
      <c r="AR193" s="17">
        <v>182370</v>
      </c>
      <c r="AS193" s="17">
        <v>25929</v>
      </c>
      <c r="AT193" s="17">
        <v>0</v>
      </c>
      <c r="AU193" s="17">
        <v>891</v>
      </c>
      <c r="AV193" s="17">
        <v>1100</v>
      </c>
      <c r="AW193" s="17">
        <v>186993</v>
      </c>
      <c r="AX193" s="17">
        <v>24853</v>
      </c>
      <c r="AY193" s="17">
        <v>0</v>
      </c>
      <c r="AZ193" s="17">
        <v>910.80645161290317</v>
      </c>
      <c r="BA193" s="17">
        <v>1087.741935483871</v>
      </c>
      <c r="BB193" s="17">
        <v>207058</v>
      </c>
      <c r="BC193" s="17">
        <v>22459</v>
      </c>
      <c r="BD193" s="17">
        <v>0</v>
      </c>
      <c r="BE193" s="17">
        <v>919.33333333333337</v>
      </c>
      <c r="BF193" s="17">
        <v>1063.3333333333333</v>
      </c>
      <c r="BG193" s="17">
        <v>230049</v>
      </c>
      <c r="BH193" s="17">
        <v>19644</v>
      </c>
      <c r="BI193" s="17">
        <v>0</v>
      </c>
      <c r="BJ193" s="17">
        <v>895.32258064516134</v>
      </c>
      <c r="BK193" s="17">
        <v>1044.8387096774193</v>
      </c>
    </row>
    <row r="194" spans="1:63" x14ac:dyDescent="0.35">
      <c r="A194" s="41">
        <v>190</v>
      </c>
      <c r="B194" s="41" t="s">
        <v>248</v>
      </c>
      <c r="C194" s="43" t="s">
        <v>226</v>
      </c>
      <c r="D194" s="17">
        <v>0</v>
      </c>
      <c r="E194" s="17">
        <v>0</v>
      </c>
      <c r="F194" s="17">
        <v>0</v>
      </c>
      <c r="G194" s="17"/>
      <c r="H194" s="17"/>
      <c r="I194" s="17">
        <v>0</v>
      </c>
      <c r="J194" s="17">
        <v>0</v>
      </c>
      <c r="K194" s="17">
        <v>0</v>
      </c>
      <c r="L194" s="17"/>
      <c r="M194" s="17"/>
      <c r="N194" s="17">
        <v>0</v>
      </c>
      <c r="O194" s="17">
        <v>0</v>
      </c>
      <c r="P194" s="17">
        <v>0</v>
      </c>
      <c r="Q194" s="17"/>
      <c r="R194" s="17"/>
      <c r="S194" s="17">
        <v>0</v>
      </c>
      <c r="T194" s="17">
        <v>0</v>
      </c>
      <c r="U194" s="17">
        <v>0</v>
      </c>
      <c r="V194" s="17"/>
      <c r="W194" s="17"/>
      <c r="X194" s="17">
        <v>0</v>
      </c>
      <c r="Y194" s="17">
        <v>0</v>
      </c>
      <c r="Z194" s="17">
        <v>0</v>
      </c>
      <c r="AA194" s="17"/>
      <c r="AB194" s="17"/>
      <c r="AC194" s="17">
        <v>0</v>
      </c>
      <c r="AD194" s="17">
        <v>0</v>
      </c>
      <c r="AE194" s="17">
        <v>0</v>
      </c>
      <c r="AF194" s="17"/>
      <c r="AG194" s="17"/>
      <c r="AH194" s="17">
        <v>0</v>
      </c>
      <c r="AI194" s="17">
        <v>0</v>
      </c>
      <c r="AJ194" s="17">
        <v>0</v>
      </c>
      <c r="AK194" s="17"/>
      <c r="AL194" s="17"/>
      <c r="AM194" s="17">
        <v>0</v>
      </c>
      <c r="AN194" s="17">
        <v>0</v>
      </c>
      <c r="AO194" s="17">
        <v>0</v>
      </c>
      <c r="AP194" s="17"/>
      <c r="AQ194" s="17"/>
      <c r="AR194" s="17">
        <v>352147</v>
      </c>
      <c r="AS194" s="17">
        <v>23946</v>
      </c>
      <c r="AT194" s="17">
        <v>0</v>
      </c>
      <c r="AU194" s="17">
        <v>881.78571428571433</v>
      </c>
      <c r="AV194" s="17">
        <v>1090.7142857142858</v>
      </c>
      <c r="AW194" s="17">
        <v>393098</v>
      </c>
      <c r="AX194" s="17">
        <v>23948</v>
      </c>
      <c r="AY194" s="17">
        <v>0</v>
      </c>
      <c r="AZ194" s="17">
        <v>910.48387096774195</v>
      </c>
      <c r="BA194" s="17">
        <v>1085.1612903225807</v>
      </c>
      <c r="BB194" s="17">
        <v>312207</v>
      </c>
      <c r="BC194" s="17">
        <v>21866</v>
      </c>
      <c r="BD194" s="17">
        <v>0</v>
      </c>
      <c r="BE194" s="17">
        <v>919.33333333333337</v>
      </c>
      <c r="BF194" s="17">
        <v>1063.3333333333333</v>
      </c>
      <c r="BG194" s="17">
        <v>195181</v>
      </c>
      <c r="BH194" s="17">
        <v>16556</v>
      </c>
      <c r="BI194" s="17">
        <v>0</v>
      </c>
      <c r="BJ194" s="17">
        <v>895.32258064516134</v>
      </c>
      <c r="BK194" s="17">
        <v>1044.8387096774193</v>
      </c>
    </row>
    <row r="195" spans="1:63" x14ac:dyDescent="0.35">
      <c r="A195" s="41">
        <v>191</v>
      </c>
      <c r="B195" s="41" t="s">
        <v>232</v>
      </c>
      <c r="C195" s="45" t="s">
        <v>227</v>
      </c>
      <c r="D195" s="17">
        <v>0</v>
      </c>
      <c r="E195" s="17">
        <v>0</v>
      </c>
      <c r="F195" s="17">
        <v>0</v>
      </c>
      <c r="G195" s="17"/>
      <c r="H195" s="17"/>
      <c r="I195" s="17">
        <v>0</v>
      </c>
      <c r="J195" s="17">
        <v>0</v>
      </c>
      <c r="K195" s="17">
        <v>0</v>
      </c>
      <c r="L195" s="17"/>
      <c r="M195" s="17"/>
      <c r="N195" s="17">
        <v>0</v>
      </c>
      <c r="O195" s="17">
        <v>0</v>
      </c>
      <c r="P195" s="17">
        <v>0</v>
      </c>
      <c r="Q195" s="17"/>
      <c r="R195" s="17"/>
      <c r="S195" s="17">
        <v>0</v>
      </c>
      <c r="T195" s="17">
        <v>0</v>
      </c>
      <c r="U195" s="17">
        <v>0</v>
      </c>
      <c r="V195" s="17"/>
      <c r="W195" s="17"/>
      <c r="X195" s="17">
        <v>0</v>
      </c>
      <c r="Y195" s="17">
        <v>0</v>
      </c>
      <c r="Z195" s="17">
        <v>0</v>
      </c>
      <c r="AA195" s="17"/>
      <c r="AB195" s="17"/>
      <c r="AC195" s="17">
        <v>0</v>
      </c>
      <c r="AD195" s="17">
        <v>0</v>
      </c>
      <c r="AE195" s="17">
        <v>0</v>
      </c>
      <c r="AF195" s="17"/>
      <c r="AG195" s="17"/>
      <c r="AH195" s="17">
        <v>0</v>
      </c>
      <c r="AI195" s="17">
        <v>0</v>
      </c>
      <c r="AJ195" s="17">
        <v>0</v>
      </c>
      <c r="AK195" s="17"/>
      <c r="AL195" s="17"/>
      <c r="AM195" s="17">
        <v>0</v>
      </c>
      <c r="AN195" s="17">
        <v>0</v>
      </c>
      <c r="AO195" s="17">
        <v>0</v>
      </c>
      <c r="AP195" s="17"/>
      <c r="AQ195" s="17"/>
      <c r="AR195" s="17">
        <v>0</v>
      </c>
      <c r="AS195" s="17">
        <v>0</v>
      </c>
      <c r="AT195" s="17">
        <v>0</v>
      </c>
      <c r="AU195" s="17"/>
      <c r="AV195" s="17"/>
      <c r="AW195" s="17">
        <v>9259</v>
      </c>
      <c r="AX195" s="17">
        <v>383</v>
      </c>
      <c r="AY195" s="17">
        <v>0</v>
      </c>
      <c r="AZ195" s="17">
        <v>930</v>
      </c>
      <c r="BA195" s="17">
        <v>1080</v>
      </c>
      <c r="BB195" s="17">
        <v>97196</v>
      </c>
      <c r="BC195" s="17">
        <v>6900</v>
      </c>
      <c r="BD195" s="17">
        <v>0</v>
      </c>
      <c r="BE195" s="17">
        <v>930</v>
      </c>
      <c r="BF195" s="17">
        <v>1080</v>
      </c>
      <c r="BG195" s="17">
        <v>104746</v>
      </c>
      <c r="BH195" s="17">
        <v>12385</v>
      </c>
      <c r="BI195" s="17">
        <v>0</v>
      </c>
      <c r="BJ195" s="17">
        <v>896.45161290322585</v>
      </c>
      <c r="BK195" s="17">
        <v>1066.1290322580646</v>
      </c>
    </row>
    <row r="196" spans="1:63" x14ac:dyDescent="0.35">
      <c r="A196" s="41">
        <v>192</v>
      </c>
      <c r="B196" s="41" t="s">
        <v>242</v>
      </c>
      <c r="C196" s="46" t="s">
        <v>228</v>
      </c>
      <c r="D196" s="17">
        <v>0</v>
      </c>
      <c r="E196" s="17">
        <v>0</v>
      </c>
      <c r="F196" s="17">
        <v>0</v>
      </c>
      <c r="G196" s="17"/>
      <c r="H196" s="17"/>
      <c r="I196" s="17">
        <v>0</v>
      </c>
      <c r="J196" s="17">
        <v>0</v>
      </c>
      <c r="K196" s="17">
        <v>0</v>
      </c>
      <c r="L196" s="17"/>
      <c r="M196" s="17"/>
      <c r="N196" s="17">
        <v>0</v>
      </c>
      <c r="O196" s="17">
        <v>0</v>
      </c>
      <c r="P196" s="17">
        <v>0</v>
      </c>
      <c r="Q196" s="17"/>
      <c r="R196" s="17"/>
      <c r="S196" s="17">
        <v>0</v>
      </c>
      <c r="T196" s="17">
        <v>0</v>
      </c>
      <c r="U196" s="17">
        <v>0</v>
      </c>
      <c r="V196" s="17"/>
      <c r="W196" s="17"/>
      <c r="X196" s="17">
        <v>0</v>
      </c>
      <c r="Y196" s="17">
        <v>0</v>
      </c>
      <c r="Z196" s="17">
        <v>0</v>
      </c>
      <c r="AA196" s="17"/>
      <c r="AB196" s="17"/>
      <c r="AC196" s="17">
        <v>0</v>
      </c>
      <c r="AD196" s="17">
        <v>0</v>
      </c>
      <c r="AE196" s="17">
        <v>0</v>
      </c>
      <c r="AF196" s="17"/>
      <c r="AG196" s="17"/>
      <c r="AH196" s="17">
        <v>0</v>
      </c>
      <c r="AI196" s="17">
        <v>0</v>
      </c>
      <c r="AJ196" s="17">
        <v>0</v>
      </c>
      <c r="AK196" s="17"/>
      <c r="AL196" s="17"/>
      <c r="AM196" s="17">
        <v>0</v>
      </c>
      <c r="AN196" s="17">
        <v>0</v>
      </c>
      <c r="AO196" s="17">
        <v>0</v>
      </c>
      <c r="AP196" s="17"/>
      <c r="AQ196" s="17"/>
      <c r="AR196" s="17">
        <v>0</v>
      </c>
      <c r="AS196" s="17">
        <v>0</v>
      </c>
      <c r="AT196" s="17">
        <v>0</v>
      </c>
      <c r="AU196" s="17"/>
      <c r="AV196" s="17"/>
      <c r="AW196" s="17">
        <v>0</v>
      </c>
      <c r="AX196" s="17">
        <v>0</v>
      </c>
      <c r="AY196" s="17">
        <v>0</v>
      </c>
      <c r="AZ196" s="17"/>
      <c r="BA196" s="17"/>
      <c r="BB196" s="17">
        <v>34435</v>
      </c>
      <c r="BC196" s="17">
        <v>760</v>
      </c>
      <c r="BD196" s="17">
        <v>0</v>
      </c>
      <c r="BE196" s="17">
        <v>915</v>
      </c>
      <c r="BF196" s="17">
        <v>1061.4285714285713</v>
      </c>
      <c r="BG196" s="17">
        <v>44182</v>
      </c>
      <c r="BH196" s="17">
        <v>2075</v>
      </c>
      <c r="BI196" s="17">
        <v>0</v>
      </c>
      <c r="BJ196" s="17">
        <v>892.41935483870964</v>
      </c>
      <c r="BK196" s="17">
        <v>1044.8387096774193</v>
      </c>
    </row>
    <row r="197" spans="1:63" x14ac:dyDescent="0.35">
      <c r="A197" s="41">
        <v>193</v>
      </c>
      <c r="B197" s="41" t="s">
        <v>248</v>
      </c>
      <c r="C197" s="46" t="s">
        <v>229</v>
      </c>
      <c r="D197" s="17">
        <v>0</v>
      </c>
      <c r="E197" s="17">
        <v>0</v>
      </c>
      <c r="F197" s="17">
        <v>0</v>
      </c>
      <c r="G197" s="17"/>
      <c r="H197" s="17"/>
      <c r="I197" s="17">
        <v>0</v>
      </c>
      <c r="J197" s="17">
        <v>0</v>
      </c>
      <c r="K197" s="17">
        <v>0</v>
      </c>
      <c r="L197" s="17"/>
      <c r="M197" s="17"/>
      <c r="N197" s="17">
        <v>0</v>
      </c>
      <c r="O197" s="17">
        <v>0</v>
      </c>
      <c r="P197" s="17">
        <v>0</v>
      </c>
      <c r="Q197" s="17"/>
      <c r="R197" s="17"/>
      <c r="S197" s="17">
        <v>0</v>
      </c>
      <c r="T197" s="17">
        <v>0</v>
      </c>
      <c r="U197" s="17">
        <v>0</v>
      </c>
      <c r="V197" s="17"/>
      <c r="W197" s="17"/>
      <c r="X197" s="17">
        <v>0</v>
      </c>
      <c r="Y197" s="17">
        <v>0</v>
      </c>
      <c r="Z197" s="17">
        <v>0</v>
      </c>
      <c r="AA197" s="17"/>
      <c r="AB197" s="17"/>
      <c r="AC197" s="17">
        <v>0</v>
      </c>
      <c r="AD197" s="17">
        <v>0</v>
      </c>
      <c r="AE197" s="17">
        <v>0</v>
      </c>
      <c r="AF197" s="17"/>
      <c r="AG197" s="17"/>
      <c r="AH197" s="17">
        <v>0</v>
      </c>
      <c r="AI197" s="17">
        <v>0</v>
      </c>
      <c r="AJ197" s="17">
        <v>0</v>
      </c>
      <c r="AK197" s="17"/>
      <c r="AL197" s="17"/>
      <c r="AM197" s="17">
        <v>0</v>
      </c>
      <c r="AN197" s="17">
        <v>0</v>
      </c>
      <c r="AO197" s="17">
        <v>0</v>
      </c>
      <c r="AP197" s="17"/>
      <c r="AQ197" s="17"/>
      <c r="AR197" s="17">
        <v>0</v>
      </c>
      <c r="AS197" s="17">
        <v>0</v>
      </c>
      <c r="AT197" s="17">
        <v>0</v>
      </c>
      <c r="AU197" s="17"/>
      <c r="AV197" s="17"/>
      <c r="AW197" s="17">
        <v>0</v>
      </c>
      <c r="AX197" s="17">
        <v>0</v>
      </c>
      <c r="AY197" s="17">
        <v>0</v>
      </c>
      <c r="AZ197" s="17"/>
      <c r="BA197" s="17"/>
      <c r="BB197" s="17">
        <v>0</v>
      </c>
      <c r="BC197" s="17">
        <v>0</v>
      </c>
      <c r="BD197" s="17">
        <v>0</v>
      </c>
      <c r="BE197" s="17"/>
      <c r="BF197" s="17"/>
      <c r="BG197" s="17">
        <v>304915</v>
      </c>
      <c r="BH197" s="17">
        <v>17999</v>
      </c>
      <c r="BI197" s="17">
        <v>0</v>
      </c>
      <c r="BJ197" s="17">
        <v>894.83870967741939</v>
      </c>
      <c r="BK197" s="17">
        <v>1044.8387096774193</v>
      </c>
    </row>
    <row r="305" spans="1:2" x14ac:dyDescent="0.35">
      <c r="A305" s="18">
        <v>266</v>
      </c>
      <c r="B305" s="19"/>
    </row>
    <row r="306" spans="1:2" x14ac:dyDescent="0.35">
      <c r="A306" s="18">
        <v>267</v>
      </c>
      <c r="B306" s="19"/>
    </row>
    <row r="307" spans="1:2" x14ac:dyDescent="0.35">
      <c r="A307" s="18">
        <v>268</v>
      </c>
      <c r="B307" s="19"/>
    </row>
    <row r="308" spans="1:2" x14ac:dyDescent="0.35">
      <c r="A308" s="18">
        <v>269</v>
      </c>
      <c r="B308" s="19"/>
    </row>
    <row r="309" spans="1:2" x14ac:dyDescent="0.35">
      <c r="A309" s="18">
        <v>270</v>
      </c>
      <c r="B309" s="19"/>
    </row>
    <row r="310" spans="1:2" x14ac:dyDescent="0.35">
      <c r="A310" s="18">
        <v>271</v>
      </c>
      <c r="B310" s="19"/>
    </row>
    <row r="311" spans="1:2" x14ac:dyDescent="0.35">
      <c r="A311" s="18">
        <v>272</v>
      </c>
      <c r="B311" s="19"/>
    </row>
    <row r="312" spans="1:2" x14ac:dyDescent="0.35">
      <c r="A312" s="18">
        <v>273</v>
      </c>
      <c r="B312" s="19"/>
    </row>
    <row r="313" spans="1:2" x14ac:dyDescent="0.35">
      <c r="A313" s="18">
        <v>274</v>
      </c>
      <c r="B313" s="19"/>
    </row>
    <row r="314" spans="1:2" x14ac:dyDescent="0.35">
      <c r="A314" s="18">
        <v>275</v>
      </c>
      <c r="B314" s="19"/>
    </row>
    <row r="315" spans="1:2" x14ac:dyDescent="0.35">
      <c r="A315" s="18">
        <v>276</v>
      </c>
      <c r="B315" s="19"/>
    </row>
    <row r="316" spans="1:2" x14ac:dyDescent="0.35">
      <c r="A316" s="18">
        <v>277</v>
      </c>
      <c r="B316" s="19"/>
    </row>
    <row r="317" spans="1:2" x14ac:dyDescent="0.35">
      <c r="A317" s="18">
        <v>278</v>
      </c>
      <c r="B317" s="19"/>
    </row>
    <row r="318" spans="1:2" x14ac:dyDescent="0.35">
      <c r="A318" s="18">
        <v>279</v>
      </c>
      <c r="B318" s="19"/>
    </row>
    <row r="319" spans="1:2" x14ac:dyDescent="0.35">
      <c r="A319" s="18">
        <v>280</v>
      </c>
      <c r="B319" s="19"/>
    </row>
    <row r="320" spans="1:2" x14ac:dyDescent="0.35">
      <c r="A320" s="18">
        <v>281</v>
      </c>
      <c r="B320" s="19"/>
    </row>
    <row r="321" spans="1:2" x14ac:dyDescent="0.35">
      <c r="A321" s="18">
        <v>282</v>
      </c>
      <c r="B321" s="19"/>
    </row>
    <row r="322" spans="1:2" x14ac:dyDescent="0.35">
      <c r="A322" s="18">
        <v>283</v>
      </c>
      <c r="B322" s="19"/>
    </row>
    <row r="323" spans="1:2" x14ac:dyDescent="0.35">
      <c r="A323" s="18">
        <v>284</v>
      </c>
      <c r="B323" s="19"/>
    </row>
    <row r="324" spans="1:2" x14ac:dyDescent="0.35">
      <c r="A324" s="18">
        <v>285</v>
      </c>
      <c r="B324" s="19"/>
    </row>
    <row r="325" spans="1:2" x14ac:dyDescent="0.35">
      <c r="A325" s="18">
        <v>286</v>
      </c>
      <c r="B325" s="19"/>
    </row>
    <row r="326" spans="1:2" x14ac:dyDescent="0.35">
      <c r="A326" s="18">
        <v>287</v>
      </c>
      <c r="B326" s="19"/>
    </row>
    <row r="327" spans="1:2" x14ac:dyDescent="0.35">
      <c r="A327" s="18">
        <v>288</v>
      </c>
      <c r="B327" s="19"/>
    </row>
    <row r="328" spans="1:2" x14ac:dyDescent="0.35">
      <c r="A328" s="18">
        <v>289</v>
      </c>
      <c r="B328" s="19"/>
    </row>
    <row r="329" spans="1:2" x14ac:dyDescent="0.35">
      <c r="A329" s="18">
        <v>290</v>
      </c>
      <c r="B329" s="19"/>
    </row>
    <row r="330" spans="1:2" x14ac:dyDescent="0.35">
      <c r="A330" s="18">
        <v>291</v>
      </c>
      <c r="B330" s="19"/>
    </row>
    <row r="331" spans="1:2" x14ac:dyDescent="0.35">
      <c r="A331" s="18">
        <v>292</v>
      </c>
      <c r="B331" s="19"/>
    </row>
    <row r="332" spans="1:2" x14ac:dyDescent="0.35">
      <c r="A332" s="18">
        <v>293</v>
      </c>
      <c r="B332" s="19"/>
    </row>
    <row r="333" spans="1:2" x14ac:dyDescent="0.35">
      <c r="A333" s="18">
        <v>294</v>
      </c>
      <c r="B333" s="19"/>
    </row>
    <row r="334" spans="1:2" x14ac:dyDescent="0.35">
      <c r="A334" s="18">
        <v>295</v>
      </c>
      <c r="B334" s="19"/>
    </row>
    <row r="335" spans="1:2" x14ac:dyDescent="0.35">
      <c r="A335" s="18">
        <v>296</v>
      </c>
      <c r="B335" s="19"/>
    </row>
    <row r="336" spans="1:2" x14ac:dyDescent="0.35">
      <c r="A336" s="18">
        <v>297</v>
      </c>
      <c r="B336" s="19"/>
    </row>
    <row r="337" spans="1:2" x14ac:dyDescent="0.35">
      <c r="A337" s="18">
        <v>298</v>
      </c>
      <c r="B337" s="19"/>
    </row>
    <row r="338" spans="1:2" x14ac:dyDescent="0.35">
      <c r="A338" s="18">
        <v>299</v>
      </c>
      <c r="B338" s="19"/>
    </row>
    <row r="339" spans="1:2" x14ac:dyDescent="0.35">
      <c r="A339" s="18">
        <v>300</v>
      </c>
      <c r="B339" s="19"/>
    </row>
    <row r="340" spans="1:2" x14ac:dyDescent="0.35">
      <c r="A340" s="18">
        <v>301</v>
      </c>
      <c r="B340" s="19"/>
    </row>
    <row r="341" spans="1:2" x14ac:dyDescent="0.35">
      <c r="A341" s="18">
        <v>302</v>
      </c>
      <c r="B341" s="19"/>
    </row>
    <row r="342" spans="1:2" x14ac:dyDescent="0.35">
      <c r="A342" s="18">
        <v>303</v>
      </c>
      <c r="B342" s="19"/>
    </row>
    <row r="343" spans="1:2" x14ac:dyDescent="0.35">
      <c r="A343" s="18">
        <v>304</v>
      </c>
      <c r="B343" s="19"/>
    </row>
    <row r="344" spans="1:2" x14ac:dyDescent="0.35">
      <c r="A344" s="18">
        <v>305</v>
      </c>
      <c r="B344" s="19"/>
    </row>
    <row r="345" spans="1:2" x14ac:dyDescent="0.35">
      <c r="A345" s="18">
        <v>306</v>
      </c>
      <c r="B345" s="19"/>
    </row>
    <row r="346" spans="1:2" x14ac:dyDescent="0.35">
      <c r="A346" s="18">
        <v>307</v>
      </c>
      <c r="B346" s="19"/>
    </row>
    <row r="347" spans="1:2" x14ac:dyDescent="0.35">
      <c r="A347" s="18">
        <v>308</v>
      </c>
      <c r="B347" s="19"/>
    </row>
    <row r="348" spans="1:2" x14ac:dyDescent="0.35">
      <c r="A348" s="18">
        <v>309</v>
      </c>
      <c r="B348" s="19"/>
    </row>
    <row r="349" spans="1:2" x14ac:dyDescent="0.35">
      <c r="A349" s="18">
        <v>310</v>
      </c>
      <c r="B349" s="19"/>
    </row>
    <row r="350" spans="1:2" x14ac:dyDescent="0.35">
      <c r="A350" s="18">
        <v>311</v>
      </c>
      <c r="B350" s="19"/>
    </row>
    <row r="351" spans="1:2" x14ac:dyDescent="0.35">
      <c r="A351" s="18">
        <v>312</v>
      </c>
      <c r="B351" s="19"/>
    </row>
    <row r="352" spans="1:2" x14ac:dyDescent="0.35">
      <c r="A352" s="18">
        <v>313</v>
      </c>
      <c r="B352" s="19"/>
    </row>
    <row r="353" spans="1:2" x14ac:dyDescent="0.35">
      <c r="A353" s="18">
        <v>314</v>
      </c>
      <c r="B353" s="19"/>
    </row>
    <row r="354" spans="1:2" x14ac:dyDescent="0.35">
      <c r="A354" s="18">
        <v>315</v>
      </c>
      <c r="B354" s="19"/>
    </row>
    <row r="355" spans="1:2" x14ac:dyDescent="0.35">
      <c r="A355" s="18">
        <v>316</v>
      </c>
      <c r="B355" s="19"/>
    </row>
    <row r="356" spans="1:2" x14ac:dyDescent="0.35">
      <c r="A356" s="18">
        <v>317</v>
      </c>
      <c r="B356" s="19"/>
    </row>
    <row r="357" spans="1:2" x14ac:dyDescent="0.35">
      <c r="A357" s="18">
        <v>318</v>
      </c>
      <c r="B357" s="19"/>
    </row>
    <row r="358" spans="1:2" x14ac:dyDescent="0.35">
      <c r="A358" s="18">
        <v>319</v>
      </c>
      <c r="B358" s="19"/>
    </row>
    <row r="359" spans="1:2" x14ac:dyDescent="0.35">
      <c r="A359" s="18">
        <v>320</v>
      </c>
      <c r="B359" s="19"/>
    </row>
    <row r="360" spans="1:2" x14ac:dyDescent="0.35">
      <c r="A360" s="18">
        <v>321</v>
      </c>
      <c r="B360" s="19"/>
    </row>
    <row r="361" spans="1:2" x14ac:dyDescent="0.35">
      <c r="A361" s="18">
        <v>322</v>
      </c>
      <c r="B361" s="19"/>
    </row>
    <row r="362" spans="1:2" x14ac:dyDescent="0.35">
      <c r="A362" s="18">
        <v>323</v>
      </c>
      <c r="B362" s="19"/>
    </row>
    <row r="363" spans="1:2" x14ac:dyDescent="0.35">
      <c r="A363" s="18">
        <v>324</v>
      </c>
      <c r="B363" s="19"/>
    </row>
    <row r="364" spans="1:2" x14ac:dyDescent="0.35">
      <c r="A364" s="18">
        <v>325</v>
      </c>
      <c r="B364" s="19"/>
    </row>
    <row r="365" spans="1:2" x14ac:dyDescent="0.35">
      <c r="A365" s="18">
        <v>326</v>
      </c>
      <c r="B365" s="19"/>
    </row>
    <row r="366" spans="1:2" x14ac:dyDescent="0.35">
      <c r="A366" s="18">
        <v>327</v>
      </c>
      <c r="B366" s="19"/>
    </row>
    <row r="367" spans="1:2" x14ac:dyDescent="0.35">
      <c r="A367" s="18">
        <v>328</v>
      </c>
      <c r="B367" s="19"/>
    </row>
    <row r="368" spans="1:2" x14ac:dyDescent="0.35">
      <c r="A368" s="18">
        <v>329</v>
      </c>
      <c r="B368" s="19"/>
    </row>
    <row r="369" spans="1:2" x14ac:dyDescent="0.35">
      <c r="A369" s="18">
        <v>330</v>
      </c>
      <c r="B369" s="19"/>
    </row>
    <row r="370" spans="1:2" x14ac:dyDescent="0.35">
      <c r="A370" s="18">
        <v>331</v>
      </c>
      <c r="B370" s="19"/>
    </row>
    <row r="371" spans="1:2" x14ac:dyDescent="0.35">
      <c r="A371" s="18">
        <v>332</v>
      </c>
      <c r="B371" s="19"/>
    </row>
    <row r="372" spans="1:2" x14ac:dyDescent="0.35">
      <c r="A372" s="18">
        <v>333</v>
      </c>
      <c r="B372" s="19"/>
    </row>
    <row r="373" spans="1:2" x14ac:dyDescent="0.35">
      <c r="A373" s="18">
        <v>334</v>
      </c>
      <c r="B373" s="19"/>
    </row>
    <row r="374" spans="1:2" x14ac:dyDescent="0.35">
      <c r="A374" s="18">
        <v>335</v>
      </c>
      <c r="B374" s="19"/>
    </row>
    <row r="375" spans="1:2" x14ac:dyDescent="0.35">
      <c r="A375" s="18">
        <v>336</v>
      </c>
      <c r="B375" s="19"/>
    </row>
    <row r="376" spans="1:2" x14ac:dyDescent="0.35">
      <c r="A376" s="18">
        <v>337</v>
      </c>
      <c r="B376" s="19"/>
    </row>
    <row r="377" spans="1:2" x14ac:dyDescent="0.35">
      <c r="A377" s="18">
        <v>338</v>
      </c>
      <c r="B377" s="19"/>
    </row>
    <row r="378" spans="1:2" x14ac:dyDescent="0.35">
      <c r="A378" s="18">
        <v>339</v>
      </c>
      <c r="B378" s="19"/>
    </row>
    <row r="379" spans="1:2" x14ac:dyDescent="0.35">
      <c r="A379" s="18">
        <v>340</v>
      </c>
      <c r="B379" s="19"/>
    </row>
    <row r="380" spans="1:2" x14ac:dyDescent="0.35">
      <c r="A380" s="18">
        <v>341</v>
      </c>
      <c r="B380" s="19"/>
    </row>
    <row r="381" spans="1:2" x14ac:dyDescent="0.35">
      <c r="A381" s="18">
        <v>342</v>
      </c>
      <c r="B381" s="19"/>
    </row>
    <row r="382" spans="1:2" x14ac:dyDescent="0.35">
      <c r="A382" s="18">
        <v>343</v>
      </c>
      <c r="B382" s="19"/>
    </row>
    <row r="383" spans="1:2" x14ac:dyDescent="0.35">
      <c r="A383" s="18">
        <v>344</v>
      </c>
      <c r="B383" s="19"/>
    </row>
    <row r="384" spans="1:2" x14ac:dyDescent="0.35">
      <c r="A384" s="18">
        <v>345</v>
      </c>
      <c r="B384" s="19"/>
    </row>
    <row r="385" spans="1:2" x14ac:dyDescent="0.35">
      <c r="A385" s="18">
        <v>346</v>
      </c>
      <c r="B385" s="19"/>
    </row>
    <row r="386" spans="1:2" x14ac:dyDescent="0.35">
      <c r="A386" s="18">
        <v>347</v>
      </c>
      <c r="B386" s="19"/>
    </row>
    <row r="387" spans="1:2" x14ac:dyDescent="0.35">
      <c r="A387" s="18">
        <v>348</v>
      </c>
      <c r="B387" s="19"/>
    </row>
    <row r="388" spans="1:2" x14ac:dyDescent="0.35">
      <c r="A388" s="18">
        <v>349</v>
      </c>
      <c r="B388" s="19"/>
    </row>
    <row r="389" spans="1:2" x14ac:dyDescent="0.35">
      <c r="A389" s="18">
        <v>350</v>
      </c>
      <c r="B389" s="19"/>
    </row>
    <row r="390" spans="1:2" x14ac:dyDescent="0.35">
      <c r="A390" s="18">
        <v>351</v>
      </c>
      <c r="B390" s="19"/>
    </row>
    <row r="391" spans="1:2" x14ac:dyDescent="0.35">
      <c r="A391" s="18">
        <v>352</v>
      </c>
      <c r="B391" s="19"/>
    </row>
    <row r="392" spans="1:2" x14ac:dyDescent="0.35">
      <c r="A392" s="18">
        <v>353</v>
      </c>
      <c r="B392" s="19"/>
    </row>
    <row r="393" spans="1:2" x14ac:dyDescent="0.35">
      <c r="A393" s="18">
        <v>354</v>
      </c>
      <c r="B393" s="19"/>
    </row>
    <row r="394" spans="1:2" x14ac:dyDescent="0.35">
      <c r="A394" s="18">
        <v>355</v>
      </c>
      <c r="B394" s="19"/>
    </row>
    <row r="395" spans="1:2" x14ac:dyDescent="0.35">
      <c r="A395" s="18">
        <v>356</v>
      </c>
      <c r="B395" s="19"/>
    </row>
    <row r="396" spans="1:2" x14ac:dyDescent="0.35">
      <c r="A396" s="18">
        <v>357</v>
      </c>
      <c r="B396" s="19"/>
    </row>
    <row r="397" spans="1:2" x14ac:dyDescent="0.35">
      <c r="A397" s="18">
        <v>358</v>
      </c>
      <c r="B397" s="19"/>
    </row>
    <row r="398" spans="1:2" x14ac:dyDescent="0.35">
      <c r="A398" s="18">
        <v>359</v>
      </c>
      <c r="B398" s="19"/>
    </row>
    <row r="399" spans="1:2" x14ac:dyDescent="0.35">
      <c r="A399" s="18">
        <v>360</v>
      </c>
      <c r="B399" s="19"/>
    </row>
    <row r="400" spans="1:2" x14ac:dyDescent="0.35">
      <c r="A400" s="18">
        <v>361</v>
      </c>
      <c r="B400" s="19"/>
    </row>
    <row r="401" spans="1:2" x14ac:dyDescent="0.35">
      <c r="A401" s="18">
        <v>362</v>
      </c>
      <c r="B401" s="19"/>
    </row>
    <row r="402" spans="1:2" x14ac:dyDescent="0.35">
      <c r="A402" s="18">
        <v>363</v>
      </c>
      <c r="B402" s="19"/>
    </row>
    <row r="403" spans="1:2" x14ac:dyDescent="0.35">
      <c r="A403" s="18">
        <v>364</v>
      </c>
      <c r="B403" s="19"/>
    </row>
    <row r="404" spans="1:2" x14ac:dyDescent="0.35">
      <c r="A404" s="18">
        <v>365</v>
      </c>
      <c r="B404" s="19"/>
    </row>
    <row r="405" spans="1:2" x14ac:dyDescent="0.35">
      <c r="A405" s="18">
        <v>366</v>
      </c>
      <c r="B405" s="19"/>
    </row>
    <row r="406" spans="1:2" x14ac:dyDescent="0.35">
      <c r="A406" s="18">
        <v>367</v>
      </c>
      <c r="B406" s="19"/>
    </row>
    <row r="407" spans="1:2" x14ac:dyDescent="0.35">
      <c r="A407" s="18">
        <v>368</v>
      </c>
      <c r="B407" s="19"/>
    </row>
    <row r="408" spans="1:2" x14ac:dyDescent="0.35">
      <c r="A408" s="18">
        <v>369</v>
      </c>
      <c r="B408" s="19"/>
    </row>
    <row r="409" spans="1:2" x14ac:dyDescent="0.35">
      <c r="A409" s="18">
        <v>370</v>
      </c>
      <c r="B409" s="19"/>
    </row>
    <row r="410" spans="1:2" x14ac:dyDescent="0.35">
      <c r="A410" s="18">
        <v>371</v>
      </c>
      <c r="B410" s="19"/>
    </row>
    <row r="411" spans="1:2" x14ac:dyDescent="0.35">
      <c r="A411" s="18">
        <v>372</v>
      </c>
      <c r="B411" s="19"/>
    </row>
    <row r="412" spans="1:2" x14ac:dyDescent="0.35">
      <c r="A412" s="18">
        <v>373</v>
      </c>
      <c r="B412" s="19"/>
    </row>
    <row r="413" spans="1:2" x14ac:dyDescent="0.35">
      <c r="A413" s="18">
        <v>374</v>
      </c>
      <c r="B413" s="19"/>
    </row>
    <row r="414" spans="1:2" x14ac:dyDescent="0.35">
      <c r="A414" s="18">
        <v>375</v>
      </c>
      <c r="B414" s="19"/>
    </row>
    <row r="415" spans="1:2" x14ac:dyDescent="0.35">
      <c r="A415" s="18">
        <v>376</v>
      </c>
      <c r="B415" s="19"/>
    </row>
    <row r="416" spans="1:2" x14ac:dyDescent="0.35">
      <c r="A416" s="18">
        <v>377</v>
      </c>
      <c r="B416" s="19"/>
    </row>
    <row r="417" spans="1:2" x14ac:dyDescent="0.35">
      <c r="A417" s="18">
        <v>378</v>
      </c>
      <c r="B417" s="19"/>
    </row>
    <row r="418" spans="1:2" x14ac:dyDescent="0.35">
      <c r="A418" s="18">
        <v>379</v>
      </c>
      <c r="B418" s="19"/>
    </row>
    <row r="419" spans="1:2" x14ac:dyDescent="0.35">
      <c r="A419" s="18">
        <v>380</v>
      </c>
      <c r="B419" s="19"/>
    </row>
    <row r="420" spans="1:2" x14ac:dyDescent="0.35">
      <c r="A420" s="18">
        <v>381</v>
      </c>
      <c r="B420" s="19"/>
    </row>
    <row r="421" spans="1:2" x14ac:dyDescent="0.35">
      <c r="A421" s="18">
        <v>382</v>
      </c>
      <c r="B421" s="19"/>
    </row>
    <row r="422" spans="1:2" x14ac:dyDescent="0.35">
      <c r="A422" s="18">
        <v>383</v>
      </c>
      <c r="B422" s="19"/>
    </row>
    <row r="423" spans="1:2" x14ac:dyDescent="0.35">
      <c r="A423" s="18">
        <v>384</v>
      </c>
      <c r="B423" s="19"/>
    </row>
    <row r="424" spans="1:2" x14ac:dyDescent="0.35">
      <c r="A424" s="18">
        <v>385</v>
      </c>
      <c r="B424" s="19"/>
    </row>
    <row r="425" spans="1:2" x14ac:dyDescent="0.35">
      <c r="A425" s="18">
        <v>386</v>
      </c>
      <c r="B425" s="19"/>
    </row>
    <row r="426" spans="1:2" x14ac:dyDescent="0.35">
      <c r="A426" s="18">
        <v>387</v>
      </c>
      <c r="B426" s="19"/>
    </row>
    <row r="427" spans="1:2" x14ac:dyDescent="0.35">
      <c r="A427" s="18">
        <v>388</v>
      </c>
      <c r="B427" s="19"/>
    </row>
    <row r="428" spans="1:2" x14ac:dyDescent="0.35">
      <c r="A428" s="18">
        <v>389</v>
      </c>
      <c r="B428" s="19"/>
    </row>
    <row r="429" spans="1:2" x14ac:dyDescent="0.35">
      <c r="A429" s="18">
        <v>390</v>
      </c>
      <c r="B429" s="19"/>
    </row>
    <row r="430" spans="1:2" x14ac:dyDescent="0.35">
      <c r="A430" s="18">
        <v>391</v>
      </c>
      <c r="B430" s="19"/>
    </row>
    <row r="431" spans="1:2" x14ac:dyDescent="0.35">
      <c r="A431" s="18">
        <v>392</v>
      </c>
      <c r="B431" s="19"/>
    </row>
    <row r="432" spans="1:2" x14ac:dyDescent="0.35">
      <c r="A432" s="18">
        <v>393</v>
      </c>
      <c r="B432" s="19"/>
    </row>
    <row r="433" spans="1:2" x14ac:dyDescent="0.35">
      <c r="A433" s="18">
        <v>394</v>
      </c>
      <c r="B433" s="19"/>
    </row>
    <row r="434" spans="1:2" x14ac:dyDescent="0.35">
      <c r="A434" s="18">
        <v>395</v>
      </c>
      <c r="B434" s="19"/>
    </row>
    <row r="435" spans="1:2" x14ac:dyDescent="0.35">
      <c r="A435" s="18">
        <v>396</v>
      </c>
      <c r="B435" s="19"/>
    </row>
    <row r="436" spans="1:2" x14ac:dyDescent="0.35">
      <c r="A436" s="18">
        <v>397</v>
      </c>
      <c r="B436" s="19"/>
    </row>
    <row r="437" spans="1:2" x14ac:dyDescent="0.35">
      <c r="A437" s="18">
        <v>398</v>
      </c>
      <c r="B437" s="19"/>
    </row>
    <row r="438" spans="1:2" x14ac:dyDescent="0.35">
      <c r="A438" s="18">
        <v>399</v>
      </c>
      <c r="B438" s="19"/>
    </row>
    <row r="439" spans="1:2" x14ac:dyDescent="0.35">
      <c r="A439" s="18">
        <v>400</v>
      </c>
      <c r="B439" s="19"/>
    </row>
    <row r="440" spans="1:2" x14ac:dyDescent="0.35">
      <c r="A440" s="18">
        <v>401</v>
      </c>
      <c r="B440" s="19"/>
    </row>
    <row r="441" spans="1:2" x14ac:dyDescent="0.35">
      <c r="A441" s="18">
        <v>402</v>
      </c>
      <c r="B441" s="19"/>
    </row>
    <row r="442" spans="1:2" x14ac:dyDescent="0.35">
      <c r="A442" s="18">
        <v>403</v>
      </c>
      <c r="B442" s="19"/>
    </row>
    <row r="443" spans="1:2" x14ac:dyDescent="0.35">
      <c r="A443" s="18">
        <v>404</v>
      </c>
      <c r="B443" s="19"/>
    </row>
    <row r="444" spans="1:2" x14ac:dyDescent="0.35">
      <c r="A444" s="18">
        <v>405</v>
      </c>
      <c r="B444" s="19"/>
    </row>
    <row r="445" spans="1:2" x14ac:dyDescent="0.35">
      <c r="A445" s="18">
        <v>406</v>
      </c>
      <c r="B445" s="19"/>
    </row>
    <row r="446" spans="1:2" x14ac:dyDescent="0.35">
      <c r="A446" s="18">
        <v>407</v>
      </c>
      <c r="B446" s="19"/>
    </row>
    <row r="447" spans="1:2" x14ac:dyDescent="0.35">
      <c r="A447" s="18">
        <v>408</v>
      </c>
      <c r="B447" s="19"/>
    </row>
    <row r="448" spans="1:2" x14ac:dyDescent="0.35">
      <c r="A448" s="18">
        <v>409</v>
      </c>
      <c r="B448" s="19"/>
    </row>
    <row r="449" spans="1:2" x14ac:dyDescent="0.35">
      <c r="A449" s="18">
        <v>410</v>
      </c>
      <c r="B449" s="19"/>
    </row>
    <row r="450" spans="1:2" x14ac:dyDescent="0.35">
      <c r="A450" s="18">
        <v>411</v>
      </c>
      <c r="B450" s="19"/>
    </row>
    <row r="451" spans="1:2" x14ac:dyDescent="0.35">
      <c r="A451" s="18">
        <v>412</v>
      </c>
      <c r="B451" s="19"/>
    </row>
    <row r="452" spans="1:2" x14ac:dyDescent="0.35">
      <c r="A452" s="18">
        <v>413</v>
      </c>
      <c r="B452" s="19"/>
    </row>
    <row r="453" spans="1:2" x14ac:dyDescent="0.35">
      <c r="A453" s="18">
        <v>414</v>
      </c>
      <c r="B453" s="19"/>
    </row>
    <row r="454" spans="1:2" x14ac:dyDescent="0.35">
      <c r="A454" s="18">
        <v>415</v>
      </c>
      <c r="B454" s="19"/>
    </row>
    <row r="455" spans="1:2" x14ac:dyDescent="0.35">
      <c r="A455" s="18">
        <v>416</v>
      </c>
      <c r="B455" s="19"/>
    </row>
    <row r="456" spans="1:2" x14ac:dyDescent="0.35">
      <c r="A456" s="18">
        <v>417</v>
      </c>
      <c r="B456" s="19"/>
    </row>
    <row r="457" spans="1:2" x14ac:dyDescent="0.35">
      <c r="A457" s="18">
        <v>418</v>
      </c>
      <c r="B457" s="19"/>
    </row>
    <row r="458" spans="1:2" x14ac:dyDescent="0.35">
      <c r="A458" s="18">
        <v>419</v>
      </c>
      <c r="B458" s="19"/>
    </row>
    <row r="459" spans="1:2" x14ac:dyDescent="0.35">
      <c r="A459" s="18">
        <v>420</v>
      </c>
      <c r="B459" s="19"/>
    </row>
    <row r="460" spans="1:2" x14ac:dyDescent="0.35">
      <c r="A460" s="18">
        <v>421</v>
      </c>
      <c r="B460" s="19"/>
    </row>
    <row r="461" spans="1:2" x14ac:dyDescent="0.35">
      <c r="A461" s="18">
        <v>422</v>
      </c>
      <c r="B461" s="19"/>
    </row>
    <row r="462" spans="1:2" x14ac:dyDescent="0.35">
      <c r="A462" s="18">
        <v>423</v>
      </c>
      <c r="B462" s="19"/>
    </row>
    <row r="463" spans="1:2" x14ac:dyDescent="0.35">
      <c r="A463" s="18">
        <v>424</v>
      </c>
      <c r="B463" s="19"/>
    </row>
    <row r="464" spans="1:2" x14ac:dyDescent="0.35">
      <c r="A464" s="18">
        <v>425</v>
      </c>
      <c r="B464" s="19"/>
    </row>
    <row r="465" spans="1:2" x14ac:dyDescent="0.35">
      <c r="A465" s="18">
        <v>426</v>
      </c>
      <c r="B465" s="19"/>
    </row>
    <row r="466" spans="1:2" x14ac:dyDescent="0.35">
      <c r="A466" s="18">
        <v>427</v>
      </c>
      <c r="B466" s="19"/>
    </row>
    <row r="467" spans="1:2" x14ac:dyDescent="0.35">
      <c r="A467" s="18">
        <v>428</v>
      </c>
      <c r="B467" s="19"/>
    </row>
    <row r="468" spans="1:2" x14ac:dyDescent="0.35">
      <c r="A468" s="18">
        <v>429</v>
      </c>
      <c r="B468" s="19"/>
    </row>
    <row r="469" spans="1:2" x14ac:dyDescent="0.35">
      <c r="A469" s="18">
        <v>430</v>
      </c>
      <c r="B469" s="19"/>
    </row>
    <row r="470" spans="1:2" x14ac:dyDescent="0.35">
      <c r="A470" s="18">
        <v>431</v>
      </c>
      <c r="B470" s="19"/>
    </row>
    <row r="471" spans="1:2" x14ac:dyDescent="0.35">
      <c r="A471" s="18">
        <v>432</v>
      </c>
      <c r="B471" s="19"/>
    </row>
    <row r="472" spans="1:2" x14ac:dyDescent="0.35">
      <c r="A472" s="18">
        <v>433</v>
      </c>
      <c r="B472" s="19"/>
    </row>
    <row r="473" spans="1:2" x14ac:dyDescent="0.35">
      <c r="A473" s="18">
        <v>434</v>
      </c>
      <c r="B473" s="19"/>
    </row>
    <row r="474" spans="1:2" x14ac:dyDescent="0.35">
      <c r="A474" s="18">
        <v>435</v>
      </c>
      <c r="B474" s="19"/>
    </row>
    <row r="475" spans="1:2" x14ac:dyDescent="0.35">
      <c r="A475" s="18">
        <v>436</v>
      </c>
      <c r="B475" s="19"/>
    </row>
    <row r="476" spans="1:2" x14ac:dyDescent="0.35">
      <c r="A476" s="18">
        <v>437</v>
      </c>
      <c r="B476" s="19"/>
    </row>
    <row r="477" spans="1:2" x14ac:dyDescent="0.35">
      <c r="A477" s="18">
        <v>438</v>
      </c>
      <c r="B477" s="19"/>
    </row>
    <row r="478" spans="1:2" x14ac:dyDescent="0.35">
      <c r="A478" s="18">
        <v>439</v>
      </c>
      <c r="B478" s="19"/>
    </row>
    <row r="479" spans="1:2" x14ac:dyDescent="0.35">
      <c r="A479" s="18">
        <v>440</v>
      </c>
      <c r="B479" s="19"/>
    </row>
    <row r="480" spans="1:2" x14ac:dyDescent="0.35">
      <c r="A480" s="18">
        <v>441</v>
      </c>
      <c r="B480" s="19"/>
    </row>
    <row r="481" spans="1:2" x14ac:dyDescent="0.35">
      <c r="A481" s="18">
        <v>442</v>
      </c>
      <c r="B481" s="19"/>
    </row>
    <row r="482" spans="1:2" x14ac:dyDescent="0.35">
      <c r="A482" s="18">
        <v>443</v>
      </c>
      <c r="B482" s="19"/>
    </row>
    <row r="483" spans="1:2" x14ac:dyDescent="0.35">
      <c r="A483" s="18">
        <v>444</v>
      </c>
      <c r="B483" s="19"/>
    </row>
    <row r="484" spans="1:2" x14ac:dyDescent="0.35">
      <c r="A484" s="18">
        <v>445</v>
      </c>
      <c r="B484" s="19"/>
    </row>
    <row r="485" spans="1:2" x14ac:dyDescent="0.35">
      <c r="A485" s="18">
        <v>446</v>
      </c>
      <c r="B485" s="19"/>
    </row>
    <row r="486" spans="1:2" x14ac:dyDescent="0.35">
      <c r="A486" s="18">
        <v>447</v>
      </c>
      <c r="B486" s="19"/>
    </row>
    <row r="487" spans="1:2" x14ac:dyDescent="0.35">
      <c r="A487" s="18">
        <v>448</v>
      </c>
      <c r="B487" s="19"/>
    </row>
    <row r="488" spans="1:2" x14ac:dyDescent="0.35">
      <c r="A488" s="18">
        <v>449</v>
      </c>
      <c r="B488" s="19"/>
    </row>
    <row r="489" spans="1:2" x14ac:dyDescent="0.35">
      <c r="A489" s="18">
        <v>450</v>
      </c>
      <c r="B489" s="19"/>
    </row>
    <row r="490" spans="1:2" x14ac:dyDescent="0.35">
      <c r="A490" s="18">
        <v>451</v>
      </c>
      <c r="B490" s="19"/>
    </row>
    <row r="491" spans="1:2" x14ac:dyDescent="0.35">
      <c r="A491" s="18">
        <v>452</v>
      </c>
      <c r="B491" s="19"/>
    </row>
    <row r="492" spans="1:2" x14ac:dyDescent="0.35">
      <c r="A492" s="18">
        <v>453</v>
      </c>
      <c r="B492" s="19"/>
    </row>
    <row r="493" spans="1:2" x14ac:dyDescent="0.35">
      <c r="A493" s="18">
        <v>454</v>
      </c>
      <c r="B493" s="19"/>
    </row>
    <row r="494" spans="1:2" x14ac:dyDescent="0.35">
      <c r="A494" s="18">
        <v>455</v>
      </c>
      <c r="B494" s="19"/>
    </row>
    <row r="495" spans="1:2" x14ac:dyDescent="0.35">
      <c r="A495" s="18">
        <v>456</v>
      </c>
      <c r="B495" s="19"/>
    </row>
    <row r="496" spans="1:2" x14ac:dyDescent="0.35">
      <c r="A496" s="18">
        <v>457</v>
      </c>
      <c r="B496" s="19"/>
    </row>
    <row r="497" spans="1:2" x14ac:dyDescent="0.35">
      <c r="A497" s="18">
        <v>458</v>
      </c>
      <c r="B497" s="19"/>
    </row>
    <row r="498" spans="1:2" x14ac:dyDescent="0.35">
      <c r="A498" s="18">
        <v>459</v>
      </c>
      <c r="B498" s="19"/>
    </row>
    <row r="499" spans="1:2" x14ac:dyDescent="0.35">
      <c r="A499" s="18">
        <v>460</v>
      </c>
      <c r="B499" s="19"/>
    </row>
    <row r="500" spans="1:2" x14ac:dyDescent="0.35">
      <c r="A500" s="18">
        <v>461</v>
      </c>
      <c r="B500" s="19"/>
    </row>
    <row r="501" spans="1:2" x14ac:dyDescent="0.35">
      <c r="A501" s="18">
        <v>462</v>
      </c>
      <c r="B501" s="19"/>
    </row>
    <row r="502" spans="1:2" x14ac:dyDescent="0.35">
      <c r="A502" s="18">
        <v>463</v>
      </c>
      <c r="B502" s="19"/>
    </row>
    <row r="503" spans="1:2" x14ac:dyDescent="0.35">
      <c r="A503" s="18">
        <v>464</v>
      </c>
      <c r="B503" s="19"/>
    </row>
    <row r="504" spans="1:2" x14ac:dyDescent="0.35">
      <c r="A504" s="18">
        <v>465</v>
      </c>
      <c r="B504" s="19"/>
    </row>
    <row r="505" spans="1:2" x14ac:dyDescent="0.35">
      <c r="A505" s="18">
        <v>466</v>
      </c>
      <c r="B505" s="19"/>
    </row>
    <row r="506" spans="1:2" x14ac:dyDescent="0.35">
      <c r="A506" s="18">
        <v>467</v>
      </c>
      <c r="B506" s="19"/>
    </row>
    <row r="507" spans="1:2" x14ac:dyDescent="0.35">
      <c r="A507" s="18">
        <v>468</v>
      </c>
      <c r="B507" s="19"/>
    </row>
    <row r="508" spans="1:2" x14ac:dyDescent="0.35">
      <c r="A508" s="18">
        <v>469</v>
      </c>
      <c r="B508" s="19"/>
    </row>
    <row r="509" spans="1:2" x14ac:dyDescent="0.35">
      <c r="A509" s="18">
        <v>470</v>
      </c>
      <c r="B509" s="19"/>
    </row>
    <row r="510" spans="1:2" x14ac:dyDescent="0.35">
      <c r="A510" s="18">
        <v>471</v>
      </c>
      <c r="B510" s="19"/>
    </row>
    <row r="511" spans="1:2" x14ac:dyDescent="0.35">
      <c r="A511" s="18">
        <v>472</v>
      </c>
      <c r="B511" s="19"/>
    </row>
    <row r="512" spans="1:2" x14ac:dyDescent="0.35">
      <c r="A512" s="18">
        <v>473</v>
      </c>
      <c r="B512" s="19"/>
    </row>
    <row r="513" spans="1:2" x14ac:dyDescent="0.35">
      <c r="A513" s="18">
        <v>474</v>
      </c>
      <c r="B513" s="19"/>
    </row>
    <row r="514" spans="1:2" x14ac:dyDescent="0.35">
      <c r="A514" s="18">
        <v>475</v>
      </c>
      <c r="B514" s="19"/>
    </row>
    <row r="515" spans="1:2" x14ac:dyDescent="0.35">
      <c r="A515" s="18">
        <v>476</v>
      </c>
      <c r="B515" s="19"/>
    </row>
    <row r="516" spans="1:2" x14ac:dyDescent="0.35">
      <c r="A516" s="18">
        <v>477</v>
      </c>
      <c r="B516" s="19"/>
    </row>
    <row r="517" spans="1:2" x14ac:dyDescent="0.35">
      <c r="A517" s="18">
        <v>478</v>
      </c>
      <c r="B517" s="19"/>
    </row>
    <row r="518" spans="1:2" x14ac:dyDescent="0.35">
      <c r="A518" s="18">
        <v>479</v>
      </c>
      <c r="B518" s="19"/>
    </row>
    <row r="519" spans="1:2" x14ac:dyDescent="0.35">
      <c r="A519" s="18">
        <v>480</v>
      </c>
      <c r="B519" s="19"/>
    </row>
    <row r="520" spans="1:2" x14ac:dyDescent="0.35">
      <c r="A520" s="18">
        <v>481</v>
      </c>
      <c r="B520" s="19"/>
    </row>
    <row r="521" spans="1:2" x14ac:dyDescent="0.35">
      <c r="A521" s="18">
        <v>482</v>
      </c>
      <c r="B521" s="19"/>
    </row>
    <row r="522" spans="1:2" x14ac:dyDescent="0.35">
      <c r="A522" s="18">
        <v>483</v>
      </c>
      <c r="B522" s="19"/>
    </row>
    <row r="523" spans="1:2" x14ac:dyDescent="0.35">
      <c r="A523" s="18">
        <v>484</v>
      </c>
      <c r="B523" s="19"/>
    </row>
    <row r="524" spans="1:2" x14ac:dyDescent="0.35">
      <c r="A524" s="18">
        <v>485</v>
      </c>
      <c r="B524" s="19"/>
    </row>
    <row r="525" spans="1:2" x14ac:dyDescent="0.35">
      <c r="A525" s="18">
        <v>486</v>
      </c>
      <c r="B525" s="19"/>
    </row>
    <row r="526" spans="1:2" x14ac:dyDescent="0.35">
      <c r="A526" s="18">
        <v>487</v>
      </c>
      <c r="B526" s="19"/>
    </row>
    <row r="527" spans="1:2" x14ac:dyDescent="0.35">
      <c r="A527" s="18">
        <v>488</v>
      </c>
      <c r="B527" s="19"/>
    </row>
    <row r="528" spans="1:2" x14ac:dyDescent="0.35">
      <c r="A528" s="18">
        <v>489</v>
      </c>
      <c r="B528" s="19"/>
    </row>
    <row r="529" spans="1:2" x14ac:dyDescent="0.35">
      <c r="A529" s="18">
        <v>490</v>
      </c>
      <c r="B529" s="19"/>
    </row>
    <row r="530" spans="1:2" x14ac:dyDescent="0.35">
      <c r="A530" s="18">
        <v>491</v>
      </c>
      <c r="B530" s="19"/>
    </row>
    <row r="531" spans="1:2" x14ac:dyDescent="0.35">
      <c r="A531" s="18">
        <v>492</v>
      </c>
      <c r="B531" s="19"/>
    </row>
    <row r="532" spans="1:2" x14ac:dyDescent="0.35">
      <c r="A532" s="18">
        <v>493</v>
      </c>
      <c r="B532" s="19"/>
    </row>
    <row r="533" spans="1:2" x14ac:dyDescent="0.35">
      <c r="A533" s="18">
        <v>494</v>
      </c>
      <c r="B533" s="19"/>
    </row>
    <row r="534" spans="1:2" x14ac:dyDescent="0.35">
      <c r="A534" s="18">
        <v>495</v>
      </c>
      <c r="B534" s="19"/>
    </row>
    <row r="535" spans="1:2" x14ac:dyDescent="0.35">
      <c r="A535" s="18">
        <v>496</v>
      </c>
      <c r="B535" s="19"/>
    </row>
    <row r="536" spans="1:2" x14ac:dyDescent="0.35">
      <c r="A536" s="18">
        <v>497</v>
      </c>
      <c r="B536" s="19"/>
    </row>
    <row r="537" spans="1:2" x14ac:dyDescent="0.35">
      <c r="A537" s="18">
        <v>498</v>
      </c>
      <c r="B537" s="19"/>
    </row>
    <row r="538" spans="1:2" x14ac:dyDescent="0.35">
      <c r="A538" s="18">
        <v>499</v>
      </c>
      <c r="B538" s="19"/>
    </row>
    <row r="539" spans="1:2" x14ac:dyDescent="0.35">
      <c r="A539" s="18">
        <v>500</v>
      </c>
      <c r="B539" s="19"/>
    </row>
    <row r="540" spans="1:2" x14ac:dyDescent="0.35">
      <c r="A540" s="18">
        <v>501</v>
      </c>
      <c r="B540" s="19"/>
    </row>
    <row r="541" spans="1:2" x14ac:dyDescent="0.35">
      <c r="A541" s="18">
        <v>502</v>
      </c>
      <c r="B541" s="19"/>
    </row>
    <row r="542" spans="1:2" x14ac:dyDescent="0.35">
      <c r="A542" s="18">
        <v>503</v>
      </c>
      <c r="B542" s="19"/>
    </row>
    <row r="543" spans="1:2" x14ac:dyDescent="0.35">
      <c r="A543" s="18">
        <v>504</v>
      </c>
      <c r="B543" s="19"/>
    </row>
    <row r="544" spans="1:2" x14ac:dyDescent="0.35">
      <c r="A544" s="18">
        <v>505</v>
      </c>
      <c r="B544" s="19"/>
    </row>
    <row r="545" spans="1:2" x14ac:dyDescent="0.35">
      <c r="A545" s="18">
        <v>506</v>
      </c>
      <c r="B545" s="19"/>
    </row>
    <row r="546" spans="1:2" x14ac:dyDescent="0.35">
      <c r="A546" s="18">
        <v>507</v>
      </c>
      <c r="B546" s="19"/>
    </row>
    <row r="547" spans="1:2" x14ac:dyDescent="0.35">
      <c r="A547" s="18">
        <v>508</v>
      </c>
      <c r="B547" s="19"/>
    </row>
    <row r="548" spans="1:2" x14ac:dyDescent="0.35">
      <c r="A548" s="18">
        <v>509</v>
      </c>
      <c r="B548" s="19"/>
    </row>
    <row r="549" spans="1:2" x14ac:dyDescent="0.35">
      <c r="A549" s="18">
        <v>510</v>
      </c>
      <c r="B549" s="19"/>
    </row>
    <row r="550" spans="1:2" x14ac:dyDescent="0.35">
      <c r="A550" s="18">
        <v>511</v>
      </c>
      <c r="B550" s="19"/>
    </row>
    <row r="551" spans="1:2" x14ac:dyDescent="0.35">
      <c r="A551" s="18">
        <v>512</v>
      </c>
      <c r="B551" s="19"/>
    </row>
    <row r="552" spans="1:2" x14ac:dyDescent="0.35">
      <c r="A552" s="18">
        <v>513</v>
      </c>
      <c r="B552" s="19"/>
    </row>
    <row r="553" spans="1:2" x14ac:dyDescent="0.35">
      <c r="A553" s="18">
        <v>514</v>
      </c>
      <c r="B553" s="19"/>
    </row>
    <row r="554" spans="1:2" x14ac:dyDescent="0.35">
      <c r="A554" s="18">
        <v>515</v>
      </c>
      <c r="B554" s="19"/>
    </row>
    <row r="555" spans="1:2" x14ac:dyDescent="0.35">
      <c r="A555" s="18">
        <v>516</v>
      </c>
      <c r="B555" s="19"/>
    </row>
    <row r="556" spans="1:2" x14ac:dyDescent="0.35">
      <c r="A556" s="18">
        <v>517</v>
      </c>
      <c r="B556" s="19"/>
    </row>
    <row r="557" spans="1:2" x14ac:dyDescent="0.35">
      <c r="A557" s="18">
        <v>518</v>
      </c>
      <c r="B557" s="19"/>
    </row>
    <row r="558" spans="1:2" x14ac:dyDescent="0.35">
      <c r="A558" s="18">
        <v>519</v>
      </c>
      <c r="B558" s="19"/>
    </row>
    <row r="559" spans="1:2" x14ac:dyDescent="0.35">
      <c r="A559" s="18">
        <v>520</v>
      </c>
      <c r="B559" s="19"/>
    </row>
    <row r="560" spans="1:2" x14ac:dyDescent="0.35">
      <c r="A560" s="18">
        <v>521</v>
      </c>
      <c r="B560" s="19"/>
    </row>
    <row r="561" spans="1:2" x14ac:dyDescent="0.35">
      <c r="A561" s="18">
        <v>522</v>
      </c>
      <c r="B561" s="19"/>
    </row>
    <row r="562" spans="1:2" x14ac:dyDescent="0.35">
      <c r="A562" s="18">
        <v>523</v>
      </c>
      <c r="B562" s="19"/>
    </row>
    <row r="563" spans="1:2" x14ac:dyDescent="0.35">
      <c r="A563" s="18">
        <v>524</v>
      </c>
      <c r="B563" s="19"/>
    </row>
    <row r="564" spans="1:2" x14ac:dyDescent="0.35">
      <c r="A564" s="18">
        <v>525</v>
      </c>
      <c r="B564" s="19"/>
    </row>
    <row r="565" spans="1:2" x14ac:dyDescent="0.35">
      <c r="A565" s="18">
        <v>526</v>
      </c>
      <c r="B565" s="19"/>
    </row>
    <row r="566" spans="1:2" x14ac:dyDescent="0.35">
      <c r="A566" s="18">
        <v>527</v>
      </c>
      <c r="B566" s="19"/>
    </row>
    <row r="567" spans="1:2" x14ac:dyDescent="0.35">
      <c r="A567" s="18">
        <v>528</v>
      </c>
      <c r="B567" s="19"/>
    </row>
    <row r="568" spans="1:2" x14ac:dyDescent="0.35">
      <c r="A568" s="18">
        <v>529</v>
      </c>
      <c r="B568" s="19"/>
    </row>
    <row r="569" spans="1:2" x14ac:dyDescent="0.35">
      <c r="A569" s="18">
        <v>530</v>
      </c>
      <c r="B569" s="19"/>
    </row>
    <row r="570" spans="1:2" x14ac:dyDescent="0.35">
      <c r="A570" s="18">
        <v>531</v>
      </c>
      <c r="B570" s="19"/>
    </row>
    <row r="571" spans="1:2" x14ac:dyDescent="0.35">
      <c r="A571" s="18">
        <v>532</v>
      </c>
      <c r="B571" s="19"/>
    </row>
    <row r="572" spans="1:2" x14ac:dyDescent="0.35">
      <c r="A572" s="18">
        <v>533</v>
      </c>
      <c r="B572" s="19"/>
    </row>
    <row r="573" spans="1:2" x14ac:dyDescent="0.35">
      <c r="A573" s="18">
        <v>534</v>
      </c>
      <c r="B573" s="19"/>
    </row>
    <row r="574" spans="1:2" x14ac:dyDescent="0.35">
      <c r="A574" s="18">
        <v>535</v>
      </c>
      <c r="B574" s="19"/>
    </row>
    <row r="575" spans="1:2" x14ac:dyDescent="0.35">
      <c r="A575" s="18">
        <v>536</v>
      </c>
      <c r="B575" s="19"/>
    </row>
    <row r="576" spans="1:2" x14ac:dyDescent="0.35">
      <c r="A576" s="18">
        <v>537</v>
      </c>
      <c r="B576" s="19"/>
    </row>
    <row r="577" spans="1:2" x14ac:dyDescent="0.35">
      <c r="A577" s="18">
        <v>538</v>
      </c>
      <c r="B577" s="19"/>
    </row>
    <row r="578" spans="1:2" x14ac:dyDescent="0.35">
      <c r="A578" s="18">
        <v>539</v>
      </c>
      <c r="B578" s="19"/>
    </row>
    <row r="579" spans="1:2" x14ac:dyDescent="0.35">
      <c r="A579" s="18">
        <v>540</v>
      </c>
      <c r="B579" s="19"/>
    </row>
    <row r="580" spans="1:2" x14ac:dyDescent="0.35">
      <c r="A580" s="18">
        <v>541</v>
      </c>
      <c r="B580" s="19"/>
    </row>
    <row r="581" spans="1:2" x14ac:dyDescent="0.35">
      <c r="A581" s="18">
        <v>542</v>
      </c>
      <c r="B581" s="19"/>
    </row>
    <row r="582" spans="1:2" x14ac:dyDescent="0.35">
      <c r="A582" s="18">
        <v>543</v>
      </c>
      <c r="B582" s="19"/>
    </row>
    <row r="583" spans="1:2" x14ac:dyDescent="0.35">
      <c r="A583" s="18">
        <v>544</v>
      </c>
      <c r="B583" s="19"/>
    </row>
    <row r="584" spans="1:2" x14ac:dyDescent="0.35">
      <c r="A584" s="18">
        <v>545</v>
      </c>
      <c r="B584" s="19"/>
    </row>
    <row r="585" spans="1:2" x14ac:dyDescent="0.35">
      <c r="A585" s="18">
        <v>546</v>
      </c>
      <c r="B585" s="19"/>
    </row>
    <row r="586" spans="1:2" x14ac:dyDescent="0.35">
      <c r="A586" s="18">
        <v>547</v>
      </c>
      <c r="B586" s="19"/>
    </row>
    <row r="587" spans="1:2" x14ac:dyDescent="0.35">
      <c r="A587" s="18">
        <v>548</v>
      </c>
      <c r="B587" s="19"/>
    </row>
    <row r="588" spans="1:2" x14ac:dyDescent="0.35">
      <c r="A588" s="18">
        <v>549</v>
      </c>
      <c r="B588" s="19"/>
    </row>
    <row r="589" spans="1:2" x14ac:dyDescent="0.35">
      <c r="A589" s="18">
        <v>550</v>
      </c>
      <c r="B589" s="19"/>
    </row>
    <row r="590" spans="1:2" x14ac:dyDescent="0.35">
      <c r="A590" s="18">
        <v>551</v>
      </c>
      <c r="B590" s="19"/>
    </row>
    <row r="591" spans="1:2" x14ac:dyDescent="0.35">
      <c r="A591" s="18">
        <v>552</v>
      </c>
      <c r="B591" s="19"/>
    </row>
    <row r="592" spans="1:2" x14ac:dyDescent="0.35">
      <c r="A592" s="18">
        <v>553</v>
      </c>
      <c r="B592" s="19"/>
    </row>
    <row r="593" spans="1:2" x14ac:dyDescent="0.35">
      <c r="A593" s="18">
        <v>554</v>
      </c>
      <c r="B593" s="19"/>
    </row>
    <row r="594" spans="1:2" x14ac:dyDescent="0.35">
      <c r="A594" s="18">
        <v>555</v>
      </c>
      <c r="B594" s="19"/>
    </row>
    <row r="595" spans="1:2" x14ac:dyDescent="0.35">
      <c r="A595" s="18">
        <v>556</v>
      </c>
      <c r="B595" s="19"/>
    </row>
    <row r="596" spans="1:2" x14ac:dyDescent="0.35">
      <c r="A596" s="18">
        <v>557</v>
      </c>
      <c r="B596" s="19"/>
    </row>
    <row r="597" spans="1:2" x14ac:dyDescent="0.35">
      <c r="A597" s="18">
        <v>558</v>
      </c>
      <c r="B597" s="19"/>
    </row>
    <row r="598" spans="1:2" x14ac:dyDescent="0.35">
      <c r="A598" s="18">
        <v>559</v>
      </c>
      <c r="B598" s="19"/>
    </row>
    <row r="599" spans="1:2" x14ac:dyDescent="0.35">
      <c r="A599" s="18">
        <v>560</v>
      </c>
      <c r="B599" s="19"/>
    </row>
    <row r="600" spans="1:2" x14ac:dyDescent="0.35">
      <c r="A600" s="18">
        <v>561</v>
      </c>
      <c r="B600" s="19"/>
    </row>
    <row r="601" spans="1:2" x14ac:dyDescent="0.35">
      <c r="A601" s="18">
        <v>562</v>
      </c>
      <c r="B601" s="19"/>
    </row>
    <row r="602" spans="1:2" x14ac:dyDescent="0.35">
      <c r="A602" s="18">
        <v>563</v>
      </c>
      <c r="B602" s="19"/>
    </row>
    <row r="603" spans="1:2" x14ac:dyDescent="0.35">
      <c r="A603" s="18">
        <v>564</v>
      </c>
      <c r="B603" s="19"/>
    </row>
    <row r="604" spans="1:2" x14ac:dyDescent="0.35">
      <c r="A604" s="18">
        <v>565</v>
      </c>
      <c r="B604" s="19"/>
    </row>
    <row r="605" spans="1:2" x14ac:dyDescent="0.35">
      <c r="A605" s="18">
        <v>566</v>
      </c>
      <c r="B605" s="19"/>
    </row>
    <row r="606" spans="1:2" x14ac:dyDescent="0.35">
      <c r="A606" s="18">
        <v>567</v>
      </c>
      <c r="B606" s="19"/>
    </row>
    <row r="607" spans="1:2" x14ac:dyDescent="0.35">
      <c r="A607" s="18">
        <v>568</v>
      </c>
      <c r="B607" s="19"/>
    </row>
    <row r="608" spans="1:2" x14ac:dyDescent="0.35">
      <c r="A608" s="18">
        <v>569</v>
      </c>
      <c r="B608" s="19"/>
    </row>
    <row r="609" spans="1:2" x14ac:dyDescent="0.35">
      <c r="A609" s="18">
        <v>570</v>
      </c>
      <c r="B609" s="19"/>
    </row>
    <row r="610" spans="1:2" x14ac:dyDescent="0.35">
      <c r="A610" s="18">
        <v>571</v>
      </c>
      <c r="B610" s="19"/>
    </row>
    <row r="611" spans="1:2" x14ac:dyDescent="0.35">
      <c r="A611" s="18">
        <v>572</v>
      </c>
      <c r="B611" s="19"/>
    </row>
    <row r="612" spans="1:2" x14ac:dyDescent="0.35">
      <c r="A612" s="18">
        <v>573</v>
      </c>
      <c r="B612" s="19"/>
    </row>
    <row r="613" spans="1:2" x14ac:dyDescent="0.35">
      <c r="A613" s="18">
        <v>574</v>
      </c>
      <c r="B613" s="19"/>
    </row>
    <row r="614" spans="1:2" x14ac:dyDescent="0.35">
      <c r="A614" s="18">
        <v>575</v>
      </c>
      <c r="B614" s="19"/>
    </row>
    <row r="615" spans="1:2" x14ac:dyDescent="0.35">
      <c r="A615" s="18">
        <v>576</v>
      </c>
      <c r="B615" s="19"/>
    </row>
    <row r="616" spans="1:2" x14ac:dyDescent="0.35">
      <c r="A616" s="18">
        <v>577</v>
      </c>
      <c r="B616" s="19"/>
    </row>
    <row r="617" spans="1:2" x14ac:dyDescent="0.35">
      <c r="A617" s="18">
        <v>578</v>
      </c>
      <c r="B617" s="19"/>
    </row>
    <row r="618" spans="1:2" x14ac:dyDescent="0.35">
      <c r="A618" s="18">
        <v>579</v>
      </c>
      <c r="B618" s="19"/>
    </row>
    <row r="619" spans="1:2" x14ac:dyDescent="0.35">
      <c r="A619" s="18">
        <v>580</v>
      </c>
      <c r="B619" s="19"/>
    </row>
    <row r="620" spans="1:2" x14ac:dyDescent="0.35">
      <c r="A620" s="18">
        <v>581</v>
      </c>
      <c r="B620" s="19"/>
    </row>
    <row r="621" spans="1:2" x14ac:dyDescent="0.35">
      <c r="A621" s="18">
        <v>582</v>
      </c>
      <c r="B621" s="19"/>
    </row>
    <row r="622" spans="1:2" x14ac:dyDescent="0.35">
      <c r="A622" s="18">
        <v>583</v>
      </c>
      <c r="B622" s="19"/>
    </row>
    <row r="623" spans="1:2" x14ac:dyDescent="0.35">
      <c r="A623" s="18">
        <v>584</v>
      </c>
      <c r="B623" s="19"/>
    </row>
    <row r="624" spans="1:2" x14ac:dyDescent="0.35">
      <c r="A624" s="18">
        <v>585</v>
      </c>
      <c r="B624" s="19"/>
    </row>
    <row r="625" spans="1:2" x14ac:dyDescent="0.35">
      <c r="A625" s="18">
        <v>586</v>
      </c>
      <c r="B625" s="19"/>
    </row>
    <row r="626" spans="1:2" x14ac:dyDescent="0.35">
      <c r="A626" s="18">
        <v>587</v>
      </c>
      <c r="B626" s="19"/>
    </row>
    <row r="627" spans="1:2" x14ac:dyDescent="0.35">
      <c r="A627" s="18">
        <v>588</v>
      </c>
      <c r="B627" s="19"/>
    </row>
    <row r="628" spans="1:2" x14ac:dyDescent="0.35">
      <c r="A628" s="18">
        <v>589</v>
      </c>
      <c r="B628" s="19"/>
    </row>
    <row r="629" spans="1:2" x14ac:dyDescent="0.35">
      <c r="A629" s="18">
        <v>590</v>
      </c>
      <c r="B629" s="19"/>
    </row>
    <row r="630" spans="1:2" x14ac:dyDescent="0.35">
      <c r="A630" s="18">
        <v>591</v>
      </c>
      <c r="B630" s="19"/>
    </row>
    <row r="631" spans="1:2" x14ac:dyDescent="0.35">
      <c r="A631" s="18">
        <v>592</v>
      </c>
      <c r="B631" s="19"/>
    </row>
    <row r="632" spans="1:2" x14ac:dyDescent="0.35">
      <c r="A632" s="18">
        <v>593</v>
      </c>
      <c r="B632" s="19"/>
    </row>
    <row r="633" spans="1:2" x14ac:dyDescent="0.35">
      <c r="A633" s="18">
        <v>594</v>
      </c>
      <c r="B633" s="19"/>
    </row>
    <row r="634" spans="1:2" x14ac:dyDescent="0.35">
      <c r="A634" s="18">
        <v>595</v>
      </c>
      <c r="B634" s="19"/>
    </row>
    <row r="635" spans="1:2" x14ac:dyDescent="0.35">
      <c r="A635" s="18">
        <v>596</v>
      </c>
      <c r="B635" s="19"/>
    </row>
    <row r="636" spans="1:2" x14ac:dyDescent="0.35">
      <c r="A636" s="18">
        <v>597</v>
      </c>
      <c r="B636" s="19"/>
    </row>
    <row r="637" spans="1:2" x14ac:dyDescent="0.35">
      <c r="A637" s="18">
        <v>598</v>
      </c>
      <c r="B637" s="19"/>
    </row>
    <row r="638" spans="1:2" x14ac:dyDescent="0.35">
      <c r="A638" s="18">
        <v>599</v>
      </c>
      <c r="B638" s="19"/>
    </row>
    <row r="639" spans="1:2" x14ac:dyDescent="0.35">
      <c r="A639" s="18">
        <v>600</v>
      </c>
      <c r="B639" s="19"/>
    </row>
    <row r="640" spans="1:2" x14ac:dyDescent="0.35">
      <c r="A640" s="18">
        <v>601</v>
      </c>
      <c r="B640" s="19"/>
    </row>
    <row r="641" spans="1:2" x14ac:dyDescent="0.35">
      <c r="A641" s="18">
        <v>602</v>
      </c>
      <c r="B641" s="19"/>
    </row>
    <row r="642" spans="1:2" x14ac:dyDescent="0.35">
      <c r="A642" s="18">
        <v>603</v>
      </c>
      <c r="B642" s="19"/>
    </row>
    <row r="643" spans="1:2" x14ac:dyDescent="0.35">
      <c r="A643" s="18">
        <v>604</v>
      </c>
      <c r="B643" s="19"/>
    </row>
    <row r="644" spans="1:2" x14ac:dyDescent="0.35">
      <c r="A644" s="18">
        <v>605</v>
      </c>
      <c r="B644" s="19"/>
    </row>
    <row r="645" spans="1:2" x14ac:dyDescent="0.35">
      <c r="A645" s="18">
        <v>606</v>
      </c>
      <c r="B645" s="19"/>
    </row>
    <row r="646" spans="1:2" x14ac:dyDescent="0.35">
      <c r="A646" s="18">
        <v>607</v>
      </c>
      <c r="B646" s="19"/>
    </row>
    <row r="647" spans="1:2" x14ac:dyDescent="0.35">
      <c r="A647" s="18">
        <v>608</v>
      </c>
      <c r="B647" s="19"/>
    </row>
    <row r="648" spans="1:2" x14ac:dyDescent="0.35">
      <c r="A648" s="18">
        <v>609</v>
      </c>
      <c r="B648" s="19"/>
    </row>
    <row r="649" spans="1:2" x14ac:dyDescent="0.35">
      <c r="A649" s="18">
        <v>610</v>
      </c>
      <c r="B649" s="19"/>
    </row>
    <row r="650" spans="1:2" x14ac:dyDescent="0.35">
      <c r="A650" s="18">
        <v>611</v>
      </c>
      <c r="B650" s="19"/>
    </row>
    <row r="651" spans="1:2" x14ac:dyDescent="0.35">
      <c r="A651" s="18">
        <v>612</v>
      </c>
      <c r="B651" s="19"/>
    </row>
    <row r="652" spans="1:2" x14ac:dyDescent="0.35">
      <c r="A652" s="18">
        <v>613</v>
      </c>
      <c r="B652" s="19"/>
    </row>
    <row r="653" spans="1:2" x14ac:dyDescent="0.35">
      <c r="A653" s="18">
        <v>614</v>
      </c>
      <c r="B653" s="19"/>
    </row>
    <row r="654" spans="1:2" x14ac:dyDescent="0.35">
      <c r="A654" s="18">
        <v>615</v>
      </c>
      <c r="B654" s="19"/>
    </row>
    <row r="655" spans="1:2" x14ac:dyDescent="0.35">
      <c r="A655" s="18">
        <v>616</v>
      </c>
      <c r="B655" s="19"/>
    </row>
    <row r="656" spans="1:2" x14ac:dyDescent="0.35">
      <c r="A656" s="18">
        <v>617</v>
      </c>
      <c r="B656" s="19"/>
    </row>
    <row r="657" spans="1:2" x14ac:dyDescent="0.35">
      <c r="A657" s="18">
        <v>618</v>
      </c>
      <c r="B657" s="19"/>
    </row>
    <row r="658" spans="1:2" x14ac:dyDescent="0.35">
      <c r="A658" s="18">
        <v>619</v>
      </c>
      <c r="B658" s="19"/>
    </row>
    <row r="659" spans="1:2" x14ac:dyDescent="0.35">
      <c r="A659" s="18">
        <v>620</v>
      </c>
      <c r="B659" s="19"/>
    </row>
    <row r="660" spans="1:2" x14ac:dyDescent="0.35">
      <c r="A660" s="18">
        <v>621</v>
      </c>
      <c r="B660" s="19"/>
    </row>
    <row r="661" spans="1:2" x14ac:dyDescent="0.35">
      <c r="A661" s="18">
        <v>622</v>
      </c>
      <c r="B661" s="19"/>
    </row>
    <row r="662" spans="1:2" x14ac:dyDescent="0.35">
      <c r="A662" s="18">
        <v>623</v>
      </c>
      <c r="B662" s="19"/>
    </row>
    <row r="663" spans="1:2" x14ac:dyDescent="0.35">
      <c r="A663" s="18">
        <v>624</v>
      </c>
      <c r="B663" s="19"/>
    </row>
    <row r="664" spans="1:2" x14ac:dyDescent="0.35">
      <c r="A664" s="18">
        <v>625</v>
      </c>
      <c r="B664" s="19"/>
    </row>
    <row r="665" spans="1:2" x14ac:dyDescent="0.35">
      <c r="A665" s="18">
        <v>626</v>
      </c>
      <c r="B665" s="19"/>
    </row>
    <row r="666" spans="1:2" x14ac:dyDescent="0.35">
      <c r="A666" s="18">
        <v>627</v>
      </c>
      <c r="B666" s="19"/>
    </row>
    <row r="667" spans="1:2" x14ac:dyDescent="0.35">
      <c r="A667" s="18">
        <v>628</v>
      </c>
      <c r="B667" s="19"/>
    </row>
    <row r="668" spans="1:2" x14ac:dyDescent="0.35">
      <c r="A668" s="18">
        <v>629</v>
      </c>
      <c r="B668" s="19"/>
    </row>
    <row r="669" spans="1:2" x14ac:dyDescent="0.35">
      <c r="A669" s="18">
        <v>630</v>
      </c>
      <c r="B669" s="19"/>
    </row>
    <row r="670" spans="1:2" x14ac:dyDescent="0.35">
      <c r="A670" s="18">
        <v>631</v>
      </c>
      <c r="B670" s="19"/>
    </row>
    <row r="671" spans="1:2" x14ac:dyDescent="0.35">
      <c r="A671" s="18">
        <v>632</v>
      </c>
      <c r="B671" s="19"/>
    </row>
    <row r="672" spans="1:2" x14ac:dyDescent="0.35">
      <c r="A672" s="18">
        <v>633</v>
      </c>
      <c r="B672" s="19"/>
    </row>
    <row r="673" spans="1:2" x14ac:dyDescent="0.35">
      <c r="A673" s="18">
        <v>634</v>
      </c>
      <c r="B673" s="19"/>
    </row>
    <row r="674" spans="1:2" x14ac:dyDescent="0.35">
      <c r="A674" s="18">
        <v>635</v>
      </c>
      <c r="B674" s="19"/>
    </row>
    <row r="675" spans="1:2" x14ac:dyDescent="0.35">
      <c r="A675" s="18">
        <v>636</v>
      </c>
      <c r="B675" s="19"/>
    </row>
    <row r="676" spans="1:2" x14ac:dyDescent="0.35">
      <c r="A676" s="18">
        <v>637</v>
      </c>
      <c r="B676" s="19"/>
    </row>
    <row r="677" spans="1:2" x14ac:dyDescent="0.35">
      <c r="A677" s="18">
        <v>638</v>
      </c>
      <c r="B677" s="19"/>
    </row>
    <row r="678" spans="1:2" x14ac:dyDescent="0.35">
      <c r="A678" s="18">
        <v>639</v>
      </c>
      <c r="B678" s="19"/>
    </row>
    <row r="679" spans="1:2" x14ac:dyDescent="0.35">
      <c r="A679" s="18">
        <v>640</v>
      </c>
      <c r="B679" s="19"/>
    </row>
    <row r="680" spans="1:2" x14ac:dyDescent="0.35">
      <c r="A680" s="18">
        <v>641</v>
      </c>
      <c r="B680" s="19"/>
    </row>
    <row r="681" spans="1:2" x14ac:dyDescent="0.35">
      <c r="A681" s="18">
        <v>642</v>
      </c>
      <c r="B681" s="19"/>
    </row>
    <row r="682" spans="1:2" x14ac:dyDescent="0.35">
      <c r="A682" s="18">
        <v>643</v>
      </c>
      <c r="B682" s="19"/>
    </row>
    <row r="683" spans="1:2" x14ac:dyDescent="0.35">
      <c r="A683" s="18">
        <v>644</v>
      </c>
      <c r="B683" s="19"/>
    </row>
    <row r="684" spans="1:2" x14ac:dyDescent="0.35">
      <c r="A684" s="18">
        <v>645</v>
      </c>
      <c r="B684" s="19"/>
    </row>
    <row r="685" spans="1:2" x14ac:dyDescent="0.35">
      <c r="A685" s="18">
        <v>646</v>
      </c>
      <c r="B685" s="19"/>
    </row>
    <row r="686" spans="1:2" x14ac:dyDescent="0.35">
      <c r="A686" s="18">
        <v>647</v>
      </c>
      <c r="B686" s="19"/>
    </row>
    <row r="687" spans="1:2" x14ac:dyDescent="0.35">
      <c r="A687" s="18">
        <v>648</v>
      </c>
      <c r="B687" s="19"/>
    </row>
    <row r="688" spans="1:2" x14ac:dyDescent="0.35">
      <c r="A688" s="18">
        <v>649</v>
      </c>
      <c r="B688" s="19"/>
    </row>
    <row r="689" spans="1:2" x14ac:dyDescent="0.35">
      <c r="A689" s="18">
        <v>650</v>
      </c>
      <c r="B689" s="19"/>
    </row>
    <row r="690" spans="1:2" x14ac:dyDescent="0.35">
      <c r="A690" s="18">
        <v>651</v>
      </c>
      <c r="B690" s="19"/>
    </row>
    <row r="691" spans="1:2" x14ac:dyDescent="0.35">
      <c r="A691" s="18">
        <v>652</v>
      </c>
      <c r="B691" s="19"/>
    </row>
    <row r="692" spans="1:2" x14ac:dyDescent="0.35">
      <c r="A692" s="18">
        <v>653</v>
      </c>
      <c r="B692" s="19"/>
    </row>
    <row r="693" spans="1:2" x14ac:dyDescent="0.35">
      <c r="A693" s="18">
        <v>654</v>
      </c>
      <c r="B693" s="19"/>
    </row>
    <row r="694" spans="1:2" x14ac:dyDescent="0.35">
      <c r="A694" s="18">
        <v>655</v>
      </c>
      <c r="B694" s="19"/>
    </row>
    <row r="695" spans="1:2" x14ac:dyDescent="0.35">
      <c r="A695" s="18">
        <v>656</v>
      </c>
      <c r="B695" s="19"/>
    </row>
    <row r="696" spans="1:2" x14ac:dyDescent="0.35">
      <c r="A696" s="18">
        <v>657</v>
      </c>
      <c r="B696" s="19"/>
    </row>
    <row r="697" spans="1:2" x14ac:dyDescent="0.35">
      <c r="A697" s="18">
        <v>658</v>
      </c>
      <c r="B697" s="19"/>
    </row>
    <row r="698" spans="1:2" x14ac:dyDescent="0.35">
      <c r="A698" s="18">
        <v>659</v>
      </c>
      <c r="B698" s="19"/>
    </row>
    <row r="699" spans="1:2" x14ac:dyDescent="0.35">
      <c r="A699" s="18">
        <v>660</v>
      </c>
      <c r="B699" s="19"/>
    </row>
    <row r="700" spans="1:2" x14ac:dyDescent="0.35">
      <c r="A700" s="18">
        <v>661</v>
      </c>
      <c r="B700" s="19"/>
    </row>
    <row r="701" spans="1:2" x14ac:dyDescent="0.35">
      <c r="A701" s="18">
        <v>662</v>
      </c>
      <c r="B701" s="19"/>
    </row>
    <row r="702" spans="1:2" x14ac:dyDescent="0.35">
      <c r="A702" s="18">
        <v>663</v>
      </c>
      <c r="B702" s="19"/>
    </row>
    <row r="703" spans="1:2" x14ac:dyDescent="0.35">
      <c r="A703" s="18">
        <v>664</v>
      </c>
      <c r="B703" s="19"/>
    </row>
    <row r="704" spans="1:2" x14ac:dyDescent="0.35">
      <c r="A704" s="18">
        <v>665</v>
      </c>
      <c r="B704" s="19"/>
    </row>
    <row r="705" spans="1:2" x14ac:dyDescent="0.35">
      <c r="A705" s="18">
        <v>666</v>
      </c>
      <c r="B705" s="19"/>
    </row>
    <row r="706" spans="1:2" x14ac:dyDescent="0.35">
      <c r="A706" s="18">
        <v>667</v>
      </c>
      <c r="B706" s="19"/>
    </row>
    <row r="707" spans="1:2" x14ac:dyDescent="0.35">
      <c r="A707" s="18">
        <v>668</v>
      </c>
      <c r="B707" s="19"/>
    </row>
    <row r="708" spans="1:2" x14ac:dyDescent="0.35">
      <c r="A708" s="18">
        <v>669</v>
      </c>
      <c r="B708" s="19"/>
    </row>
    <row r="709" spans="1:2" x14ac:dyDescent="0.35">
      <c r="A709" s="18">
        <v>670</v>
      </c>
      <c r="B709" s="19"/>
    </row>
    <row r="710" spans="1:2" x14ac:dyDescent="0.35">
      <c r="A710" s="18">
        <v>671</v>
      </c>
      <c r="B710" s="19"/>
    </row>
    <row r="711" spans="1:2" x14ac:dyDescent="0.35">
      <c r="A711" s="18">
        <v>672</v>
      </c>
      <c r="B711" s="19"/>
    </row>
    <row r="712" spans="1:2" x14ac:dyDescent="0.35">
      <c r="A712" s="18">
        <v>673</v>
      </c>
      <c r="B712" s="19"/>
    </row>
    <row r="713" spans="1:2" x14ac:dyDescent="0.35">
      <c r="A713" s="18">
        <v>674</v>
      </c>
      <c r="B713" s="19"/>
    </row>
    <row r="714" spans="1:2" x14ac:dyDescent="0.35">
      <c r="A714" s="18">
        <v>675</v>
      </c>
      <c r="B714" s="19"/>
    </row>
    <row r="715" spans="1:2" x14ac:dyDescent="0.35">
      <c r="A715" s="18">
        <v>676</v>
      </c>
      <c r="B715" s="19"/>
    </row>
    <row r="716" spans="1:2" x14ac:dyDescent="0.35">
      <c r="A716" s="18">
        <v>677</v>
      </c>
      <c r="B716" s="19"/>
    </row>
    <row r="717" spans="1:2" x14ac:dyDescent="0.35">
      <c r="A717" s="18">
        <v>678</v>
      </c>
      <c r="B717" s="19"/>
    </row>
    <row r="718" spans="1:2" x14ac:dyDescent="0.35">
      <c r="A718" s="18">
        <v>679</v>
      </c>
      <c r="B718" s="19"/>
    </row>
    <row r="719" spans="1:2" x14ac:dyDescent="0.35">
      <c r="A719" s="18">
        <v>680</v>
      </c>
      <c r="B719" s="19"/>
    </row>
    <row r="720" spans="1:2" x14ac:dyDescent="0.35">
      <c r="A720" s="18">
        <v>681</v>
      </c>
      <c r="B720" s="19"/>
    </row>
    <row r="721" spans="1:2" x14ac:dyDescent="0.35">
      <c r="A721" s="18">
        <v>682</v>
      </c>
      <c r="B721" s="19"/>
    </row>
    <row r="722" spans="1:2" x14ac:dyDescent="0.35">
      <c r="A722" s="18">
        <v>683</v>
      </c>
      <c r="B722" s="19"/>
    </row>
    <row r="723" spans="1:2" x14ac:dyDescent="0.35">
      <c r="A723" s="18">
        <v>684</v>
      </c>
      <c r="B723" s="19"/>
    </row>
    <row r="724" spans="1:2" x14ac:dyDescent="0.35">
      <c r="A724" s="18">
        <v>685</v>
      </c>
      <c r="B724" s="19"/>
    </row>
    <row r="725" spans="1:2" x14ac:dyDescent="0.35">
      <c r="A725" s="18">
        <v>686</v>
      </c>
      <c r="B725" s="19"/>
    </row>
    <row r="726" spans="1:2" x14ac:dyDescent="0.35">
      <c r="A726" s="18">
        <v>687</v>
      </c>
      <c r="B726" s="19"/>
    </row>
    <row r="727" spans="1:2" x14ac:dyDescent="0.35">
      <c r="A727" s="18">
        <v>688</v>
      </c>
      <c r="B727" s="19"/>
    </row>
    <row r="728" spans="1:2" x14ac:dyDescent="0.35">
      <c r="A728" s="18">
        <v>689</v>
      </c>
      <c r="B728" s="19"/>
    </row>
    <row r="729" spans="1:2" x14ac:dyDescent="0.35">
      <c r="A729" s="18">
        <v>690</v>
      </c>
      <c r="B729" s="19"/>
    </row>
    <row r="730" spans="1:2" x14ac:dyDescent="0.35">
      <c r="A730" s="18">
        <v>691</v>
      </c>
      <c r="B730" s="19"/>
    </row>
    <row r="731" spans="1:2" x14ac:dyDescent="0.35">
      <c r="A731" s="18">
        <v>692</v>
      </c>
      <c r="B731" s="19"/>
    </row>
    <row r="732" spans="1:2" x14ac:dyDescent="0.35">
      <c r="A732" s="18">
        <v>693</v>
      </c>
      <c r="B732" s="19"/>
    </row>
    <row r="733" spans="1:2" x14ac:dyDescent="0.35">
      <c r="A733" s="18">
        <v>694</v>
      </c>
      <c r="B733" s="19"/>
    </row>
    <row r="734" spans="1:2" x14ac:dyDescent="0.35">
      <c r="A734" s="18">
        <v>695</v>
      </c>
      <c r="B734" s="19"/>
    </row>
    <row r="735" spans="1:2" x14ac:dyDescent="0.35">
      <c r="A735" s="18">
        <v>696</v>
      </c>
      <c r="B735" s="19"/>
    </row>
    <row r="736" spans="1:2" x14ac:dyDescent="0.35">
      <c r="A736" s="18">
        <v>697</v>
      </c>
      <c r="B736" s="19"/>
    </row>
    <row r="737" spans="1:2" x14ac:dyDescent="0.35">
      <c r="A737" s="18">
        <v>698</v>
      </c>
      <c r="B737" s="19"/>
    </row>
    <row r="738" spans="1:2" x14ac:dyDescent="0.35">
      <c r="A738" s="18">
        <v>699</v>
      </c>
      <c r="B738" s="19"/>
    </row>
    <row r="739" spans="1:2" x14ac:dyDescent="0.35">
      <c r="A739" s="18">
        <v>700</v>
      </c>
      <c r="B739" s="19"/>
    </row>
    <row r="740" spans="1:2" x14ac:dyDescent="0.35">
      <c r="A740" s="18">
        <v>701</v>
      </c>
      <c r="B740" s="19"/>
    </row>
    <row r="741" spans="1:2" x14ac:dyDescent="0.35">
      <c r="A741" s="18">
        <v>702</v>
      </c>
      <c r="B741" s="19"/>
    </row>
    <row r="742" spans="1:2" x14ac:dyDescent="0.35">
      <c r="A742" s="18">
        <v>703</v>
      </c>
      <c r="B742" s="19"/>
    </row>
    <row r="743" spans="1:2" x14ac:dyDescent="0.35">
      <c r="A743" s="18">
        <v>704</v>
      </c>
      <c r="B743" s="19"/>
    </row>
    <row r="744" spans="1:2" x14ac:dyDescent="0.35">
      <c r="A744" s="18">
        <v>705</v>
      </c>
      <c r="B744" s="19"/>
    </row>
    <row r="745" spans="1:2" x14ac:dyDescent="0.35">
      <c r="A745" s="18">
        <v>706</v>
      </c>
      <c r="B745" s="19"/>
    </row>
    <row r="746" spans="1:2" x14ac:dyDescent="0.35">
      <c r="A746" s="18">
        <v>707</v>
      </c>
      <c r="B746" s="19"/>
    </row>
    <row r="747" spans="1:2" x14ac:dyDescent="0.35">
      <c r="A747" s="18">
        <v>708</v>
      </c>
      <c r="B747" s="19"/>
    </row>
    <row r="748" spans="1:2" x14ac:dyDescent="0.35">
      <c r="A748" s="18">
        <v>709</v>
      </c>
      <c r="B748" s="19"/>
    </row>
    <row r="749" spans="1:2" x14ac:dyDescent="0.35">
      <c r="A749" s="18">
        <v>710</v>
      </c>
      <c r="B749" s="19"/>
    </row>
    <row r="750" spans="1:2" x14ac:dyDescent="0.35">
      <c r="A750" s="18">
        <v>711</v>
      </c>
      <c r="B750" s="19"/>
    </row>
    <row r="751" spans="1:2" x14ac:dyDescent="0.35">
      <c r="A751" s="18">
        <v>712</v>
      </c>
      <c r="B751" s="19"/>
    </row>
    <row r="752" spans="1:2" x14ac:dyDescent="0.35">
      <c r="A752" s="18">
        <v>713</v>
      </c>
      <c r="B752" s="19"/>
    </row>
    <row r="753" spans="1:2" x14ac:dyDescent="0.35">
      <c r="A753" s="18">
        <v>714</v>
      </c>
      <c r="B753" s="19"/>
    </row>
    <row r="754" spans="1:2" x14ac:dyDescent="0.35">
      <c r="A754" s="18">
        <v>715</v>
      </c>
      <c r="B754" s="19"/>
    </row>
    <row r="755" spans="1:2" x14ac:dyDescent="0.35">
      <c r="A755" s="18">
        <v>716</v>
      </c>
      <c r="B755" s="19"/>
    </row>
    <row r="756" spans="1:2" x14ac:dyDescent="0.35">
      <c r="A756" s="18">
        <v>717</v>
      </c>
      <c r="B756" s="19"/>
    </row>
    <row r="757" spans="1:2" x14ac:dyDescent="0.35">
      <c r="A757" s="18">
        <v>718</v>
      </c>
      <c r="B757" s="19"/>
    </row>
    <row r="758" spans="1:2" x14ac:dyDescent="0.35">
      <c r="A758" s="18">
        <v>719</v>
      </c>
      <c r="B758" s="19"/>
    </row>
    <row r="759" spans="1:2" x14ac:dyDescent="0.35">
      <c r="A759" s="18">
        <v>720</v>
      </c>
      <c r="B759" s="19"/>
    </row>
    <row r="760" spans="1:2" x14ac:dyDescent="0.35">
      <c r="A760" s="18">
        <v>721</v>
      </c>
      <c r="B760" s="19"/>
    </row>
    <row r="761" spans="1:2" x14ac:dyDescent="0.35">
      <c r="A761" s="18">
        <v>722</v>
      </c>
      <c r="B761" s="19"/>
    </row>
    <row r="762" spans="1:2" x14ac:dyDescent="0.35">
      <c r="A762" s="18">
        <v>723</v>
      </c>
      <c r="B762" s="19"/>
    </row>
    <row r="763" spans="1:2" x14ac:dyDescent="0.35">
      <c r="A763" s="18">
        <v>724</v>
      </c>
      <c r="B763" s="19"/>
    </row>
    <row r="764" spans="1:2" x14ac:dyDescent="0.35">
      <c r="A764" s="18">
        <v>725</v>
      </c>
      <c r="B764" s="19"/>
    </row>
    <row r="765" spans="1:2" x14ac:dyDescent="0.35">
      <c r="A765" s="18">
        <v>726</v>
      </c>
      <c r="B765" s="19"/>
    </row>
    <row r="766" spans="1:2" x14ac:dyDescent="0.35">
      <c r="A766" s="18">
        <v>727</v>
      </c>
      <c r="B766" s="19"/>
    </row>
    <row r="767" spans="1:2" x14ac:dyDescent="0.35">
      <c r="A767" s="18">
        <v>728</v>
      </c>
      <c r="B767" s="19"/>
    </row>
    <row r="768" spans="1:2" x14ac:dyDescent="0.35">
      <c r="A768" s="18">
        <v>729</v>
      </c>
      <c r="B768" s="19"/>
    </row>
    <row r="769" spans="1:2" x14ac:dyDescent="0.35">
      <c r="A769" s="18">
        <v>730</v>
      </c>
      <c r="B769" s="19"/>
    </row>
    <row r="770" spans="1:2" x14ac:dyDescent="0.35">
      <c r="A770" s="18">
        <v>731</v>
      </c>
      <c r="B770" s="19"/>
    </row>
    <row r="771" spans="1:2" x14ac:dyDescent="0.35">
      <c r="A771" s="18">
        <v>732</v>
      </c>
      <c r="B771" s="19"/>
    </row>
    <row r="772" spans="1:2" x14ac:dyDescent="0.35">
      <c r="A772" s="18">
        <v>733</v>
      </c>
      <c r="B772" s="19"/>
    </row>
    <row r="773" spans="1:2" x14ac:dyDescent="0.35">
      <c r="A773" s="18">
        <v>734</v>
      </c>
      <c r="B773" s="19"/>
    </row>
    <row r="774" spans="1:2" x14ac:dyDescent="0.35">
      <c r="A774" s="18">
        <v>735</v>
      </c>
      <c r="B774" s="19"/>
    </row>
    <row r="775" spans="1:2" x14ac:dyDescent="0.35">
      <c r="A775" s="18">
        <v>736</v>
      </c>
      <c r="B775" s="19"/>
    </row>
    <row r="776" spans="1:2" x14ac:dyDescent="0.35">
      <c r="A776" s="18">
        <v>737</v>
      </c>
      <c r="B776" s="19"/>
    </row>
    <row r="777" spans="1:2" x14ac:dyDescent="0.35">
      <c r="A777" s="18">
        <v>738</v>
      </c>
      <c r="B777" s="19"/>
    </row>
    <row r="778" spans="1:2" x14ac:dyDescent="0.35">
      <c r="A778" s="18">
        <v>739</v>
      </c>
      <c r="B778" s="19"/>
    </row>
    <row r="779" spans="1:2" x14ac:dyDescent="0.35">
      <c r="A779" s="18">
        <v>740</v>
      </c>
      <c r="B779" s="19"/>
    </row>
    <row r="780" spans="1:2" x14ac:dyDescent="0.35">
      <c r="A780" s="18">
        <v>741</v>
      </c>
      <c r="B780" s="19"/>
    </row>
    <row r="781" spans="1:2" x14ac:dyDescent="0.35">
      <c r="A781" s="18">
        <v>742</v>
      </c>
      <c r="B781" s="19"/>
    </row>
    <row r="782" spans="1:2" x14ac:dyDescent="0.35">
      <c r="A782" s="18">
        <v>743</v>
      </c>
      <c r="B782" s="19"/>
    </row>
    <row r="783" spans="1:2" x14ac:dyDescent="0.35">
      <c r="A783" s="18">
        <v>744</v>
      </c>
      <c r="B783" s="19"/>
    </row>
    <row r="784" spans="1:2" x14ac:dyDescent="0.35">
      <c r="A784" s="18">
        <v>745</v>
      </c>
      <c r="B784" s="19"/>
    </row>
    <row r="785" spans="1:2" x14ac:dyDescent="0.35">
      <c r="A785" s="18">
        <v>746</v>
      </c>
      <c r="B785" s="19"/>
    </row>
    <row r="786" spans="1:2" x14ac:dyDescent="0.35">
      <c r="A786" s="18">
        <v>747</v>
      </c>
      <c r="B786" s="19"/>
    </row>
    <row r="787" spans="1:2" x14ac:dyDescent="0.35">
      <c r="A787" s="18">
        <v>748</v>
      </c>
      <c r="B787" s="19"/>
    </row>
    <row r="788" spans="1:2" x14ac:dyDescent="0.35">
      <c r="A788" s="18">
        <v>749</v>
      </c>
      <c r="B788" s="19"/>
    </row>
    <row r="789" spans="1:2" x14ac:dyDescent="0.35">
      <c r="A789" s="18">
        <v>750</v>
      </c>
      <c r="B789" s="19"/>
    </row>
    <row r="790" spans="1:2" x14ac:dyDescent="0.35">
      <c r="A790" s="18">
        <v>751</v>
      </c>
      <c r="B790" s="19"/>
    </row>
    <row r="791" spans="1:2" x14ac:dyDescent="0.35">
      <c r="A791" s="18">
        <v>752</v>
      </c>
      <c r="B791" s="19"/>
    </row>
    <row r="792" spans="1:2" x14ac:dyDescent="0.35">
      <c r="A792" s="18">
        <v>753</v>
      </c>
      <c r="B792" s="19"/>
    </row>
    <row r="793" spans="1:2" x14ac:dyDescent="0.35">
      <c r="A793" s="18">
        <v>754</v>
      </c>
      <c r="B793" s="19"/>
    </row>
    <row r="794" spans="1:2" x14ac:dyDescent="0.35">
      <c r="A794" s="18">
        <v>755</v>
      </c>
      <c r="B794" s="19"/>
    </row>
    <row r="795" spans="1:2" x14ac:dyDescent="0.35">
      <c r="A795" s="18">
        <v>756</v>
      </c>
      <c r="B795" s="19"/>
    </row>
    <row r="796" spans="1:2" x14ac:dyDescent="0.35">
      <c r="A796" s="18">
        <v>757</v>
      </c>
      <c r="B796" s="19"/>
    </row>
    <row r="797" spans="1:2" x14ac:dyDescent="0.35">
      <c r="A797" s="18">
        <v>758</v>
      </c>
      <c r="B797" s="19"/>
    </row>
    <row r="798" spans="1:2" x14ac:dyDescent="0.35">
      <c r="A798" s="18">
        <v>759</v>
      </c>
      <c r="B798" s="19"/>
    </row>
    <row r="799" spans="1:2" x14ac:dyDescent="0.35">
      <c r="A799" s="18">
        <v>760</v>
      </c>
      <c r="B799" s="19"/>
    </row>
    <row r="800" spans="1:2" x14ac:dyDescent="0.35">
      <c r="A800" s="18">
        <v>761</v>
      </c>
      <c r="B800" s="19"/>
    </row>
    <row r="801" spans="1:2" x14ac:dyDescent="0.35">
      <c r="A801" s="18">
        <v>762</v>
      </c>
      <c r="B801" s="19"/>
    </row>
    <row r="802" spans="1:2" x14ac:dyDescent="0.35">
      <c r="A802" s="18">
        <v>763</v>
      </c>
      <c r="B802" s="19"/>
    </row>
    <row r="803" spans="1:2" x14ac:dyDescent="0.35">
      <c r="A803" s="18">
        <v>764</v>
      </c>
      <c r="B803" s="19"/>
    </row>
    <row r="804" spans="1:2" x14ac:dyDescent="0.35">
      <c r="A804" s="18">
        <v>765</v>
      </c>
      <c r="B804" s="19"/>
    </row>
    <row r="805" spans="1:2" x14ac:dyDescent="0.35">
      <c r="A805" s="18">
        <v>766</v>
      </c>
      <c r="B805" s="19"/>
    </row>
    <row r="806" spans="1:2" x14ac:dyDescent="0.35">
      <c r="A806" s="18">
        <v>767</v>
      </c>
      <c r="B806" s="19"/>
    </row>
    <row r="807" spans="1:2" x14ac:dyDescent="0.35">
      <c r="A807" s="18">
        <v>768</v>
      </c>
      <c r="B807" s="19"/>
    </row>
    <row r="808" spans="1:2" x14ac:dyDescent="0.35">
      <c r="A808" s="18">
        <v>769</v>
      </c>
      <c r="B808" s="19"/>
    </row>
    <row r="809" spans="1:2" x14ac:dyDescent="0.35">
      <c r="A809" s="18">
        <v>770</v>
      </c>
      <c r="B809" s="19"/>
    </row>
    <row r="810" spans="1:2" x14ac:dyDescent="0.35">
      <c r="A810" s="18">
        <v>771</v>
      </c>
      <c r="B810" s="19"/>
    </row>
    <row r="811" spans="1:2" x14ac:dyDescent="0.35">
      <c r="A811" s="18">
        <v>772</v>
      </c>
      <c r="B811" s="19"/>
    </row>
    <row r="812" spans="1:2" x14ac:dyDescent="0.35">
      <c r="A812" s="18">
        <v>773</v>
      </c>
      <c r="B812" s="19"/>
    </row>
    <row r="813" spans="1:2" x14ac:dyDescent="0.35">
      <c r="A813" s="18">
        <v>774</v>
      </c>
      <c r="B813" s="19"/>
    </row>
    <row r="814" spans="1:2" x14ac:dyDescent="0.35">
      <c r="A814" s="18">
        <v>775</v>
      </c>
      <c r="B814" s="19"/>
    </row>
    <row r="815" spans="1:2" x14ac:dyDescent="0.35">
      <c r="A815" s="18">
        <v>776</v>
      </c>
      <c r="B815" s="19"/>
    </row>
    <row r="816" spans="1:2" x14ac:dyDescent="0.35">
      <c r="A816" s="18">
        <v>777</v>
      </c>
      <c r="B816" s="19"/>
    </row>
    <row r="817" spans="1:2" x14ac:dyDescent="0.35">
      <c r="A817" s="18">
        <v>778</v>
      </c>
      <c r="B817" s="19"/>
    </row>
    <row r="818" spans="1:2" x14ac:dyDescent="0.35">
      <c r="A818" s="18">
        <v>779</v>
      </c>
      <c r="B818" s="19"/>
    </row>
    <row r="819" spans="1:2" x14ac:dyDescent="0.35">
      <c r="A819" s="18">
        <v>780</v>
      </c>
      <c r="B819" s="19"/>
    </row>
    <row r="820" spans="1:2" x14ac:dyDescent="0.35">
      <c r="A820" s="18">
        <v>781</v>
      </c>
      <c r="B820" s="19"/>
    </row>
    <row r="821" spans="1:2" x14ac:dyDescent="0.35">
      <c r="A821" s="18">
        <v>782</v>
      </c>
      <c r="B821" s="19"/>
    </row>
    <row r="822" spans="1:2" x14ac:dyDescent="0.35">
      <c r="A822" s="18">
        <v>783</v>
      </c>
      <c r="B822" s="19"/>
    </row>
    <row r="823" spans="1:2" x14ac:dyDescent="0.35">
      <c r="A823" s="18">
        <v>784</v>
      </c>
      <c r="B823" s="19"/>
    </row>
    <row r="824" spans="1:2" x14ac:dyDescent="0.35">
      <c r="A824" s="18">
        <v>785</v>
      </c>
      <c r="B824" s="19"/>
    </row>
    <row r="825" spans="1:2" x14ac:dyDescent="0.35">
      <c r="A825" s="18">
        <v>786</v>
      </c>
      <c r="B825" s="19"/>
    </row>
    <row r="826" spans="1:2" x14ac:dyDescent="0.35">
      <c r="A826" s="18">
        <v>787</v>
      </c>
      <c r="B826" s="19"/>
    </row>
    <row r="827" spans="1:2" x14ac:dyDescent="0.35">
      <c r="A827" s="18">
        <v>788</v>
      </c>
      <c r="B827" s="19"/>
    </row>
    <row r="828" spans="1:2" x14ac:dyDescent="0.35">
      <c r="A828" s="18">
        <v>789</v>
      </c>
      <c r="B828" s="19"/>
    </row>
    <row r="829" spans="1:2" x14ac:dyDescent="0.35">
      <c r="A829" s="18">
        <v>790</v>
      </c>
      <c r="B829" s="19"/>
    </row>
    <row r="830" spans="1:2" x14ac:dyDescent="0.35">
      <c r="A830" s="18">
        <v>791</v>
      </c>
      <c r="B830" s="19"/>
    </row>
    <row r="831" spans="1:2" x14ac:dyDescent="0.35">
      <c r="A831" s="18">
        <v>792</v>
      </c>
      <c r="B831" s="19"/>
    </row>
    <row r="832" spans="1:2" x14ac:dyDescent="0.35">
      <c r="A832" s="18">
        <v>793</v>
      </c>
      <c r="B832" s="19"/>
    </row>
    <row r="833" spans="1:2" x14ac:dyDescent="0.35">
      <c r="A833" s="18">
        <v>794</v>
      </c>
      <c r="B833" s="19"/>
    </row>
    <row r="834" spans="1:2" x14ac:dyDescent="0.35">
      <c r="A834" s="18">
        <v>795</v>
      </c>
      <c r="B834" s="19"/>
    </row>
    <row r="835" spans="1:2" x14ac:dyDescent="0.35">
      <c r="A835" s="18">
        <v>796</v>
      </c>
      <c r="B835" s="19"/>
    </row>
    <row r="836" spans="1:2" x14ac:dyDescent="0.35">
      <c r="A836" s="18">
        <v>797</v>
      </c>
      <c r="B836" s="19"/>
    </row>
    <row r="837" spans="1:2" x14ac:dyDescent="0.35">
      <c r="A837" s="18">
        <v>798</v>
      </c>
      <c r="B837" s="19"/>
    </row>
    <row r="838" spans="1:2" x14ac:dyDescent="0.35">
      <c r="A838" s="18">
        <v>799</v>
      </c>
      <c r="B838" s="19"/>
    </row>
    <row r="839" spans="1:2" x14ac:dyDescent="0.35">
      <c r="A839" s="18">
        <v>800</v>
      </c>
      <c r="B839" s="19"/>
    </row>
    <row r="840" spans="1:2" x14ac:dyDescent="0.35">
      <c r="A840" s="18">
        <v>801</v>
      </c>
      <c r="B840" s="19"/>
    </row>
    <row r="841" spans="1:2" x14ac:dyDescent="0.35">
      <c r="A841" s="18">
        <v>802</v>
      </c>
      <c r="B841" s="19"/>
    </row>
    <row r="842" spans="1:2" x14ac:dyDescent="0.35">
      <c r="A842" s="18">
        <v>803</v>
      </c>
      <c r="B842" s="19"/>
    </row>
    <row r="843" spans="1:2" x14ac:dyDescent="0.35">
      <c r="A843" s="18">
        <v>804</v>
      </c>
      <c r="B843" s="19"/>
    </row>
    <row r="844" spans="1:2" x14ac:dyDescent="0.35">
      <c r="A844" s="18">
        <v>805</v>
      </c>
      <c r="B844" s="19"/>
    </row>
    <row r="845" spans="1:2" x14ac:dyDescent="0.35">
      <c r="A845" s="18">
        <v>806</v>
      </c>
      <c r="B845" s="19"/>
    </row>
    <row r="846" spans="1:2" x14ac:dyDescent="0.35">
      <c r="A846" s="18">
        <v>807</v>
      </c>
      <c r="B846" s="19"/>
    </row>
    <row r="847" spans="1:2" x14ac:dyDescent="0.35">
      <c r="A847" s="18">
        <v>808</v>
      </c>
      <c r="B847" s="19"/>
    </row>
    <row r="848" spans="1:2" x14ac:dyDescent="0.35">
      <c r="A848" s="18">
        <v>809</v>
      </c>
      <c r="B848" s="19"/>
    </row>
    <row r="849" spans="1:2" x14ac:dyDescent="0.35">
      <c r="A849" s="18">
        <v>810</v>
      </c>
      <c r="B849" s="19"/>
    </row>
    <row r="850" spans="1:2" x14ac:dyDescent="0.35">
      <c r="A850" s="18">
        <v>811</v>
      </c>
      <c r="B850" s="19"/>
    </row>
    <row r="851" spans="1:2" x14ac:dyDescent="0.35">
      <c r="A851" s="18">
        <v>812</v>
      </c>
      <c r="B851" s="19"/>
    </row>
    <row r="852" spans="1:2" x14ac:dyDescent="0.35">
      <c r="A852" s="18">
        <v>813</v>
      </c>
      <c r="B852" s="19"/>
    </row>
    <row r="853" spans="1:2" x14ac:dyDescent="0.35">
      <c r="A853" s="18">
        <v>814</v>
      </c>
      <c r="B853" s="19"/>
    </row>
    <row r="854" spans="1:2" x14ac:dyDescent="0.35">
      <c r="A854" s="18">
        <v>815</v>
      </c>
      <c r="B854" s="19"/>
    </row>
    <row r="855" spans="1:2" x14ac:dyDescent="0.35">
      <c r="A855" s="18">
        <v>816</v>
      </c>
      <c r="B855" s="19"/>
    </row>
    <row r="856" spans="1:2" x14ac:dyDescent="0.35">
      <c r="A856" s="18">
        <v>817</v>
      </c>
      <c r="B856" s="19"/>
    </row>
    <row r="857" spans="1:2" x14ac:dyDescent="0.35">
      <c r="A857" s="18">
        <v>818</v>
      </c>
      <c r="B857" s="19"/>
    </row>
    <row r="858" spans="1:2" x14ac:dyDescent="0.35">
      <c r="A858" s="18">
        <v>819</v>
      </c>
      <c r="B858" s="19"/>
    </row>
    <row r="859" spans="1:2" x14ac:dyDescent="0.35">
      <c r="A859" s="18">
        <v>820</v>
      </c>
      <c r="B859" s="19"/>
    </row>
    <row r="860" spans="1:2" x14ac:dyDescent="0.35">
      <c r="A860" s="18">
        <v>821</v>
      </c>
      <c r="B860" s="19"/>
    </row>
    <row r="861" spans="1:2" x14ac:dyDescent="0.35">
      <c r="A861" s="18">
        <v>822</v>
      </c>
      <c r="B861" s="19"/>
    </row>
    <row r="862" spans="1:2" x14ac:dyDescent="0.35">
      <c r="A862" s="18">
        <v>823</v>
      </c>
      <c r="B862" s="19"/>
    </row>
    <row r="863" spans="1:2" x14ac:dyDescent="0.35">
      <c r="A863" s="18">
        <v>824</v>
      </c>
      <c r="B863" s="19"/>
    </row>
    <row r="864" spans="1:2" x14ac:dyDescent="0.35">
      <c r="A864" s="18">
        <v>825</v>
      </c>
      <c r="B864" s="19"/>
    </row>
    <row r="865" spans="1:2" x14ac:dyDescent="0.35">
      <c r="A865" s="18">
        <v>826</v>
      </c>
      <c r="B865" s="19"/>
    </row>
    <row r="866" spans="1:2" x14ac:dyDescent="0.35">
      <c r="A866" s="18">
        <v>827</v>
      </c>
      <c r="B866" s="19"/>
    </row>
    <row r="867" spans="1:2" x14ac:dyDescent="0.35">
      <c r="A867" s="18">
        <v>828</v>
      </c>
      <c r="B867" s="19"/>
    </row>
    <row r="868" spans="1:2" x14ac:dyDescent="0.35">
      <c r="A868" s="18">
        <v>829</v>
      </c>
      <c r="B868" s="19"/>
    </row>
    <row r="869" spans="1:2" x14ac:dyDescent="0.35">
      <c r="A869" s="18">
        <v>830</v>
      </c>
      <c r="B869" s="19"/>
    </row>
    <row r="870" spans="1:2" x14ac:dyDescent="0.35">
      <c r="A870" s="18">
        <v>831</v>
      </c>
      <c r="B870" s="19"/>
    </row>
    <row r="871" spans="1:2" x14ac:dyDescent="0.35">
      <c r="A871" s="18">
        <v>832</v>
      </c>
      <c r="B871" s="19"/>
    </row>
    <row r="872" spans="1:2" x14ac:dyDescent="0.35">
      <c r="A872" s="18">
        <v>833</v>
      </c>
      <c r="B872" s="19"/>
    </row>
    <row r="873" spans="1:2" x14ac:dyDescent="0.35">
      <c r="A873" s="18">
        <v>834</v>
      </c>
      <c r="B873" s="19"/>
    </row>
    <row r="874" spans="1:2" x14ac:dyDescent="0.35">
      <c r="A874" s="18">
        <v>835</v>
      </c>
      <c r="B874" s="19"/>
    </row>
    <row r="875" spans="1:2" x14ac:dyDescent="0.35">
      <c r="A875" s="18">
        <v>836</v>
      </c>
      <c r="B875" s="19"/>
    </row>
    <row r="876" spans="1:2" x14ac:dyDescent="0.35">
      <c r="A876" s="18">
        <v>837</v>
      </c>
      <c r="B876" s="19"/>
    </row>
    <row r="877" spans="1:2" x14ac:dyDescent="0.35">
      <c r="A877" s="18">
        <v>838</v>
      </c>
      <c r="B877" s="19"/>
    </row>
    <row r="878" spans="1:2" x14ac:dyDescent="0.35">
      <c r="A878" s="18">
        <v>839</v>
      </c>
      <c r="B878" s="19"/>
    </row>
    <row r="879" spans="1:2" x14ac:dyDescent="0.35">
      <c r="A879" s="18">
        <v>840</v>
      </c>
      <c r="B879" s="19"/>
    </row>
    <row r="880" spans="1:2" x14ac:dyDescent="0.35">
      <c r="A880" s="18">
        <v>841</v>
      </c>
      <c r="B880" s="19"/>
    </row>
    <row r="881" spans="1:2" x14ac:dyDescent="0.35">
      <c r="A881" s="18">
        <v>842</v>
      </c>
      <c r="B881" s="19"/>
    </row>
    <row r="882" spans="1:2" x14ac:dyDescent="0.35">
      <c r="A882" s="18">
        <v>843</v>
      </c>
      <c r="B882" s="19"/>
    </row>
    <row r="883" spans="1:2" x14ac:dyDescent="0.35">
      <c r="A883" s="18">
        <v>844</v>
      </c>
      <c r="B883" s="19"/>
    </row>
    <row r="884" spans="1:2" x14ac:dyDescent="0.35">
      <c r="A884" s="18">
        <v>845</v>
      </c>
      <c r="B884" s="19"/>
    </row>
    <row r="885" spans="1:2" x14ac:dyDescent="0.35">
      <c r="A885" s="18">
        <v>846</v>
      </c>
      <c r="B885" s="19"/>
    </row>
    <row r="886" spans="1:2" x14ac:dyDescent="0.35">
      <c r="A886" s="18">
        <v>847</v>
      </c>
      <c r="B886" s="19"/>
    </row>
    <row r="887" spans="1:2" x14ac:dyDescent="0.35">
      <c r="A887" s="18">
        <v>848</v>
      </c>
      <c r="B887" s="19"/>
    </row>
    <row r="888" spans="1:2" x14ac:dyDescent="0.35">
      <c r="A888" s="18">
        <v>849</v>
      </c>
      <c r="B888" s="19"/>
    </row>
    <row r="889" spans="1:2" x14ac:dyDescent="0.35">
      <c r="A889" s="18">
        <v>850</v>
      </c>
      <c r="B889" s="19"/>
    </row>
    <row r="890" spans="1:2" x14ac:dyDescent="0.35">
      <c r="A890" s="18">
        <v>851</v>
      </c>
      <c r="B890" s="19"/>
    </row>
    <row r="891" spans="1:2" x14ac:dyDescent="0.35">
      <c r="A891" s="18">
        <v>852</v>
      </c>
      <c r="B891" s="19"/>
    </row>
    <row r="892" spans="1:2" x14ac:dyDescent="0.35">
      <c r="A892" s="18">
        <v>853</v>
      </c>
      <c r="B892" s="19"/>
    </row>
    <row r="893" spans="1:2" x14ac:dyDescent="0.35">
      <c r="A893" s="18">
        <v>854</v>
      </c>
      <c r="B893" s="19"/>
    </row>
    <row r="894" spans="1:2" x14ac:dyDescent="0.35">
      <c r="A894" s="18">
        <v>855</v>
      </c>
      <c r="B894" s="19"/>
    </row>
    <row r="895" spans="1:2" x14ac:dyDescent="0.35">
      <c r="A895" s="18">
        <v>856</v>
      </c>
      <c r="B895" s="19"/>
    </row>
    <row r="896" spans="1:2" x14ac:dyDescent="0.35">
      <c r="A896" s="18">
        <v>857</v>
      </c>
      <c r="B896" s="19"/>
    </row>
    <row r="897" spans="1:2" x14ac:dyDescent="0.35">
      <c r="A897" s="18">
        <v>858</v>
      </c>
      <c r="B897" s="19"/>
    </row>
    <row r="898" spans="1:2" x14ac:dyDescent="0.35">
      <c r="A898" s="18">
        <v>859</v>
      </c>
      <c r="B898" s="19"/>
    </row>
    <row r="899" spans="1:2" x14ac:dyDescent="0.35">
      <c r="A899" s="18">
        <v>860</v>
      </c>
      <c r="B899" s="19"/>
    </row>
    <row r="900" spans="1:2" x14ac:dyDescent="0.35">
      <c r="A900" s="18">
        <v>861</v>
      </c>
      <c r="B900" s="19"/>
    </row>
    <row r="901" spans="1:2" x14ac:dyDescent="0.35">
      <c r="A901" s="18">
        <v>862</v>
      </c>
      <c r="B901" s="19"/>
    </row>
    <row r="902" spans="1:2" x14ac:dyDescent="0.35">
      <c r="A902" s="18">
        <v>863</v>
      </c>
      <c r="B902" s="19"/>
    </row>
    <row r="903" spans="1:2" x14ac:dyDescent="0.35">
      <c r="A903" s="18">
        <v>864</v>
      </c>
      <c r="B903" s="19"/>
    </row>
    <row r="904" spans="1:2" x14ac:dyDescent="0.35">
      <c r="A904" s="18">
        <v>865</v>
      </c>
      <c r="B904" s="19"/>
    </row>
    <row r="905" spans="1:2" x14ac:dyDescent="0.35">
      <c r="A905" s="18">
        <v>866</v>
      </c>
      <c r="B905" s="19"/>
    </row>
    <row r="906" spans="1:2" x14ac:dyDescent="0.35">
      <c r="A906" s="18">
        <v>867</v>
      </c>
      <c r="B906" s="19"/>
    </row>
    <row r="907" spans="1:2" x14ac:dyDescent="0.35">
      <c r="A907" s="18">
        <v>868</v>
      </c>
      <c r="B907" s="19"/>
    </row>
    <row r="908" spans="1:2" x14ac:dyDescent="0.35">
      <c r="A908" s="18">
        <v>869</v>
      </c>
      <c r="B908" s="19"/>
    </row>
    <row r="909" spans="1:2" x14ac:dyDescent="0.35">
      <c r="A909" s="18">
        <v>870</v>
      </c>
      <c r="B909" s="19"/>
    </row>
    <row r="910" spans="1:2" x14ac:dyDescent="0.35">
      <c r="A910" s="18">
        <v>871</v>
      </c>
      <c r="B910" s="19"/>
    </row>
    <row r="911" spans="1:2" x14ac:dyDescent="0.35">
      <c r="A911" s="18">
        <v>872</v>
      </c>
      <c r="B911" s="19"/>
    </row>
    <row r="912" spans="1:2" x14ac:dyDescent="0.35">
      <c r="A912" s="18">
        <v>873</v>
      </c>
      <c r="B912" s="19"/>
    </row>
    <row r="913" spans="1:2" x14ac:dyDescent="0.35">
      <c r="A913" s="18">
        <v>874</v>
      </c>
      <c r="B913" s="19"/>
    </row>
    <row r="914" spans="1:2" x14ac:dyDescent="0.35">
      <c r="A914" s="18">
        <v>875</v>
      </c>
      <c r="B914" s="19"/>
    </row>
    <row r="915" spans="1:2" x14ac:dyDescent="0.35">
      <c r="A915" s="18">
        <v>876</v>
      </c>
      <c r="B915" s="19"/>
    </row>
    <row r="916" spans="1:2" x14ac:dyDescent="0.35">
      <c r="A916" s="18">
        <v>877</v>
      </c>
      <c r="B916" s="19"/>
    </row>
    <row r="917" spans="1:2" x14ac:dyDescent="0.35">
      <c r="A917" s="18">
        <v>878</v>
      </c>
      <c r="B917" s="19"/>
    </row>
    <row r="918" spans="1:2" x14ac:dyDescent="0.35">
      <c r="A918" s="18">
        <v>879</v>
      </c>
      <c r="B918" s="19"/>
    </row>
    <row r="919" spans="1:2" x14ac:dyDescent="0.35">
      <c r="A919" s="18">
        <v>880</v>
      </c>
      <c r="B919" s="19"/>
    </row>
    <row r="920" spans="1:2" x14ac:dyDescent="0.35">
      <c r="A920" s="18">
        <v>881</v>
      </c>
      <c r="B920" s="19"/>
    </row>
    <row r="921" spans="1:2" x14ac:dyDescent="0.35">
      <c r="A921" s="18">
        <v>882</v>
      </c>
      <c r="B921" s="19"/>
    </row>
    <row r="922" spans="1:2" x14ac:dyDescent="0.35">
      <c r="A922" s="18">
        <v>883</v>
      </c>
      <c r="B922" s="19"/>
    </row>
    <row r="923" spans="1:2" x14ac:dyDescent="0.35">
      <c r="A923" s="18">
        <v>884</v>
      </c>
      <c r="B923" s="19"/>
    </row>
    <row r="924" spans="1:2" x14ac:dyDescent="0.35">
      <c r="A924" s="18">
        <v>885</v>
      </c>
      <c r="B924" s="19"/>
    </row>
    <row r="925" spans="1:2" x14ac:dyDescent="0.35">
      <c r="A925" s="18">
        <v>886</v>
      </c>
      <c r="B925" s="19"/>
    </row>
    <row r="926" spans="1:2" x14ac:dyDescent="0.35">
      <c r="A926" s="18">
        <v>887</v>
      </c>
      <c r="B926" s="19"/>
    </row>
    <row r="927" spans="1:2" x14ac:dyDescent="0.35">
      <c r="A927" s="18">
        <v>888</v>
      </c>
      <c r="B927" s="19"/>
    </row>
    <row r="928" spans="1:2" x14ac:dyDescent="0.35">
      <c r="A928" s="18">
        <v>889</v>
      </c>
      <c r="B928" s="19"/>
    </row>
    <row r="929" spans="1:2" x14ac:dyDescent="0.35">
      <c r="A929" s="18">
        <v>890</v>
      </c>
      <c r="B929" s="19"/>
    </row>
    <row r="930" spans="1:2" x14ac:dyDescent="0.35">
      <c r="A930" s="18">
        <v>891</v>
      </c>
      <c r="B930" s="19"/>
    </row>
    <row r="931" spans="1:2" x14ac:dyDescent="0.35">
      <c r="A931" s="18">
        <v>892</v>
      </c>
      <c r="B931" s="19"/>
    </row>
    <row r="932" spans="1:2" x14ac:dyDescent="0.35">
      <c r="A932" s="18">
        <v>893</v>
      </c>
      <c r="B932" s="19"/>
    </row>
    <row r="933" spans="1:2" x14ac:dyDescent="0.35">
      <c r="A933" s="18">
        <v>894</v>
      </c>
      <c r="B933" s="19"/>
    </row>
    <row r="934" spans="1:2" x14ac:dyDescent="0.35">
      <c r="A934" s="18">
        <v>895</v>
      </c>
      <c r="B934" s="19"/>
    </row>
    <row r="935" spans="1:2" x14ac:dyDescent="0.35">
      <c r="A935" s="18">
        <v>896</v>
      </c>
      <c r="B935" s="19"/>
    </row>
    <row r="936" spans="1:2" x14ac:dyDescent="0.35">
      <c r="A936" s="18">
        <v>897</v>
      </c>
      <c r="B936" s="19"/>
    </row>
    <row r="937" spans="1:2" x14ac:dyDescent="0.35">
      <c r="A937" s="18">
        <v>898</v>
      </c>
      <c r="B937" s="19"/>
    </row>
    <row r="938" spans="1:2" x14ac:dyDescent="0.35">
      <c r="A938" s="18">
        <v>899</v>
      </c>
      <c r="B938" s="19"/>
    </row>
    <row r="939" spans="1:2" x14ac:dyDescent="0.35">
      <c r="A939" s="18">
        <v>900</v>
      </c>
      <c r="B939" s="19"/>
    </row>
    <row r="940" spans="1:2" x14ac:dyDescent="0.35">
      <c r="A940" s="18">
        <v>901</v>
      </c>
      <c r="B940" s="19"/>
    </row>
    <row r="941" spans="1:2" x14ac:dyDescent="0.35">
      <c r="A941" s="18">
        <v>902</v>
      </c>
      <c r="B941" s="19"/>
    </row>
    <row r="942" spans="1:2" x14ac:dyDescent="0.35">
      <c r="A942" s="18">
        <v>903</v>
      </c>
      <c r="B942" s="19"/>
    </row>
    <row r="943" spans="1:2" x14ac:dyDescent="0.35">
      <c r="A943" s="18">
        <v>904</v>
      </c>
      <c r="B943" s="19"/>
    </row>
    <row r="944" spans="1:2" x14ac:dyDescent="0.35">
      <c r="A944" s="18">
        <v>905</v>
      </c>
      <c r="B944" s="19"/>
    </row>
    <row r="945" spans="1:2" x14ac:dyDescent="0.35">
      <c r="A945" s="18">
        <v>906</v>
      </c>
      <c r="B945" s="19"/>
    </row>
    <row r="946" spans="1:2" x14ac:dyDescent="0.35">
      <c r="A946" s="18">
        <v>907</v>
      </c>
      <c r="B946" s="19"/>
    </row>
    <row r="947" spans="1:2" x14ac:dyDescent="0.35">
      <c r="A947" s="18">
        <v>908</v>
      </c>
      <c r="B947" s="19"/>
    </row>
    <row r="948" spans="1:2" x14ac:dyDescent="0.35">
      <c r="A948" s="18">
        <v>909</v>
      </c>
      <c r="B948" s="19"/>
    </row>
    <row r="949" spans="1:2" x14ac:dyDescent="0.35">
      <c r="A949" s="18">
        <v>910</v>
      </c>
      <c r="B949" s="19"/>
    </row>
    <row r="950" spans="1:2" x14ac:dyDescent="0.35">
      <c r="A950" s="18">
        <v>911</v>
      </c>
      <c r="B950" s="19"/>
    </row>
    <row r="951" spans="1:2" x14ac:dyDescent="0.35">
      <c r="A951" s="18">
        <v>912</v>
      </c>
      <c r="B951" s="19"/>
    </row>
    <row r="952" spans="1:2" x14ac:dyDescent="0.35">
      <c r="A952" s="18">
        <v>913</v>
      </c>
      <c r="B952" s="19"/>
    </row>
    <row r="953" spans="1:2" x14ac:dyDescent="0.35">
      <c r="A953" s="18">
        <v>914</v>
      </c>
      <c r="B953" s="19"/>
    </row>
    <row r="954" spans="1:2" x14ac:dyDescent="0.35">
      <c r="A954" s="18">
        <v>915</v>
      </c>
      <c r="B954" s="19"/>
    </row>
    <row r="955" spans="1:2" x14ac:dyDescent="0.35">
      <c r="A955" s="18">
        <v>916</v>
      </c>
      <c r="B955" s="19"/>
    </row>
    <row r="956" spans="1:2" x14ac:dyDescent="0.35">
      <c r="A956" s="18">
        <v>917</v>
      </c>
      <c r="B956" s="19"/>
    </row>
    <row r="957" spans="1:2" x14ac:dyDescent="0.35">
      <c r="A957" s="18">
        <v>918</v>
      </c>
      <c r="B957" s="19"/>
    </row>
    <row r="958" spans="1:2" x14ac:dyDescent="0.35">
      <c r="A958" s="18">
        <v>919</v>
      </c>
      <c r="B958" s="19"/>
    </row>
    <row r="959" spans="1:2" x14ac:dyDescent="0.35">
      <c r="A959" s="18">
        <v>920</v>
      </c>
      <c r="B959" s="19"/>
    </row>
    <row r="960" spans="1:2" x14ac:dyDescent="0.35">
      <c r="A960" s="18">
        <v>921</v>
      </c>
      <c r="B960" s="19"/>
    </row>
    <row r="961" spans="1:2" x14ac:dyDescent="0.35">
      <c r="A961" s="18">
        <v>922</v>
      </c>
      <c r="B961" s="19"/>
    </row>
    <row r="962" spans="1:2" x14ac:dyDescent="0.35">
      <c r="A962" s="18">
        <v>923</v>
      </c>
      <c r="B962" s="19"/>
    </row>
    <row r="963" spans="1:2" x14ac:dyDescent="0.35">
      <c r="A963" s="18">
        <v>924</v>
      </c>
      <c r="B963" s="19"/>
    </row>
    <row r="964" spans="1:2" x14ac:dyDescent="0.35">
      <c r="A964" s="18">
        <v>925</v>
      </c>
      <c r="B964" s="19"/>
    </row>
    <row r="965" spans="1:2" x14ac:dyDescent="0.35">
      <c r="A965" s="18">
        <v>926</v>
      </c>
      <c r="B965" s="19"/>
    </row>
    <row r="966" spans="1:2" x14ac:dyDescent="0.35">
      <c r="A966" s="18">
        <v>927</v>
      </c>
      <c r="B966" s="19"/>
    </row>
    <row r="967" spans="1:2" x14ac:dyDescent="0.35">
      <c r="A967" s="18">
        <v>928</v>
      </c>
      <c r="B967" s="19"/>
    </row>
    <row r="968" spans="1:2" x14ac:dyDescent="0.35">
      <c r="A968" s="18">
        <v>929</v>
      </c>
      <c r="B968" s="19"/>
    </row>
    <row r="969" spans="1:2" x14ac:dyDescent="0.35">
      <c r="A969" s="18">
        <v>930</v>
      </c>
      <c r="B969" s="19"/>
    </row>
    <row r="970" spans="1:2" x14ac:dyDescent="0.35">
      <c r="A970" s="18">
        <v>931</v>
      </c>
      <c r="B970" s="19"/>
    </row>
    <row r="971" spans="1:2" x14ac:dyDescent="0.35">
      <c r="A971" s="18">
        <v>932</v>
      </c>
      <c r="B971" s="19"/>
    </row>
    <row r="972" spans="1:2" x14ac:dyDescent="0.35">
      <c r="A972" s="18">
        <v>933</v>
      </c>
      <c r="B972" s="19"/>
    </row>
    <row r="973" spans="1:2" x14ac:dyDescent="0.35">
      <c r="A973" s="18">
        <v>934</v>
      </c>
      <c r="B973" s="19"/>
    </row>
    <row r="974" spans="1:2" x14ac:dyDescent="0.35">
      <c r="A974" s="18">
        <v>935</v>
      </c>
      <c r="B974" s="19"/>
    </row>
    <row r="975" spans="1:2" x14ac:dyDescent="0.35">
      <c r="A975" s="18">
        <v>936</v>
      </c>
      <c r="B975" s="19"/>
    </row>
    <row r="976" spans="1:2" x14ac:dyDescent="0.35">
      <c r="A976" s="18">
        <v>937</v>
      </c>
      <c r="B976" s="19"/>
    </row>
    <row r="977" spans="1:2" x14ac:dyDescent="0.35">
      <c r="A977" s="18">
        <v>938</v>
      </c>
      <c r="B977" s="19"/>
    </row>
    <row r="978" spans="1:2" x14ac:dyDescent="0.35">
      <c r="A978" s="18">
        <v>939</v>
      </c>
      <c r="B978" s="19"/>
    </row>
    <row r="979" spans="1:2" x14ac:dyDescent="0.35">
      <c r="A979" s="18">
        <v>940</v>
      </c>
      <c r="B979" s="19"/>
    </row>
    <row r="980" spans="1:2" x14ac:dyDescent="0.35">
      <c r="A980" s="18">
        <v>941</v>
      </c>
      <c r="B980" s="19"/>
    </row>
    <row r="981" spans="1:2" x14ac:dyDescent="0.35">
      <c r="A981" s="18">
        <v>942</v>
      </c>
      <c r="B981" s="19"/>
    </row>
    <row r="982" spans="1:2" x14ac:dyDescent="0.35">
      <c r="A982" s="18">
        <v>943</v>
      </c>
      <c r="B982" s="19"/>
    </row>
    <row r="983" spans="1:2" x14ac:dyDescent="0.35">
      <c r="A983" s="18">
        <v>944</v>
      </c>
      <c r="B983" s="19"/>
    </row>
    <row r="984" spans="1:2" x14ac:dyDescent="0.35">
      <c r="A984" s="18">
        <v>945</v>
      </c>
      <c r="B984" s="19"/>
    </row>
    <row r="985" spans="1:2" x14ac:dyDescent="0.35">
      <c r="A985" s="18">
        <v>946</v>
      </c>
      <c r="B985" s="19"/>
    </row>
    <row r="986" spans="1:2" x14ac:dyDescent="0.35">
      <c r="A986" s="18">
        <v>947</v>
      </c>
      <c r="B986" s="19"/>
    </row>
    <row r="987" spans="1:2" x14ac:dyDescent="0.35">
      <c r="A987" s="18">
        <v>948</v>
      </c>
      <c r="B987" s="19"/>
    </row>
    <row r="988" spans="1:2" x14ac:dyDescent="0.35">
      <c r="A988" s="18">
        <v>949</v>
      </c>
      <c r="B988" s="19"/>
    </row>
    <row r="989" spans="1:2" x14ac:dyDescent="0.35">
      <c r="A989" s="18">
        <v>950</v>
      </c>
      <c r="B989" s="19"/>
    </row>
    <row r="990" spans="1:2" x14ac:dyDescent="0.35">
      <c r="A990" s="18">
        <v>951</v>
      </c>
      <c r="B990" s="19"/>
    </row>
    <row r="991" spans="1:2" x14ac:dyDescent="0.35">
      <c r="A991" s="18">
        <v>952</v>
      </c>
      <c r="B991" s="19"/>
    </row>
    <row r="992" spans="1:2" x14ac:dyDescent="0.35">
      <c r="A992" s="18">
        <v>953</v>
      </c>
      <c r="B992" s="19"/>
    </row>
    <row r="993" spans="1:2" x14ac:dyDescent="0.35">
      <c r="A993" s="18">
        <v>954</v>
      </c>
      <c r="B993" s="19"/>
    </row>
    <row r="994" spans="1:2" x14ac:dyDescent="0.35">
      <c r="A994" s="18">
        <v>955</v>
      </c>
      <c r="B994" s="19"/>
    </row>
    <row r="995" spans="1:2" x14ac:dyDescent="0.35">
      <c r="A995" s="18">
        <v>956</v>
      </c>
      <c r="B995" s="19"/>
    </row>
    <row r="996" spans="1:2" x14ac:dyDescent="0.35">
      <c r="A996" s="18">
        <v>957</v>
      </c>
      <c r="B996" s="19"/>
    </row>
    <row r="997" spans="1:2" x14ac:dyDescent="0.35">
      <c r="A997" s="18">
        <v>958</v>
      </c>
      <c r="B997" s="19"/>
    </row>
    <row r="998" spans="1:2" x14ac:dyDescent="0.35">
      <c r="A998" s="18">
        <v>959</v>
      </c>
      <c r="B998" s="19"/>
    </row>
    <row r="999" spans="1:2" x14ac:dyDescent="0.35">
      <c r="A999" s="18">
        <v>960</v>
      </c>
      <c r="B999" s="19"/>
    </row>
    <row r="1000" spans="1:2" x14ac:dyDescent="0.35">
      <c r="A1000" s="18">
        <v>961</v>
      </c>
      <c r="B1000" s="19"/>
    </row>
    <row r="1001" spans="1:2" x14ac:dyDescent="0.35">
      <c r="A1001" s="18">
        <v>962</v>
      </c>
      <c r="B1001" s="19"/>
    </row>
    <row r="1002" spans="1:2" x14ac:dyDescent="0.35">
      <c r="A1002" s="18">
        <v>963</v>
      </c>
      <c r="B1002" s="19"/>
    </row>
    <row r="1003" spans="1:2" x14ac:dyDescent="0.35">
      <c r="A1003" s="18">
        <v>964</v>
      </c>
      <c r="B1003" s="19"/>
    </row>
    <row r="1004" spans="1:2" x14ac:dyDescent="0.35">
      <c r="A1004" s="18">
        <v>965</v>
      </c>
      <c r="B1004" s="19"/>
    </row>
    <row r="1005" spans="1:2" x14ac:dyDescent="0.35">
      <c r="A1005" s="18">
        <v>966</v>
      </c>
      <c r="B1005" s="19"/>
    </row>
    <row r="1006" spans="1:2" x14ac:dyDescent="0.35">
      <c r="A1006" s="18">
        <v>967</v>
      </c>
      <c r="B1006" s="19"/>
    </row>
    <row r="1007" spans="1:2" x14ac:dyDescent="0.35">
      <c r="A1007" s="18">
        <v>968</v>
      </c>
      <c r="B1007" s="19"/>
    </row>
    <row r="1008" spans="1:2" x14ac:dyDescent="0.35">
      <c r="A1008" s="18">
        <v>969</v>
      </c>
      <c r="B1008" s="19"/>
    </row>
    <row r="1009" spans="1:2" x14ac:dyDescent="0.35">
      <c r="A1009" s="18">
        <v>970</v>
      </c>
      <c r="B1009" s="19"/>
    </row>
    <row r="1010" spans="1:2" x14ac:dyDescent="0.35">
      <c r="A1010" s="18">
        <v>971</v>
      </c>
      <c r="B1010" s="19"/>
    </row>
    <row r="1011" spans="1:2" x14ac:dyDescent="0.35">
      <c r="A1011" s="18">
        <v>972</v>
      </c>
      <c r="B1011" s="19"/>
    </row>
    <row r="1012" spans="1:2" x14ac:dyDescent="0.35">
      <c r="A1012" s="18">
        <v>973</v>
      </c>
      <c r="B1012" s="19"/>
    </row>
    <row r="1013" spans="1:2" x14ac:dyDescent="0.35">
      <c r="A1013" s="18">
        <v>974</v>
      </c>
      <c r="B1013" s="19"/>
    </row>
    <row r="1014" spans="1:2" x14ac:dyDescent="0.35">
      <c r="A1014" s="18">
        <v>975</v>
      </c>
      <c r="B1014" s="19"/>
    </row>
    <row r="1015" spans="1:2" x14ac:dyDescent="0.35">
      <c r="A1015" s="18">
        <v>976</v>
      </c>
      <c r="B1015" s="19"/>
    </row>
    <row r="1016" spans="1:2" x14ac:dyDescent="0.35">
      <c r="A1016" s="18">
        <v>977</v>
      </c>
      <c r="B1016" s="19"/>
    </row>
    <row r="1017" spans="1:2" x14ac:dyDescent="0.35">
      <c r="A1017" s="18">
        <v>978</v>
      </c>
      <c r="B1017" s="19"/>
    </row>
    <row r="1018" spans="1:2" x14ac:dyDescent="0.35">
      <c r="A1018" s="18">
        <v>979</v>
      </c>
      <c r="B1018" s="19"/>
    </row>
    <row r="1019" spans="1:2" x14ac:dyDescent="0.35">
      <c r="A1019" s="18">
        <v>980</v>
      </c>
      <c r="B1019" s="19"/>
    </row>
    <row r="1020" spans="1:2" x14ac:dyDescent="0.35">
      <c r="A1020" s="18">
        <v>981</v>
      </c>
      <c r="B1020" s="19"/>
    </row>
    <row r="1021" spans="1:2" x14ac:dyDescent="0.35">
      <c r="A1021" s="18">
        <v>982</v>
      </c>
      <c r="B1021" s="19"/>
    </row>
    <row r="1022" spans="1:2" x14ac:dyDescent="0.35">
      <c r="A1022" s="18">
        <v>983</v>
      </c>
      <c r="B1022" s="19"/>
    </row>
    <row r="1023" spans="1:2" x14ac:dyDescent="0.35">
      <c r="A1023" s="18">
        <v>984</v>
      </c>
      <c r="B1023" s="19"/>
    </row>
    <row r="1024" spans="1:2" x14ac:dyDescent="0.35">
      <c r="A1024" s="18">
        <v>985</v>
      </c>
      <c r="B1024" s="19"/>
    </row>
    <row r="1025" spans="1:2" x14ac:dyDescent="0.35">
      <c r="A1025" s="18">
        <v>986</v>
      </c>
      <c r="B1025" s="19"/>
    </row>
    <row r="1026" spans="1:2" x14ac:dyDescent="0.35">
      <c r="A1026" s="18">
        <v>987</v>
      </c>
      <c r="B1026" s="19"/>
    </row>
    <row r="1027" spans="1:2" x14ac:dyDescent="0.35">
      <c r="A1027" s="18">
        <v>988</v>
      </c>
      <c r="B1027" s="19"/>
    </row>
    <row r="1028" spans="1:2" x14ac:dyDescent="0.35">
      <c r="A1028" s="18">
        <v>989</v>
      </c>
      <c r="B1028" s="19"/>
    </row>
    <row r="1029" spans="1:2" x14ac:dyDescent="0.35">
      <c r="A1029" s="18">
        <v>990</v>
      </c>
      <c r="B1029" s="19"/>
    </row>
    <row r="1030" spans="1:2" x14ac:dyDescent="0.35">
      <c r="A1030" s="18">
        <v>991</v>
      </c>
      <c r="B1030" s="19"/>
    </row>
    <row r="1031" spans="1:2" x14ac:dyDescent="0.35">
      <c r="A1031" s="18">
        <v>992</v>
      </c>
      <c r="B1031" s="19"/>
    </row>
    <row r="1032" spans="1:2" x14ac:dyDescent="0.35">
      <c r="A1032" s="18">
        <v>993</v>
      </c>
      <c r="B1032" s="19"/>
    </row>
    <row r="1033" spans="1:2" x14ac:dyDescent="0.35">
      <c r="A1033" s="18">
        <v>994</v>
      </c>
      <c r="B1033" s="19"/>
    </row>
    <row r="1034" spans="1:2" x14ac:dyDescent="0.35">
      <c r="A1034" s="18">
        <v>995</v>
      </c>
      <c r="B1034" s="19"/>
    </row>
    <row r="1035" spans="1:2" x14ac:dyDescent="0.35">
      <c r="A1035" s="18">
        <v>996</v>
      </c>
      <c r="B1035" s="19"/>
    </row>
    <row r="1036" spans="1:2" x14ac:dyDescent="0.35">
      <c r="A1036" s="18">
        <v>997</v>
      </c>
      <c r="B1036" s="19"/>
    </row>
    <row r="1037" spans="1:2" x14ac:dyDescent="0.35">
      <c r="A1037" s="18">
        <v>998</v>
      </c>
      <c r="B1037" s="19"/>
    </row>
    <row r="1038" spans="1:2" x14ac:dyDescent="0.35">
      <c r="A1038" s="18">
        <v>999</v>
      </c>
      <c r="B1038" s="19"/>
    </row>
    <row r="1039" spans="1:2" x14ac:dyDescent="0.35">
      <c r="A1039" s="18">
        <v>1000</v>
      </c>
      <c r="B1039" s="19"/>
    </row>
    <row r="1040" spans="1:2" x14ac:dyDescent="0.35">
      <c r="A1040" s="18">
        <v>1001</v>
      </c>
      <c r="B1040" s="19"/>
    </row>
    <row r="1041" spans="1:2" x14ac:dyDescent="0.35">
      <c r="A1041" s="18">
        <v>1002</v>
      </c>
      <c r="B1041" s="19"/>
    </row>
    <row r="1042" spans="1:2" x14ac:dyDescent="0.35">
      <c r="A1042" s="18">
        <v>1003</v>
      </c>
      <c r="B1042" s="19"/>
    </row>
    <row r="1043" spans="1:2" x14ac:dyDescent="0.35">
      <c r="A1043" s="18">
        <v>1004</v>
      </c>
      <c r="B1043" s="19"/>
    </row>
    <row r="1044" spans="1:2" x14ac:dyDescent="0.35">
      <c r="A1044" s="18">
        <v>1005</v>
      </c>
      <c r="B1044" s="19"/>
    </row>
    <row r="1045" spans="1:2" x14ac:dyDescent="0.35">
      <c r="A1045" s="18">
        <v>1006</v>
      </c>
      <c r="B1045" s="19"/>
    </row>
    <row r="1046" spans="1:2" x14ac:dyDescent="0.35">
      <c r="A1046" s="18">
        <v>1007</v>
      </c>
      <c r="B1046" s="19"/>
    </row>
    <row r="1047" spans="1:2" x14ac:dyDescent="0.35">
      <c r="A1047" s="18">
        <v>1008</v>
      </c>
      <c r="B1047" s="19"/>
    </row>
    <row r="1048" spans="1:2" x14ac:dyDescent="0.35">
      <c r="A1048" s="18">
        <v>1009</v>
      </c>
      <c r="B1048" s="19"/>
    </row>
    <row r="1049" spans="1:2" x14ac:dyDescent="0.35">
      <c r="A1049" s="18">
        <v>1010</v>
      </c>
      <c r="B1049" s="19"/>
    </row>
    <row r="1050" spans="1:2" x14ac:dyDescent="0.35">
      <c r="A1050" s="18">
        <v>1011</v>
      </c>
      <c r="B1050" s="19"/>
    </row>
    <row r="1051" spans="1:2" x14ac:dyDescent="0.35">
      <c r="A1051" s="18">
        <v>1012</v>
      </c>
      <c r="B1051" s="19"/>
    </row>
    <row r="1052" spans="1:2" x14ac:dyDescent="0.35">
      <c r="A1052" s="18">
        <v>1013</v>
      </c>
      <c r="B1052" s="19"/>
    </row>
    <row r="1053" spans="1:2" x14ac:dyDescent="0.35">
      <c r="A1053" s="18">
        <v>1014</v>
      </c>
      <c r="B1053" s="19"/>
    </row>
    <row r="1054" spans="1:2" x14ac:dyDescent="0.35">
      <c r="A1054" s="18">
        <v>1015</v>
      </c>
      <c r="B1054" s="19"/>
    </row>
    <row r="1055" spans="1:2" x14ac:dyDescent="0.35">
      <c r="A1055" s="18">
        <v>1016</v>
      </c>
      <c r="B1055" s="19"/>
    </row>
    <row r="1056" spans="1:2" x14ac:dyDescent="0.35">
      <c r="A1056" s="18">
        <v>1017</v>
      </c>
      <c r="B1056" s="19"/>
    </row>
    <row r="1057" spans="1:2" x14ac:dyDescent="0.35">
      <c r="A1057" s="18">
        <v>1018</v>
      </c>
      <c r="B1057" s="19"/>
    </row>
    <row r="1058" spans="1:2" x14ac:dyDescent="0.35">
      <c r="A1058" s="18">
        <v>1019</v>
      </c>
      <c r="B1058" s="19"/>
    </row>
    <row r="1059" spans="1:2" x14ac:dyDescent="0.35">
      <c r="A1059" s="18">
        <v>1020</v>
      </c>
      <c r="B1059" s="19"/>
    </row>
    <row r="1060" spans="1:2" x14ac:dyDescent="0.35">
      <c r="A1060" s="18">
        <v>1021</v>
      </c>
      <c r="B1060" s="19"/>
    </row>
    <row r="1061" spans="1:2" x14ac:dyDescent="0.35">
      <c r="A1061" s="18">
        <v>1022</v>
      </c>
      <c r="B1061" s="19"/>
    </row>
    <row r="1062" spans="1:2" x14ac:dyDescent="0.35">
      <c r="A1062" s="18">
        <v>1023</v>
      </c>
      <c r="B1062" s="19"/>
    </row>
    <row r="1063" spans="1:2" x14ac:dyDescent="0.35">
      <c r="A1063" s="18">
        <v>1024</v>
      </c>
      <c r="B1063" s="19"/>
    </row>
    <row r="1064" spans="1:2" x14ac:dyDescent="0.35">
      <c r="A1064" s="18">
        <v>1025</v>
      </c>
      <c r="B1064" s="19"/>
    </row>
    <row r="1065" spans="1:2" x14ac:dyDescent="0.35">
      <c r="A1065" s="18">
        <v>1026</v>
      </c>
      <c r="B1065" s="19"/>
    </row>
    <row r="1066" spans="1:2" x14ac:dyDescent="0.35">
      <c r="A1066" s="18">
        <v>1027</v>
      </c>
      <c r="B1066" s="19"/>
    </row>
    <row r="1067" spans="1:2" x14ac:dyDescent="0.35">
      <c r="A1067" s="18">
        <v>1028</v>
      </c>
      <c r="B1067" s="19"/>
    </row>
    <row r="1068" spans="1:2" x14ac:dyDescent="0.35">
      <c r="A1068" s="18">
        <v>1029</v>
      </c>
      <c r="B1068" s="19"/>
    </row>
    <row r="1069" spans="1:2" x14ac:dyDescent="0.35">
      <c r="A1069" s="18">
        <v>1030</v>
      </c>
      <c r="B1069" s="19"/>
    </row>
    <row r="1070" spans="1:2" x14ac:dyDescent="0.35">
      <c r="A1070" s="18">
        <v>1031</v>
      </c>
      <c r="B1070" s="19"/>
    </row>
    <row r="1071" spans="1:2" x14ac:dyDescent="0.35">
      <c r="A1071" s="18">
        <v>1032</v>
      </c>
      <c r="B1071" s="19"/>
    </row>
    <row r="1072" spans="1:2" x14ac:dyDescent="0.35">
      <c r="A1072" s="18">
        <v>1033</v>
      </c>
      <c r="B1072" s="19"/>
    </row>
    <row r="1073" spans="1:2" x14ac:dyDescent="0.35">
      <c r="A1073" s="18">
        <v>1034</v>
      </c>
      <c r="B1073" s="19"/>
    </row>
    <row r="1074" spans="1:2" x14ac:dyDescent="0.35">
      <c r="A1074" s="18">
        <v>1035</v>
      </c>
      <c r="B1074" s="19"/>
    </row>
    <row r="1075" spans="1:2" x14ac:dyDescent="0.35">
      <c r="A1075" s="18">
        <v>1036</v>
      </c>
      <c r="B1075" s="19"/>
    </row>
    <row r="1076" spans="1:2" x14ac:dyDescent="0.35">
      <c r="A1076" s="18">
        <v>1037</v>
      </c>
      <c r="B1076" s="19"/>
    </row>
    <row r="1077" spans="1:2" x14ac:dyDescent="0.35">
      <c r="A1077" s="18">
        <v>1038</v>
      </c>
      <c r="B1077" s="19"/>
    </row>
    <row r="1078" spans="1:2" x14ac:dyDescent="0.35">
      <c r="A1078" s="18">
        <v>1039</v>
      </c>
      <c r="B1078" s="19"/>
    </row>
    <row r="1079" spans="1:2" x14ac:dyDescent="0.35">
      <c r="A1079" s="18">
        <v>1040</v>
      </c>
      <c r="B1079" s="19"/>
    </row>
    <row r="1080" spans="1:2" x14ac:dyDescent="0.35">
      <c r="A1080" s="18">
        <v>1041</v>
      </c>
      <c r="B1080" s="19"/>
    </row>
    <row r="1081" spans="1:2" x14ac:dyDescent="0.35">
      <c r="A1081" s="18">
        <v>1042</v>
      </c>
      <c r="B1081" s="19"/>
    </row>
    <row r="1082" spans="1:2" x14ac:dyDescent="0.35">
      <c r="A1082" s="18">
        <v>1043</v>
      </c>
      <c r="B1082" s="19"/>
    </row>
    <row r="1083" spans="1:2" x14ac:dyDescent="0.35">
      <c r="A1083" s="18">
        <v>1044</v>
      </c>
      <c r="B1083" s="19"/>
    </row>
    <row r="1084" spans="1:2" x14ac:dyDescent="0.35">
      <c r="A1084" s="18">
        <v>1045</v>
      </c>
      <c r="B1084" s="19"/>
    </row>
    <row r="1085" spans="1:2" x14ac:dyDescent="0.35">
      <c r="A1085" s="18">
        <v>1046</v>
      </c>
      <c r="B1085" s="19"/>
    </row>
    <row r="1086" spans="1:2" x14ac:dyDescent="0.35">
      <c r="A1086" s="18">
        <v>1047</v>
      </c>
      <c r="B1086" s="19"/>
    </row>
    <row r="1087" spans="1:2" x14ac:dyDescent="0.35">
      <c r="A1087" s="18">
        <v>1048</v>
      </c>
      <c r="B1087" s="19"/>
    </row>
    <row r="1088" spans="1:2" x14ac:dyDescent="0.35">
      <c r="A1088" s="18">
        <v>1049</v>
      </c>
      <c r="B1088" s="19"/>
    </row>
    <row r="1089" spans="1:2" x14ac:dyDescent="0.35">
      <c r="A1089" s="18">
        <v>1050</v>
      </c>
      <c r="B1089" s="19"/>
    </row>
    <row r="1090" spans="1:2" x14ac:dyDescent="0.35">
      <c r="A1090" s="18">
        <v>1051</v>
      </c>
      <c r="B1090" s="19"/>
    </row>
    <row r="1091" spans="1:2" x14ac:dyDescent="0.35">
      <c r="A1091" s="18">
        <v>1052</v>
      </c>
      <c r="B1091" s="19"/>
    </row>
    <row r="1092" spans="1:2" x14ac:dyDescent="0.35">
      <c r="A1092" s="18">
        <v>1053</v>
      </c>
      <c r="B1092" s="19"/>
    </row>
    <row r="1093" spans="1:2" x14ac:dyDescent="0.35">
      <c r="A1093" s="18">
        <v>1054</v>
      </c>
      <c r="B1093" s="19"/>
    </row>
    <row r="1094" spans="1:2" x14ac:dyDescent="0.35">
      <c r="A1094" s="18">
        <v>1055</v>
      </c>
      <c r="B1094" s="19"/>
    </row>
    <row r="1095" spans="1:2" x14ac:dyDescent="0.35">
      <c r="A1095" s="18">
        <v>1056</v>
      </c>
      <c r="B1095" s="19"/>
    </row>
    <row r="1096" spans="1:2" x14ac:dyDescent="0.35">
      <c r="A1096" s="18">
        <v>1057</v>
      </c>
      <c r="B1096" s="19"/>
    </row>
    <row r="1097" spans="1:2" x14ac:dyDescent="0.35">
      <c r="A1097" s="18">
        <v>1058</v>
      </c>
      <c r="B1097" s="19"/>
    </row>
    <row r="1098" spans="1:2" x14ac:dyDescent="0.35">
      <c r="A1098" s="18">
        <v>1059</v>
      </c>
      <c r="B1098" s="19"/>
    </row>
    <row r="1099" spans="1:2" x14ac:dyDescent="0.35">
      <c r="A1099" s="18">
        <v>1060</v>
      </c>
      <c r="B1099" s="19"/>
    </row>
    <row r="1100" spans="1:2" x14ac:dyDescent="0.35">
      <c r="A1100" s="18">
        <v>1061</v>
      </c>
      <c r="B1100" s="19"/>
    </row>
    <row r="1101" spans="1:2" x14ac:dyDescent="0.35">
      <c r="A1101" s="18">
        <v>1062</v>
      </c>
      <c r="B1101" s="19"/>
    </row>
    <row r="1102" spans="1:2" x14ac:dyDescent="0.35">
      <c r="A1102" s="18">
        <v>1063</v>
      </c>
      <c r="B1102" s="19"/>
    </row>
    <row r="1103" spans="1:2" x14ac:dyDescent="0.35">
      <c r="A1103" s="18">
        <v>1064</v>
      </c>
      <c r="B1103" s="19"/>
    </row>
    <row r="1104" spans="1:2" x14ac:dyDescent="0.35">
      <c r="A1104" s="18">
        <v>1065</v>
      </c>
      <c r="B1104" s="19"/>
    </row>
    <row r="1105" spans="1:2" x14ac:dyDescent="0.35">
      <c r="A1105" s="18">
        <v>1066</v>
      </c>
      <c r="B1105" s="19"/>
    </row>
    <row r="1106" spans="1:2" x14ac:dyDescent="0.35">
      <c r="A1106" s="18">
        <v>1067</v>
      </c>
      <c r="B1106" s="19"/>
    </row>
    <row r="1107" spans="1:2" x14ac:dyDescent="0.35">
      <c r="A1107" s="18">
        <v>1068</v>
      </c>
      <c r="B1107" s="19"/>
    </row>
    <row r="1108" spans="1:2" x14ac:dyDescent="0.35">
      <c r="A1108" s="18">
        <v>1069</v>
      </c>
      <c r="B1108" s="19"/>
    </row>
    <row r="1109" spans="1:2" x14ac:dyDescent="0.35">
      <c r="A1109" s="18">
        <v>1070</v>
      </c>
      <c r="B1109" s="19"/>
    </row>
    <row r="1110" spans="1:2" x14ac:dyDescent="0.35">
      <c r="A1110" s="18">
        <v>1071</v>
      </c>
      <c r="B1110" s="19"/>
    </row>
    <row r="1111" spans="1:2" x14ac:dyDescent="0.35">
      <c r="A1111" s="18">
        <v>1072</v>
      </c>
      <c r="B1111" s="19"/>
    </row>
    <row r="1112" spans="1:2" x14ac:dyDescent="0.35">
      <c r="A1112" s="18">
        <v>1073</v>
      </c>
      <c r="B1112" s="19"/>
    </row>
    <row r="1113" spans="1:2" x14ac:dyDescent="0.35">
      <c r="A1113" s="18">
        <v>1074</v>
      </c>
      <c r="B1113" s="19"/>
    </row>
    <row r="1114" spans="1:2" x14ac:dyDescent="0.35">
      <c r="A1114" s="18">
        <v>1075</v>
      </c>
      <c r="B1114" s="19"/>
    </row>
    <row r="1115" spans="1:2" x14ac:dyDescent="0.35">
      <c r="A1115" s="18">
        <v>1076</v>
      </c>
      <c r="B1115" s="19"/>
    </row>
    <row r="1116" spans="1:2" x14ac:dyDescent="0.35">
      <c r="A1116" s="18">
        <v>1077</v>
      </c>
      <c r="B1116" s="19"/>
    </row>
    <row r="1117" spans="1:2" x14ac:dyDescent="0.35">
      <c r="A1117" s="18">
        <v>1078</v>
      </c>
      <c r="B1117" s="19"/>
    </row>
    <row r="1118" spans="1:2" x14ac:dyDescent="0.35">
      <c r="A1118" s="18">
        <v>1079</v>
      </c>
      <c r="B1118" s="19"/>
    </row>
    <row r="1119" spans="1:2" x14ac:dyDescent="0.35">
      <c r="A1119" s="18">
        <v>1080</v>
      </c>
      <c r="B1119" s="19"/>
    </row>
    <row r="1120" spans="1:2" x14ac:dyDescent="0.35">
      <c r="A1120" s="18">
        <v>1081</v>
      </c>
      <c r="B1120" s="19"/>
    </row>
    <row r="1121" spans="1:2" x14ac:dyDescent="0.35">
      <c r="A1121" s="18">
        <v>1082</v>
      </c>
      <c r="B1121" s="19"/>
    </row>
    <row r="1122" spans="1:2" x14ac:dyDescent="0.35">
      <c r="A1122" s="18">
        <v>1083</v>
      </c>
      <c r="B1122" s="19"/>
    </row>
    <row r="1123" spans="1:2" x14ac:dyDescent="0.35">
      <c r="A1123" s="18">
        <v>1084</v>
      </c>
      <c r="B1123" s="19"/>
    </row>
    <row r="1124" spans="1:2" x14ac:dyDescent="0.35">
      <c r="A1124" s="18">
        <v>1085</v>
      </c>
      <c r="B1124" s="19"/>
    </row>
    <row r="1125" spans="1:2" x14ac:dyDescent="0.35">
      <c r="A1125" s="18">
        <v>1086</v>
      </c>
      <c r="B1125" s="19"/>
    </row>
    <row r="1126" spans="1:2" x14ac:dyDescent="0.35">
      <c r="A1126" s="18">
        <v>1087</v>
      </c>
      <c r="B1126" s="19"/>
    </row>
    <row r="1127" spans="1:2" x14ac:dyDescent="0.35">
      <c r="A1127" s="18">
        <v>1088</v>
      </c>
      <c r="B1127" s="19"/>
    </row>
    <row r="1128" spans="1:2" x14ac:dyDescent="0.35">
      <c r="A1128" s="18">
        <v>1089</v>
      </c>
      <c r="B1128" s="19"/>
    </row>
    <row r="1129" spans="1:2" x14ac:dyDescent="0.35">
      <c r="A1129" s="18">
        <v>1090</v>
      </c>
      <c r="B1129" s="19"/>
    </row>
    <row r="1130" spans="1:2" x14ac:dyDescent="0.35">
      <c r="A1130" s="18">
        <v>1091</v>
      </c>
      <c r="B1130" s="19"/>
    </row>
    <row r="1131" spans="1:2" x14ac:dyDescent="0.35">
      <c r="A1131" s="18">
        <v>1092</v>
      </c>
      <c r="B1131" s="19"/>
    </row>
    <row r="1132" spans="1:2" x14ac:dyDescent="0.35">
      <c r="A1132" s="18">
        <v>1093</v>
      </c>
      <c r="B1132" s="19"/>
    </row>
    <row r="1133" spans="1:2" x14ac:dyDescent="0.35">
      <c r="A1133" s="18">
        <v>1094</v>
      </c>
      <c r="B1133" s="19"/>
    </row>
    <row r="1134" spans="1:2" x14ac:dyDescent="0.35">
      <c r="A1134" s="18">
        <v>1095</v>
      </c>
      <c r="B1134" s="19"/>
    </row>
    <row r="1135" spans="1:2" x14ac:dyDescent="0.35">
      <c r="A1135" s="18">
        <v>1096</v>
      </c>
      <c r="B1135" s="19"/>
    </row>
    <row r="1136" spans="1:2" x14ac:dyDescent="0.35">
      <c r="A1136" s="18">
        <v>1097</v>
      </c>
      <c r="B1136" s="19"/>
    </row>
    <row r="1137" spans="1:2" x14ac:dyDescent="0.35">
      <c r="A1137" s="18">
        <v>1098</v>
      </c>
      <c r="B1137" s="19"/>
    </row>
    <row r="1138" spans="1:2" x14ac:dyDescent="0.35">
      <c r="A1138" s="18">
        <v>1099</v>
      </c>
      <c r="B1138" s="19"/>
    </row>
    <row r="1139" spans="1:2" x14ac:dyDescent="0.35">
      <c r="A1139" s="18">
        <v>1100</v>
      </c>
      <c r="B1139" s="19"/>
    </row>
    <row r="1140" spans="1:2" x14ac:dyDescent="0.35">
      <c r="A1140" s="18">
        <v>1101</v>
      </c>
      <c r="B1140" s="19"/>
    </row>
    <row r="1141" spans="1:2" x14ac:dyDescent="0.35">
      <c r="A1141" s="18">
        <v>1102</v>
      </c>
      <c r="B1141" s="19"/>
    </row>
    <row r="1142" spans="1:2" x14ac:dyDescent="0.35">
      <c r="A1142" s="18">
        <v>1103</v>
      </c>
      <c r="B1142" s="19"/>
    </row>
    <row r="1143" spans="1:2" x14ac:dyDescent="0.35">
      <c r="A1143" s="18">
        <v>1104</v>
      </c>
      <c r="B1143" s="19"/>
    </row>
    <row r="1144" spans="1:2" x14ac:dyDescent="0.35">
      <c r="A1144" s="18">
        <v>1105</v>
      </c>
      <c r="B1144" s="19"/>
    </row>
    <row r="1145" spans="1:2" x14ac:dyDescent="0.35">
      <c r="A1145" s="18">
        <v>1106</v>
      </c>
      <c r="B1145" s="19"/>
    </row>
    <row r="1146" spans="1:2" x14ac:dyDescent="0.35">
      <c r="A1146" s="18">
        <v>1107</v>
      </c>
      <c r="B1146" s="19"/>
    </row>
    <row r="1147" spans="1:2" x14ac:dyDescent="0.35">
      <c r="A1147" s="18">
        <v>1108</v>
      </c>
      <c r="B1147" s="19"/>
    </row>
    <row r="1148" spans="1:2" x14ac:dyDescent="0.35">
      <c r="A1148" s="18">
        <v>1109</v>
      </c>
      <c r="B1148" s="19"/>
    </row>
    <row r="1149" spans="1:2" x14ac:dyDescent="0.35">
      <c r="A1149" s="18">
        <v>1110</v>
      </c>
      <c r="B1149" s="19"/>
    </row>
    <row r="1150" spans="1:2" x14ac:dyDescent="0.35">
      <c r="A1150" s="18">
        <v>1111</v>
      </c>
      <c r="B1150" s="19"/>
    </row>
    <row r="1151" spans="1:2" x14ac:dyDescent="0.35">
      <c r="A1151" s="18">
        <v>1112</v>
      </c>
      <c r="B1151" s="19"/>
    </row>
    <row r="1152" spans="1:2" x14ac:dyDescent="0.35">
      <c r="A1152" s="18">
        <v>1113</v>
      </c>
      <c r="B1152" s="19"/>
    </row>
    <row r="1153" spans="1:2" x14ac:dyDescent="0.35">
      <c r="A1153" s="18">
        <v>1114</v>
      </c>
      <c r="B1153" s="19"/>
    </row>
    <row r="1154" spans="1:2" x14ac:dyDescent="0.35">
      <c r="A1154" s="18">
        <v>1115</v>
      </c>
      <c r="B1154" s="19"/>
    </row>
    <row r="1155" spans="1:2" x14ac:dyDescent="0.35">
      <c r="A1155" s="18">
        <v>1116</v>
      </c>
      <c r="B1155" s="19"/>
    </row>
    <row r="1156" spans="1:2" x14ac:dyDescent="0.35">
      <c r="A1156" s="18">
        <v>1117</v>
      </c>
      <c r="B1156" s="19"/>
    </row>
    <row r="1157" spans="1:2" x14ac:dyDescent="0.35">
      <c r="A1157" s="18">
        <v>1118</v>
      </c>
      <c r="B1157" s="19"/>
    </row>
    <row r="1158" spans="1:2" x14ac:dyDescent="0.35">
      <c r="A1158" s="18">
        <v>1119</v>
      </c>
      <c r="B1158" s="19"/>
    </row>
    <row r="1159" spans="1:2" x14ac:dyDescent="0.35">
      <c r="A1159" s="18">
        <v>1120</v>
      </c>
      <c r="B1159" s="19"/>
    </row>
    <row r="1160" spans="1:2" x14ac:dyDescent="0.35">
      <c r="A1160" s="18">
        <v>1121</v>
      </c>
      <c r="B1160" s="19"/>
    </row>
    <row r="1161" spans="1:2" x14ac:dyDescent="0.35">
      <c r="A1161" s="18">
        <v>1122</v>
      </c>
      <c r="B1161" s="19"/>
    </row>
    <row r="1162" spans="1:2" x14ac:dyDescent="0.35">
      <c r="A1162" s="18">
        <v>1123</v>
      </c>
      <c r="B1162" s="19"/>
    </row>
    <row r="1163" spans="1:2" x14ac:dyDescent="0.35">
      <c r="A1163" s="18">
        <v>1124</v>
      </c>
      <c r="B1163" s="19"/>
    </row>
    <row r="1164" spans="1:2" x14ac:dyDescent="0.35">
      <c r="A1164" s="18">
        <v>1125</v>
      </c>
      <c r="B1164" s="19"/>
    </row>
    <row r="1165" spans="1:2" x14ac:dyDescent="0.35">
      <c r="A1165" s="18">
        <v>1126</v>
      </c>
      <c r="B1165" s="19"/>
    </row>
    <row r="1166" spans="1:2" x14ac:dyDescent="0.35">
      <c r="A1166" s="18">
        <v>1127</v>
      </c>
      <c r="B1166" s="19"/>
    </row>
    <row r="1167" spans="1:2" x14ac:dyDescent="0.35">
      <c r="A1167" s="18">
        <v>1128</v>
      </c>
      <c r="B1167" s="19"/>
    </row>
    <row r="1168" spans="1:2" x14ac:dyDescent="0.35">
      <c r="A1168" s="18">
        <v>1129</v>
      </c>
      <c r="B1168" s="19"/>
    </row>
    <row r="1169" spans="1:2" x14ac:dyDescent="0.35">
      <c r="A1169" s="18">
        <v>1130</v>
      </c>
      <c r="B1169" s="19"/>
    </row>
    <row r="1170" spans="1:2" x14ac:dyDescent="0.35">
      <c r="A1170" s="18">
        <v>1131</v>
      </c>
      <c r="B1170" s="19"/>
    </row>
    <row r="1171" spans="1:2" x14ac:dyDescent="0.35">
      <c r="A1171" s="18">
        <v>1132</v>
      </c>
      <c r="B1171" s="19"/>
    </row>
    <row r="1172" spans="1:2" x14ac:dyDescent="0.35">
      <c r="A1172" s="18">
        <v>1133</v>
      </c>
      <c r="B1172" s="19"/>
    </row>
    <row r="1173" spans="1:2" x14ac:dyDescent="0.35">
      <c r="A1173" s="18">
        <v>1134</v>
      </c>
      <c r="B1173" s="19"/>
    </row>
    <row r="1174" spans="1:2" x14ac:dyDescent="0.35">
      <c r="A1174" s="18">
        <v>1135</v>
      </c>
      <c r="B1174" s="19"/>
    </row>
    <row r="1175" spans="1:2" x14ac:dyDescent="0.35">
      <c r="A1175" s="18">
        <v>1136</v>
      </c>
      <c r="B1175" s="19"/>
    </row>
    <row r="1176" spans="1:2" x14ac:dyDescent="0.35">
      <c r="A1176" s="18">
        <v>1137</v>
      </c>
      <c r="B1176" s="19"/>
    </row>
    <row r="1177" spans="1:2" x14ac:dyDescent="0.35">
      <c r="A1177" s="18">
        <v>1138</v>
      </c>
      <c r="B1177" s="19"/>
    </row>
    <row r="1178" spans="1:2" x14ac:dyDescent="0.35">
      <c r="A1178" s="18">
        <v>1139</v>
      </c>
      <c r="B1178" s="19"/>
    </row>
    <row r="1179" spans="1:2" x14ac:dyDescent="0.35">
      <c r="A1179" s="18">
        <v>1140</v>
      </c>
      <c r="B1179" s="19"/>
    </row>
    <row r="1180" spans="1:2" x14ac:dyDescent="0.35">
      <c r="A1180" s="18">
        <v>1141</v>
      </c>
      <c r="B1180" s="19"/>
    </row>
    <row r="1181" spans="1:2" x14ac:dyDescent="0.35">
      <c r="A1181" s="18">
        <v>1142</v>
      </c>
      <c r="B1181" s="19"/>
    </row>
    <row r="1182" spans="1:2" x14ac:dyDescent="0.35">
      <c r="A1182" s="18">
        <v>1143</v>
      </c>
      <c r="B1182" s="19"/>
    </row>
    <row r="1183" spans="1:2" x14ac:dyDescent="0.35">
      <c r="A1183" s="18">
        <v>1144</v>
      </c>
      <c r="B1183" s="19"/>
    </row>
    <row r="1184" spans="1:2" x14ac:dyDescent="0.35">
      <c r="A1184" s="18">
        <v>1145</v>
      </c>
      <c r="B1184" s="19"/>
    </row>
    <row r="1185" spans="1:2" x14ac:dyDescent="0.35">
      <c r="A1185" s="18">
        <v>1146</v>
      </c>
      <c r="B1185" s="19"/>
    </row>
    <row r="1186" spans="1:2" x14ac:dyDescent="0.35">
      <c r="A1186" s="18">
        <v>1147</v>
      </c>
      <c r="B1186" s="19"/>
    </row>
    <row r="1187" spans="1:2" x14ac:dyDescent="0.35">
      <c r="A1187" s="18">
        <v>1148</v>
      </c>
      <c r="B1187" s="19"/>
    </row>
    <row r="1188" spans="1:2" x14ac:dyDescent="0.35">
      <c r="A1188" s="18">
        <v>1149</v>
      </c>
      <c r="B1188" s="19"/>
    </row>
    <row r="1189" spans="1:2" x14ac:dyDescent="0.35">
      <c r="A1189" s="18">
        <v>1150</v>
      </c>
      <c r="B1189" s="19"/>
    </row>
    <row r="1190" spans="1:2" x14ac:dyDescent="0.35">
      <c r="A1190" s="18">
        <v>1151</v>
      </c>
      <c r="B1190" s="19"/>
    </row>
    <row r="1191" spans="1:2" x14ac:dyDescent="0.35">
      <c r="A1191" s="18">
        <v>1152</v>
      </c>
      <c r="B1191" s="19"/>
    </row>
    <row r="1192" spans="1:2" x14ac:dyDescent="0.35">
      <c r="A1192" s="18">
        <v>1153</v>
      </c>
      <c r="B1192" s="19"/>
    </row>
    <row r="1193" spans="1:2" x14ac:dyDescent="0.35">
      <c r="A1193" s="18">
        <v>1154</v>
      </c>
      <c r="B1193" s="19"/>
    </row>
    <row r="1194" spans="1:2" x14ac:dyDescent="0.35">
      <c r="A1194" s="18">
        <v>1155</v>
      </c>
      <c r="B1194" s="19"/>
    </row>
    <row r="1195" spans="1:2" x14ac:dyDescent="0.35">
      <c r="A1195" s="18">
        <v>1156</v>
      </c>
      <c r="B1195" s="19"/>
    </row>
    <row r="1196" spans="1:2" x14ac:dyDescent="0.35">
      <c r="A1196" s="18">
        <v>1157</v>
      </c>
      <c r="B1196" s="19"/>
    </row>
    <row r="1197" spans="1:2" x14ac:dyDescent="0.35">
      <c r="A1197" s="18">
        <v>1158</v>
      </c>
      <c r="B1197" s="19"/>
    </row>
    <row r="1198" spans="1:2" x14ac:dyDescent="0.35">
      <c r="A1198" s="18">
        <v>1159</v>
      </c>
      <c r="B1198" s="19"/>
    </row>
    <row r="1199" spans="1:2" x14ac:dyDescent="0.35">
      <c r="A1199" s="18">
        <v>1160</v>
      </c>
      <c r="B1199" s="19"/>
    </row>
    <row r="1200" spans="1:2" x14ac:dyDescent="0.35">
      <c r="A1200" s="18">
        <v>1161</v>
      </c>
      <c r="B1200" s="19"/>
    </row>
    <row r="1201" spans="1:2" x14ac:dyDescent="0.35">
      <c r="A1201" s="18">
        <v>1162</v>
      </c>
      <c r="B1201" s="19"/>
    </row>
    <row r="1202" spans="1:2" x14ac:dyDescent="0.35">
      <c r="A1202" s="18">
        <v>1163</v>
      </c>
      <c r="B1202" s="19"/>
    </row>
    <row r="1203" spans="1:2" x14ac:dyDescent="0.35">
      <c r="A1203" s="18">
        <v>1164</v>
      </c>
      <c r="B1203" s="19"/>
    </row>
    <row r="1204" spans="1:2" x14ac:dyDescent="0.35">
      <c r="A1204" s="18">
        <v>1165</v>
      </c>
      <c r="B1204" s="19"/>
    </row>
    <row r="1205" spans="1:2" x14ac:dyDescent="0.35">
      <c r="A1205" s="18">
        <v>1166</v>
      </c>
      <c r="B1205" s="19"/>
    </row>
    <row r="1206" spans="1:2" x14ac:dyDescent="0.35">
      <c r="A1206" s="18">
        <v>1167</v>
      </c>
      <c r="B1206" s="19"/>
    </row>
    <row r="1207" spans="1:2" x14ac:dyDescent="0.35">
      <c r="A1207" s="18">
        <v>1168</v>
      </c>
      <c r="B1207" s="19"/>
    </row>
    <row r="1208" spans="1:2" x14ac:dyDescent="0.35">
      <c r="A1208" s="18">
        <v>1169</v>
      </c>
      <c r="B1208" s="19"/>
    </row>
    <row r="1209" spans="1:2" x14ac:dyDescent="0.35">
      <c r="A1209" s="18">
        <v>1170</v>
      </c>
      <c r="B1209" s="19"/>
    </row>
    <row r="1210" spans="1:2" x14ac:dyDescent="0.35">
      <c r="A1210" s="18">
        <v>1171</v>
      </c>
      <c r="B1210" s="19"/>
    </row>
    <row r="1211" spans="1:2" x14ac:dyDescent="0.35">
      <c r="A1211" s="18">
        <v>1172</v>
      </c>
      <c r="B1211" s="19"/>
    </row>
    <row r="1212" spans="1:2" x14ac:dyDescent="0.35">
      <c r="A1212" s="18">
        <v>1173</v>
      </c>
      <c r="B1212" s="19"/>
    </row>
    <row r="1213" spans="1:2" x14ac:dyDescent="0.35">
      <c r="A1213" s="18">
        <v>1174</v>
      </c>
      <c r="B1213" s="19"/>
    </row>
    <row r="1214" spans="1:2" x14ac:dyDescent="0.35">
      <c r="A1214" s="18">
        <v>1175</v>
      </c>
      <c r="B1214" s="19"/>
    </row>
    <row r="1215" spans="1:2" x14ac:dyDescent="0.35">
      <c r="A1215" s="18">
        <v>1176</v>
      </c>
      <c r="B1215" s="19"/>
    </row>
    <row r="1216" spans="1:2" x14ac:dyDescent="0.35">
      <c r="A1216" s="18">
        <v>1177</v>
      </c>
      <c r="B1216" s="19"/>
    </row>
    <row r="1217" spans="1:2" x14ac:dyDescent="0.35">
      <c r="A1217" s="18">
        <v>1178</v>
      </c>
      <c r="B1217" s="19"/>
    </row>
    <row r="1218" spans="1:2" x14ac:dyDescent="0.35">
      <c r="A1218" s="18">
        <v>1179</v>
      </c>
      <c r="B1218" s="19"/>
    </row>
    <row r="1219" spans="1:2" x14ac:dyDescent="0.35">
      <c r="A1219" s="18">
        <v>1180</v>
      </c>
      <c r="B1219" s="19"/>
    </row>
    <row r="1220" spans="1:2" x14ac:dyDescent="0.35">
      <c r="A1220" s="18">
        <v>1181</v>
      </c>
      <c r="B1220" s="19"/>
    </row>
    <row r="1221" spans="1:2" x14ac:dyDescent="0.35">
      <c r="A1221" s="18">
        <v>1182</v>
      </c>
      <c r="B1221" s="19"/>
    </row>
    <row r="1222" spans="1:2" x14ac:dyDescent="0.35">
      <c r="A1222" s="18">
        <v>1183</v>
      </c>
      <c r="B1222" s="19"/>
    </row>
    <row r="1223" spans="1:2" x14ac:dyDescent="0.35">
      <c r="A1223" s="18">
        <v>1184</v>
      </c>
      <c r="B1223" s="19"/>
    </row>
    <row r="1224" spans="1:2" x14ac:dyDescent="0.35">
      <c r="A1224" s="18">
        <v>1185</v>
      </c>
      <c r="B1224" s="19"/>
    </row>
    <row r="1225" spans="1:2" x14ac:dyDescent="0.35">
      <c r="A1225" s="18">
        <v>1186</v>
      </c>
      <c r="B1225" s="19"/>
    </row>
    <row r="1226" spans="1:2" x14ac:dyDescent="0.35">
      <c r="A1226" s="18">
        <v>1187</v>
      </c>
      <c r="B1226" s="19"/>
    </row>
    <row r="1227" spans="1:2" x14ac:dyDescent="0.35">
      <c r="A1227" s="18">
        <v>1188</v>
      </c>
      <c r="B1227" s="19"/>
    </row>
    <row r="1228" spans="1:2" x14ac:dyDescent="0.35">
      <c r="A1228" s="18">
        <v>1189</v>
      </c>
      <c r="B1228" s="19"/>
    </row>
    <row r="1229" spans="1:2" x14ac:dyDescent="0.35">
      <c r="A1229" s="18">
        <v>1190</v>
      </c>
      <c r="B1229" s="19"/>
    </row>
    <row r="1230" spans="1:2" x14ac:dyDescent="0.35">
      <c r="A1230" s="18">
        <v>1191</v>
      </c>
      <c r="B1230" s="19"/>
    </row>
    <row r="1231" spans="1:2" x14ac:dyDescent="0.35">
      <c r="A1231" s="18">
        <v>1192</v>
      </c>
      <c r="B1231" s="19"/>
    </row>
    <row r="1232" spans="1:2" x14ac:dyDescent="0.35">
      <c r="A1232" s="18">
        <v>1193</v>
      </c>
      <c r="B1232" s="19"/>
    </row>
    <row r="1233" spans="1:2" x14ac:dyDescent="0.35">
      <c r="A1233" s="18">
        <v>1194</v>
      </c>
      <c r="B1233" s="19"/>
    </row>
    <row r="1234" spans="1:2" x14ac:dyDescent="0.35">
      <c r="A1234" s="18">
        <v>1195</v>
      </c>
      <c r="B1234" s="19"/>
    </row>
    <row r="1235" spans="1:2" x14ac:dyDescent="0.35">
      <c r="A1235" s="18">
        <v>1196</v>
      </c>
      <c r="B1235" s="19"/>
    </row>
    <row r="1236" spans="1:2" x14ac:dyDescent="0.35">
      <c r="A1236" s="18">
        <v>1197</v>
      </c>
      <c r="B1236" s="19"/>
    </row>
    <row r="1237" spans="1:2" x14ac:dyDescent="0.35">
      <c r="A1237" s="18">
        <v>1198</v>
      </c>
      <c r="B1237" s="19"/>
    </row>
    <row r="1238" spans="1:2" x14ac:dyDescent="0.35">
      <c r="A1238" s="18">
        <v>1199</v>
      </c>
      <c r="B1238" s="19"/>
    </row>
    <row r="1239" spans="1:2" x14ac:dyDescent="0.35">
      <c r="A1239" s="18">
        <v>1200</v>
      </c>
      <c r="B1239" s="19"/>
    </row>
    <row r="1240" spans="1:2" x14ac:dyDescent="0.35">
      <c r="A1240" s="18">
        <v>1201</v>
      </c>
      <c r="B1240" s="19"/>
    </row>
    <row r="1241" spans="1:2" x14ac:dyDescent="0.35">
      <c r="A1241" s="18">
        <v>1202</v>
      </c>
      <c r="B1241" s="19"/>
    </row>
    <row r="1242" spans="1:2" x14ac:dyDescent="0.35">
      <c r="A1242" s="18">
        <v>1203</v>
      </c>
      <c r="B1242" s="19"/>
    </row>
    <row r="1243" spans="1:2" x14ac:dyDescent="0.35">
      <c r="A1243" s="18">
        <v>1204</v>
      </c>
      <c r="B1243" s="19"/>
    </row>
    <row r="1244" spans="1:2" x14ac:dyDescent="0.35">
      <c r="A1244" s="18">
        <v>1205</v>
      </c>
      <c r="B1244" s="19"/>
    </row>
    <row r="1245" spans="1:2" x14ac:dyDescent="0.35">
      <c r="A1245" s="18">
        <v>1206</v>
      </c>
      <c r="B1245" s="19"/>
    </row>
    <row r="1246" spans="1:2" x14ac:dyDescent="0.35">
      <c r="A1246" s="18">
        <v>1207</v>
      </c>
      <c r="B1246" s="19"/>
    </row>
    <row r="1247" spans="1:2" x14ac:dyDescent="0.35">
      <c r="A1247" s="18">
        <v>1208</v>
      </c>
      <c r="B1247" s="19"/>
    </row>
    <row r="1248" spans="1:2" x14ac:dyDescent="0.35">
      <c r="A1248" s="18">
        <v>1209</v>
      </c>
      <c r="B1248" s="19"/>
    </row>
    <row r="1249" spans="1:2" x14ac:dyDescent="0.35">
      <c r="A1249" s="18">
        <v>1210</v>
      </c>
      <c r="B1249" s="19"/>
    </row>
    <row r="1250" spans="1:2" x14ac:dyDescent="0.35">
      <c r="A1250" s="18">
        <v>1211</v>
      </c>
      <c r="B1250" s="19"/>
    </row>
    <row r="1251" spans="1:2" x14ac:dyDescent="0.35">
      <c r="A1251" s="18">
        <v>1212</v>
      </c>
      <c r="B1251" s="19"/>
    </row>
    <row r="1252" spans="1:2" x14ac:dyDescent="0.35">
      <c r="A1252" s="18">
        <v>1213</v>
      </c>
      <c r="B1252" s="19"/>
    </row>
    <row r="1253" spans="1:2" x14ac:dyDescent="0.35">
      <c r="A1253" s="18">
        <v>1214</v>
      </c>
      <c r="B1253" s="19"/>
    </row>
    <row r="1254" spans="1:2" x14ac:dyDescent="0.35">
      <c r="A1254" s="18">
        <v>1215</v>
      </c>
      <c r="B1254" s="19"/>
    </row>
    <row r="1255" spans="1:2" x14ac:dyDescent="0.35">
      <c r="A1255" s="18">
        <v>1216</v>
      </c>
      <c r="B1255" s="19"/>
    </row>
    <row r="1256" spans="1:2" x14ac:dyDescent="0.35">
      <c r="A1256" s="18">
        <v>1217</v>
      </c>
      <c r="B1256" s="19"/>
    </row>
    <row r="1257" spans="1:2" x14ac:dyDescent="0.35">
      <c r="A1257" s="18">
        <v>1218</v>
      </c>
      <c r="B1257" s="19"/>
    </row>
    <row r="1258" spans="1:2" x14ac:dyDescent="0.35">
      <c r="A1258" s="18">
        <v>1219</v>
      </c>
      <c r="B1258" s="19"/>
    </row>
    <row r="1259" spans="1:2" x14ac:dyDescent="0.35">
      <c r="A1259" s="18">
        <v>1220</v>
      </c>
      <c r="B1259" s="19"/>
    </row>
    <row r="1260" spans="1:2" x14ac:dyDescent="0.35">
      <c r="A1260" s="18">
        <v>1221</v>
      </c>
      <c r="B1260" s="19"/>
    </row>
    <row r="1261" spans="1:2" x14ac:dyDescent="0.35">
      <c r="A1261" s="18">
        <v>1222</v>
      </c>
      <c r="B1261" s="19"/>
    </row>
    <row r="1262" spans="1:2" x14ac:dyDescent="0.35">
      <c r="A1262" s="18">
        <v>1223</v>
      </c>
      <c r="B1262" s="19"/>
    </row>
    <row r="1263" spans="1:2" x14ac:dyDescent="0.35">
      <c r="A1263" s="18">
        <v>1224</v>
      </c>
      <c r="B1263" s="19"/>
    </row>
    <row r="1264" spans="1:2" x14ac:dyDescent="0.35">
      <c r="A1264" s="18">
        <v>1225</v>
      </c>
      <c r="B1264" s="19"/>
    </row>
    <row r="1265" spans="1:2" x14ac:dyDescent="0.35">
      <c r="A1265" s="18">
        <v>1226</v>
      </c>
      <c r="B1265" s="19"/>
    </row>
    <row r="1266" spans="1:2" x14ac:dyDescent="0.35">
      <c r="A1266" s="18">
        <v>1227</v>
      </c>
      <c r="B1266" s="19"/>
    </row>
    <row r="1267" spans="1:2" x14ac:dyDescent="0.35">
      <c r="A1267" s="18">
        <v>1228</v>
      </c>
      <c r="B1267" s="19"/>
    </row>
    <row r="1268" spans="1:2" x14ac:dyDescent="0.35">
      <c r="A1268" s="18">
        <v>1229</v>
      </c>
      <c r="B1268" s="19"/>
    </row>
    <row r="1269" spans="1:2" x14ac:dyDescent="0.35">
      <c r="A1269" s="18">
        <v>1230</v>
      </c>
      <c r="B1269" s="19"/>
    </row>
    <row r="1270" spans="1:2" x14ac:dyDescent="0.35">
      <c r="A1270" s="18">
        <v>1231</v>
      </c>
      <c r="B1270" s="19"/>
    </row>
    <row r="1271" spans="1:2" x14ac:dyDescent="0.35">
      <c r="A1271" s="18">
        <v>1232</v>
      </c>
      <c r="B1271" s="19"/>
    </row>
    <row r="1272" spans="1:2" x14ac:dyDescent="0.35">
      <c r="A1272" s="18">
        <v>1233</v>
      </c>
      <c r="B1272" s="19"/>
    </row>
    <row r="1273" spans="1:2" x14ac:dyDescent="0.35">
      <c r="A1273" s="18">
        <v>1234</v>
      </c>
      <c r="B1273" s="19"/>
    </row>
    <row r="1274" spans="1:2" x14ac:dyDescent="0.35">
      <c r="A1274" s="18">
        <v>1235</v>
      </c>
      <c r="B1274" s="19"/>
    </row>
    <row r="1275" spans="1:2" x14ac:dyDescent="0.35">
      <c r="A1275" s="18">
        <v>1236</v>
      </c>
      <c r="B1275" s="19"/>
    </row>
    <row r="1276" spans="1:2" x14ac:dyDescent="0.35">
      <c r="A1276" s="18">
        <v>1237</v>
      </c>
      <c r="B1276" s="19"/>
    </row>
    <row r="1277" spans="1:2" x14ac:dyDescent="0.35">
      <c r="A1277" s="18">
        <v>1238</v>
      </c>
      <c r="B1277" s="19"/>
    </row>
    <row r="1278" spans="1:2" x14ac:dyDescent="0.35">
      <c r="A1278" s="18">
        <v>1239</v>
      </c>
      <c r="B1278" s="19"/>
    </row>
    <row r="1279" spans="1:2" x14ac:dyDescent="0.35">
      <c r="A1279" s="18">
        <v>1240</v>
      </c>
      <c r="B1279" s="19"/>
    </row>
    <row r="1280" spans="1:2" x14ac:dyDescent="0.35">
      <c r="A1280" s="18">
        <v>1241</v>
      </c>
      <c r="B1280" s="19"/>
    </row>
    <row r="1281" spans="1:2" x14ac:dyDescent="0.35">
      <c r="A1281" s="18">
        <v>1242</v>
      </c>
      <c r="B1281" s="19"/>
    </row>
    <row r="1282" spans="1:2" x14ac:dyDescent="0.35">
      <c r="A1282" s="18">
        <v>1243</v>
      </c>
      <c r="B1282" s="19"/>
    </row>
    <row r="1283" spans="1:2" x14ac:dyDescent="0.35">
      <c r="A1283" s="18">
        <v>1244</v>
      </c>
      <c r="B1283" s="19"/>
    </row>
    <row r="1284" spans="1:2" x14ac:dyDescent="0.35">
      <c r="A1284" s="18">
        <v>1245</v>
      </c>
      <c r="B1284" s="19"/>
    </row>
    <row r="1285" spans="1:2" x14ac:dyDescent="0.35">
      <c r="A1285" s="18">
        <v>1246</v>
      </c>
      <c r="B1285" s="19"/>
    </row>
    <row r="1286" spans="1:2" x14ac:dyDescent="0.35">
      <c r="A1286" s="18">
        <v>1247</v>
      </c>
      <c r="B1286" s="19"/>
    </row>
    <row r="1287" spans="1:2" x14ac:dyDescent="0.35">
      <c r="A1287" s="18">
        <v>1248</v>
      </c>
      <c r="B1287" s="19"/>
    </row>
    <row r="1288" spans="1:2" x14ac:dyDescent="0.35">
      <c r="A1288" s="18">
        <v>1249</v>
      </c>
      <c r="B1288" s="19"/>
    </row>
    <row r="1289" spans="1:2" x14ac:dyDescent="0.35">
      <c r="A1289" s="18">
        <v>1250</v>
      </c>
      <c r="B1289" s="19"/>
    </row>
    <row r="1290" spans="1:2" x14ac:dyDescent="0.35">
      <c r="A1290" s="18">
        <v>1251</v>
      </c>
      <c r="B1290" s="19"/>
    </row>
    <row r="1291" spans="1:2" x14ac:dyDescent="0.35">
      <c r="A1291" s="18">
        <v>1252</v>
      </c>
      <c r="B1291" s="19"/>
    </row>
    <row r="1292" spans="1:2" x14ac:dyDescent="0.35">
      <c r="A1292" s="18">
        <v>1253</v>
      </c>
      <c r="B1292" s="19"/>
    </row>
    <row r="1293" spans="1:2" x14ac:dyDescent="0.35">
      <c r="A1293" s="18">
        <v>1254</v>
      </c>
      <c r="B1293" s="19"/>
    </row>
    <row r="1294" spans="1:2" x14ac:dyDescent="0.35">
      <c r="A1294" s="18">
        <v>1255</v>
      </c>
      <c r="B1294" s="19"/>
    </row>
    <row r="1295" spans="1:2" x14ac:dyDescent="0.35">
      <c r="A1295" s="18">
        <v>1256</v>
      </c>
      <c r="B1295" s="19"/>
    </row>
    <row r="1296" spans="1:2" x14ac:dyDescent="0.35">
      <c r="A1296" s="18">
        <v>1257</v>
      </c>
      <c r="B1296" s="19"/>
    </row>
    <row r="1297" spans="1:2" x14ac:dyDescent="0.35">
      <c r="A1297" s="18">
        <v>1258</v>
      </c>
      <c r="B1297" s="19"/>
    </row>
    <row r="1298" spans="1:2" x14ac:dyDescent="0.35">
      <c r="A1298" s="18">
        <v>1259</v>
      </c>
      <c r="B1298" s="19"/>
    </row>
    <row r="1299" spans="1:2" x14ac:dyDescent="0.35">
      <c r="A1299" s="18">
        <v>1260</v>
      </c>
      <c r="B1299" s="19"/>
    </row>
    <row r="1300" spans="1:2" x14ac:dyDescent="0.35">
      <c r="A1300" s="18">
        <v>1261</v>
      </c>
      <c r="B1300" s="19"/>
    </row>
    <row r="1301" spans="1:2" x14ac:dyDescent="0.35">
      <c r="A1301" s="18">
        <v>1262</v>
      </c>
      <c r="B1301" s="19"/>
    </row>
    <row r="1302" spans="1:2" x14ac:dyDescent="0.35">
      <c r="A1302" s="18">
        <v>1263</v>
      </c>
      <c r="B1302" s="19"/>
    </row>
    <row r="1303" spans="1:2" x14ac:dyDescent="0.35">
      <c r="A1303" s="18">
        <v>1264</v>
      </c>
      <c r="B1303" s="19"/>
    </row>
    <row r="1304" spans="1:2" x14ac:dyDescent="0.35">
      <c r="A1304" s="18">
        <v>1265</v>
      </c>
      <c r="B1304" s="19"/>
    </row>
    <row r="1305" spans="1:2" x14ac:dyDescent="0.35">
      <c r="A1305" s="18">
        <v>1266</v>
      </c>
      <c r="B1305" s="19"/>
    </row>
    <row r="1306" spans="1:2" x14ac:dyDescent="0.35">
      <c r="A1306" s="18">
        <v>1267</v>
      </c>
      <c r="B1306" s="19"/>
    </row>
    <row r="1307" spans="1:2" x14ac:dyDescent="0.35">
      <c r="A1307" s="18">
        <v>1268</v>
      </c>
      <c r="B1307" s="19"/>
    </row>
    <row r="1308" spans="1:2" x14ac:dyDescent="0.35">
      <c r="A1308" s="18">
        <v>1269</v>
      </c>
      <c r="B1308" s="19"/>
    </row>
    <row r="1309" spans="1:2" x14ac:dyDescent="0.35">
      <c r="A1309" s="18">
        <v>1270</v>
      </c>
      <c r="B1309" s="19"/>
    </row>
    <row r="1310" spans="1:2" x14ac:dyDescent="0.35">
      <c r="A1310" s="18">
        <v>1271</v>
      </c>
      <c r="B1310" s="19"/>
    </row>
    <row r="1311" spans="1:2" x14ac:dyDescent="0.35">
      <c r="A1311" s="18">
        <v>1272</v>
      </c>
      <c r="B1311" s="19"/>
    </row>
    <row r="1312" spans="1:2" x14ac:dyDescent="0.35">
      <c r="A1312" s="18">
        <v>1273</v>
      </c>
      <c r="B1312" s="19"/>
    </row>
    <row r="1313" spans="1:2" x14ac:dyDescent="0.35">
      <c r="A1313" s="18">
        <v>1274</v>
      </c>
      <c r="B1313" s="19"/>
    </row>
    <row r="1314" spans="1:2" x14ac:dyDescent="0.35">
      <c r="A1314" s="18">
        <v>1275</v>
      </c>
      <c r="B1314" s="19"/>
    </row>
    <row r="1315" spans="1:2" x14ac:dyDescent="0.35">
      <c r="A1315" s="18">
        <v>1276</v>
      </c>
      <c r="B1315" s="19"/>
    </row>
    <row r="1316" spans="1:2" x14ac:dyDescent="0.35">
      <c r="A1316" s="18">
        <v>1277</v>
      </c>
      <c r="B1316" s="19"/>
    </row>
    <row r="1317" spans="1:2" x14ac:dyDescent="0.35">
      <c r="A1317" s="18">
        <v>1278</v>
      </c>
      <c r="B1317" s="19"/>
    </row>
    <row r="1318" spans="1:2" x14ac:dyDescent="0.35">
      <c r="A1318" s="18">
        <v>1279</v>
      </c>
      <c r="B1318" s="19"/>
    </row>
    <row r="1319" spans="1:2" x14ac:dyDescent="0.35">
      <c r="A1319" s="18">
        <v>1280</v>
      </c>
      <c r="B1319" s="19"/>
    </row>
    <row r="1320" spans="1:2" x14ac:dyDescent="0.35">
      <c r="A1320" s="18">
        <v>1281</v>
      </c>
      <c r="B1320" s="19"/>
    </row>
    <row r="1321" spans="1:2" x14ac:dyDescent="0.35">
      <c r="A1321" s="18">
        <v>1282</v>
      </c>
      <c r="B1321" s="19"/>
    </row>
    <row r="1322" spans="1:2" x14ac:dyDescent="0.35">
      <c r="A1322" s="18">
        <v>1283</v>
      </c>
      <c r="B1322" s="19"/>
    </row>
    <row r="1323" spans="1:2" x14ac:dyDescent="0.35">
      <c r="A1323" s="18">
        <v>1284</v>
      </c>
      <c r="B1323" s="19"/>
    </row>
    <row r="1324" spans="1:2" x14ac:dyDescent="0.35">
      <c r="A1324" s="18">
        <v>1285</v>
      </c>
      <c r="B1324" s="19"/>
    </row>
    <row r="1325" spans="1:2" x14ac:dyDescent="0.35">
      <c r="A1325" s="18">
        <v>1286</v>
      </c>
      <c r="B1325" s="19"/>
    </row>
    <row r="1326" spans="1:2" x14ac:dyDescent="0.35">
      <c r="A1326" s="18">
        <v>1287</v>
      </c>
      <c r="B1326" s="19"/>
    </row>
    <row r="1327" spans="1:2" x14ac:dyDescent="0.35">
      <c r="A1327" s="18">
        <v>1288</v>
      </c>
      <c r="B1327" s="19"/>
    </row>
    <row r="1328" spans="1:2" x14ac:dyDescent="0.35">
      <c r="A1328" s="18">
        <v>1289</v>
      </c>
      <c r="B1328" s="19"/>
    </row>
    <row r="1329" spans="1:2" x14ac:dyDescent="0.35">
      <c r="A1329" s="18">
        <v>1290</v>
      </c>
      <c r="B1329" s="19"/>
    </row>
    <row r="1330" spans="1:2" x14ac:dyDescent="0.35">
      <c r="A1330" s="18">
        <v>1291</v>
      </c>
      <c r="B1330" s="19"/>
    </row>
    <row r="1331" spans="1:2" x14ac:dyDescent="0.35">
      <c r="A1331" s="18">
        <v>1292</v>
      </c>
      <c r="B1331" s="19"/>
    </row>
    <row r="1332" spans="1:2" x14ac:dyDescent="0.35">
      <c r="A1332" s="18">
        <v>1293</v>
      </c>
      <c r="B1332" s="19"/>
    </row>
    <row r="1333" spans="1:2" x14ac:dyDescent="0.35">
      <c r="A1333" s="18">
        <v>1294</v>
      </c>
      <c r="B1333" s="19"/>
    </row>
    <row r="1334" spans="1:2" x14ac:dyDescent="0.35">
      <c r="A1334" s="18">
        <v>1295</v>
      </c>
      <c r="B1334" s="19"/>
    </row>
    <row r="1335" spans="1:2" x14ac:dyDescent="0.35">
      <c r="A1335" s="18">
        <v>1296</v>
      </c>
      <c r="B1335" s="19"/>
    </row>
    <row r="1336" spans="1:2" x14ac:dyDescent="0.35">
      <c r="A1336" s="18">
        <v>1297</v>
      </c>
      <c r="B1336" s="19"/>
    </row>
    <row r="1337" spans="1:2" x14ac:dyDescent="0.35">
      <c r="A1337" s="18">
        <v>1298</v>
      </c>
      <c r="B1337" s="19"/>
    </row>
    <row r="1338" spans="1:2" x14ac:dyDescent="0.35">
      <c r="A1338" s="18">
        <v>1299</v>
      </c>
      <c r="B1338" s="19"/>
    </row>
    <row r="1339" spans="1:2" x14ac:dyDescent="0.35">
      <c r="A1339" s="18">
        <v>1300</v>
      </c>
      <c r="B1339" s="19"/>
    </row>
    <row r="1340" spans="1:2" x14ac:dyDescent="0.35">
      <c r="A1340" s="18">
        <v>1301</v>
      </c>
      <c r="B1340" s="19"/>
    </row>
    <row r="1341" spans="1:2" x14ac:dyDescent="0.35">
      <c r="A1341" s="18">
        <v>1302</v>
      </c>
      <c r="B1341" s="19"/>
    </row>
    <row r="1342" spans="1:2" x14ac:dyDescent="0.35">
      <c r="A1342" s="18">
        <v>1303</v>
      </c>
      <c r="B1342" s="19"/>
    </row>
    <row r="1343" spans="1:2" x14ac:dyDescent="0.35">
      <c r="A1343" s="18">
        <v>1304</v>
      </c>
      <c r="B1343" s="19"/>
    </row>
    <row r="1344" spans="1:2" x14ac:dyDescent="0.35">
      <c r="A1344" s="18">
        <v>1305</v>
      </c>
      <c r="B1344" s="19"/>
    </row>
    <row r="1345" spans="1:2" x14ac:dyDescent="0.35">
      <c r="A1345" s="18">
        <v>1306</v>
      </c>
      <c r="B1345" s="19"/>
    </row>
    <row r="1346" spans="1:2" x14ac:dyDescent="0.35">
      <c r="A1346" s="18">
        <v>1307</v>
      </c>
      <c r="B1346" s="19"/>
    </row>
    <row r="1347" spans="1:2" x14ac:dyDescent="0.35">
      <c r="A1347" s="18">
        <v>1308</v>
      </c>
      <c r="B1347" s="19"/>
    </row>
    <row r="1348" spans="1:2" x14ac:dyDescent="0.35">
      <c r="A1348" s="18">
        <v>1309</v>
      </c>
      <c r="B1348" s="19"/>
    </row>
    <row r="1349" spans="1:2" x14ac:dyDescent="0.35">
      <c r="A1349" s="18">
        <v>1310</v>
      </c>
      <c r="B1349" s="19"/>
    </row>
    <row r="1350" spans="1:2" x14ac:dyDescent="0.35">
      <c r="A1350" s="18">
        <v>1311</v>
      </c>
      <c r="B1350" s="19"/>
    </row>
    <row r="1351" spans="1:2" x14ac:dyDescent="0.35">
      <c r="A1351" s="18">
        <v>1312</v>
      </c>
      <c r="B1351" s="19"/>
    </row>
    <row r="1352" spans="1:2" x14ac:dyDescent="0.35">
      <c r="A1352" s="18">
        <v>1313</v>
      </c>
      <c r="B1352" s="19"/>
    </row>
    <row r="1353" spans="1:2" x14ac:dyDescent="0.35">
      <c r="A1353" s="18">
        <v>1314</v>
      </c>
      <c r="B1353" s="19"/>
    </row>
    <row r="1354" spans="1:2" x14ac:dyDescent="0.35">
      <c r="A1354" s="18">
        <v>1315</v>
      </c>
      <c r="B1354" s="19"/>
    </row>
    <row r="1355" spans="1:2" x14ac:dyDescent="0.35">
      <c r="A1355" s="18">
        <v>1316</v>
      </c>
      <c r="B1355" s="19"/>
    </row>
    <row r="1356" spans="1:2" x14ac:dyDescent="0.35">
      <c r="A1356" s="18">
        <v>1317</v>
      </c>
      <c r="B1356" s="19"/>
    </row>
    <row r="1357" spans="1:2" x14ac:dyDescent="0.35">
      <c r="A1357" s="18">
        <v>1318</v>
      </c>
      <c r="B1357" s="19"/>
    </row>
    <row r="1358" spans="1:2" x14ac:dyDescent="0.35">
      <c r="A1358" s="18">
        <v>1319</v>
      </c>
      <c r="B1358" s="19"/>
    </row>
    <row r="1359" spans="1:2" x14ac:dyDescent="0.35">
      <c r="A1359" s="18">
        <v>1320</v>
      </c>
      <c r="B1359" s="19"/>
    </row>
    <row r="1360" spans="1:2" x14ac:dyDescent="0.35">
      <c r="A1360" s="18">
        <v>1321</v>
      </c>
      <c r="B1360" s="19"/>
    </row>
    <row r="1361" spans="1:2" x14ac:dyDescent="0.35">
      <c r="A1361" s="18">
        <v>1322</v>
      </c>
      <c r="B1361" s="19"/>
    </row>
    <row r="1362" spans="1:2" x14ac:dyDescent="0.35">
      <c r="A1362" s="18">
        <v>1323</v>
      </c>
      <c r="B1362" s="19"/>
    </row>
    <row r="1363" spans="1:2" x14ac:dyDescent="0.35">
      <c r="A1363" s="18">
        <v>1324</v>
      </c>
      <c r="B1363" s="19"/>
    </row>
    <row r="1364" spans="1:2" x14ac:dyDescent="0.35">
      <c r="A1364" s="18">
        <v>1325</v>
      </c>
      <c r="B1364" s="19"/>
    </row>
    <row r="1365" spans="1:2" x14ac:dyDescent="0.35">
      <c r="A1365" s="18">
        <v>1326</v>
      </c>
      <c r="B1365" s="19"/>
    </row>
    <row r="1366" spans="1:2" x14ac:dyDescent="0.35">
      <c r="A1366" s="18">
        <v>1327</v>
      </c>
      <c r="B1366" s="19"/>
    </row>
    <row r="1367" spans="1:2" x14ac:dyDescent="0.35">
      <c r="A1367" s="18">
        <v>1328</v>
      </c>
      <c r="B1367" s="19"/>
    </row>
    <row r="1368" spans="1:2" x14ac:dyDescent="0.35">
      <c r="A1368" s="18">
        <v>1329</v>
      </c>
      <c r="B1368" s="19"/>
    </row>
    <row r="1369" spans="1:2" x14ac:dyDescent="0.35">
      <c r="A1369" s="18">
        <v>1330</v>
      </c>
      <c r="B1369" s="19"/>
    </row>
    <row r="1370" spans="1:2" x14ac:dyDescent="0.35">
      <c r="A1370" s="18">
        <v>1331</v>
      </c>
      <c r="B1370" s="19"/>
    </row>
    <row r="1371" spans="1:2" x14ac:dyDescent="0.35">
      <c r="A1371" s="18">
        <v>1332</v>
      </c>
      <c r="B1371" s="19"/>
    </row>
    <row r="1372" spans="1:2" x14ac:dyDescent="0.35">
      <c r="A1372" s="18">
        <v>1333</v>
      </c>
      <c r="B1372" s="19"/>
    </row>
    <row r="1373" spans="1:2" x14ac:dyDescent="0.35">
      <c r="A1373" s="18">
        <v>1334</v>
      </c>
      <c r="B1373" s="19"/>
    </row>
    <row r="1374" spans="1:2" x14ac:dyDescent="0.35">
      <c r="A1374" s="18">
        <v>1335</v>
      </c>
      <c r="B1374" s="19"/>
    </row>
    <row r="1375" spans="1:2" x14ac:dyDescent="0.35">
      <c r="A1375" s="18">
        <v>1336</v>
      </c>
      <c r="B1375" s="19"/>
    </row>
    <row r="1376" spans="1:2" x14ac:dyDescent="0.35">
      <c r="A1376" s="18">
        <v>1337</v>
      </c>
      <c r="B1376" s="19"/>
    </row>
    <row r="1377" spans="1:2" x14ac:dyDescent="0.35">
      <c r="A1377" s="18">
        <v>1338</v>
      </c>
      <c r="B1377" s="19"/>
    </row>
    <row r="1378" spans="1:2" x14ac:dyDescent="0.35">
      <c r="A1378" s="18">
        <v>1339</v>
      </c>
      <c r="B1378" s="19"/>
    </row>
    <row r="1379" spans="1:2" x14ac:dyDescent="0.35">
      <c r="A1379" s="18">
        <v>1340</v>
      </c>
      <c r="B1379" s="19"/>
    </row>
    <row r="1380" spans="1:2" x14ac:dyDescent="0.35">
      <c r="A1380" s="18">
        <v>1341</v>
      </c>
      <c r="B1380" s="19"/>
    </row>
    <row r="1381" spans="1:2" x14ac:dyDescent="0.35">
      <c r="A1381" s="18">
        <v>1342</v>
      </c>
      <c r="B1381" s="19"/>
    </row>
    <row r="1382" spans="1:2" x14ac:dyDescent="0.35">
      <c r="A1382" s="18">
        <v>1343</v>
      </c>
      <c r="B1382" s="19"/>
    </row>
    <row r="1383" spans="1:2" x14ac:dyDescent="0.35">
      <c r="A1383" s="18">
        <v>1344</v>
      </c>
      <c r="B1383" s="19"/>
    </row>
    <row r="1384" spans="1:2" x14ac:dyDescent="0.35">
      <c r="A1384" s="18">
        <v>1345</v>
      </c>
      <c r="B1384" s="19"/>
    </row>
    <row r="1385" spans="1:2" x14ac:dyDescent="0.35">
      <c r="A1385" s="18">
        <v>1346</v>
      </c>
      <c r="B1385" s="19"/>
    </row>
    <row r="1386" spans="1:2" x14ac:dyDescent="0.35">
      <c r="A1386" s="18">
        <v>1347</v>
      </c>
      <c r="B1386" s="19"/>
    </row>
    <row r="1387" spans="1:2" x14ac:dyDescent="0.35">
      <c r="A1387" s="18">
        <v>1348</v>
      </c>
      <c r="B1387" s="19"/>
    </row>
    <row r="1388" spans="1:2" x14ac:dyDescent="0.35">
      <c r="A1388" s="18">
        <v>1349</v>
      </c>
      <c r="B1388" s="19"/>
    </row>
    <row r="1389" spans="1:2" x14ac:dyDescent="0.35">
      <c r="A1389" s="18">
        <v>1350</v>
      </c>
      <c r="B1389" s="19"/>
    </row>
    <row r="1390" spans="1:2" x14ac:dyDescent="0.35">
      <c r="A1390" s="18">
        <v>1351</v>
      </c>
      <c r="B1390" s="19"/>
    </row>
    <row r="1391" spans="1:2" x14ac:dyDescent="0.35">
      <c r="A1391" s="18">
        <v>1352</v>
      </c>
      <c r="B1391" s="19"/>
    </row>
    <row r="1392" spans="1:2" x14ac:dyDescent="0.35">
      <c r="A1392" s="18">
        <v>1353</v>
      </c>
      <c r="B1392" s="19"/>
    </row>
    <row r="1393" spans="1:2" x14ac:dyDescent="0.35">
      <c r="A1393" s="18">
        <v>1354</v>
      </c>
      <c r="B1393" s="19"/>
    </row>
    <row r="1394" spans="1:2" x14ac:dyDescent="0.35">
      <c r="A1394" s="18">
        <v>1355</v>
      </c>
      <c r="B1394" s="19"/>
    </row>
    <row r="1395" spans="1:2" x14ac:dyDescent="0.35">
      <c r="A1395" s="18">
        <v>1356</v>
      </c>
      <c r="B1395" s="19"/>
    </row>
    <row r="1396" spans="1:2" x14ac:dyDescent="0.35">
      <c r="A1396" s="18">
        <v>1357</v>
      </c>
      <c r="B1396" s="19"/>
    </row>
    <row r="1397" spans="1:2" x14ac:dyDescent="0.35">
      <c r="A1397" s="18">
        <v>1358</v>
      </c>
      <c r="B1397" s="19"/>
    </row>
    <row r="1398" spans="1:2" x14ac:dyDescent="0.35">
      <c r="A1398" s="18">
        <v>1359</v>
      </c>
      <c r="B1398" s="19"/>
    </row>
    <row r="1399" spans="1:2" x14ac:dyDescent="0.35">
      <c r="A1399" s="18">
        <v>1360</v>
      </c>
      <c r="B1399" s="19"/>
    </row>
    <row r="1400" spans="1:2" x14ac:dyDescent="0.35">
      <c r="A1400" s="18">
        <v>1361</v>
      </c>
      <c r="B1400" s="19"/>
    </row>
    <row r="1401" spans="1:2" x14ac:dyDescent="0.35">
      <c r="A1401" s="18">
        <v>1362</v>
      </c>
      <c r="B1401" s="19"/>
    </row>
    <row r="1402" spans="1:2" x14ac:dyDescent="0.35">
      <c r="A1402" s="18">
        <v>1363</v>
      </c>
      <c r="B1402" s="19"/>
    </row>
    <row r="1403" spans="1:2" x14ac:dyDescent="0.35">
      <c r="A1403" s="18">
        <v>1364</v>
      </c>
      <c r="B1403" s="19"/>
    </row>
    <row r="1404" spans="1:2" x14ac:dyDescent="0.35">
      <c r="A1404" s="18">
        <v>1365</v>
      </c>
      <c r="B1404" s="19"/>
    </row>
    <row r="1405" spans="1:2" x14ac:dyDescent="0.35">
      <c r="A1405" s="18">
        <v>1366</v>
      </c>
      <c r="B1405" s="19"/>
    </row>
    <row r="1406" spans="1:2" x14ac:dyDescent="0.35">
      <c r="A1406" s="18">
        <v>1367</v>
      </c>
      <c r="B1406" s="19"/>
    </row>
    <row r="1407" spans="1:2" x14ac:dyDescent="0.35">
      <c r="A1407" s="18">
        <v>1368</v>
      </c>
      <c r="B1407" s="19"/>
    </row>
    <row r="1408" spans="1:2" x14ac:dyDescent="0.35">
      <c r="A1408" s="18">
        <v>1369</v>
      </c>
      <c r="B1408" s="19"/>
    </row>
    <row r="1409" spans="1:2" x14ac:dyDescent="0.35">
      <c r="A1409" s="18">
        <v>1370</v>
      </c>
      <c r="B1409" s="19"/>
    </row>
    <row r="1410" spans="1:2" x14ac:dyDescent="0.35">
      <c r="A1410" s="18">
        <v>1371</v>
      </c>
      <c r="B1410" s="19"/>
    </row>
    <row r="1411" spans="1:2" x14ac:dyDescent="0.35">
      <c r="A1411" s="18">
        <v>1372</v>
      </c>
      <c r="B1411" s="19"/>
    </row>
    <row r="1412" spans="1:2" x14ac:dyDescent="0.35">
      <c r="A1412" s="18">
        <v>1373</v>
      </c>
      <c r="B1412" s="19"/>
    </row>
    <row r="1413" spans="1:2" x14ac:dyDescent="0.35">
      <c r="A1413" s="18">
        <v>1374</v>
      </c>
      <c r="B1413" s="19"/>
    </row>
    <row r="1414" spans="1:2" x14ac:dyDescent="0.35">
      <c r="A1414" s="18">
        <v>1375</v>
      </c>
      <c r="B1414" s="19"/>
    </row>
    <row r="1415" spans="1:2" x14ac:dyDescent="0.35">
      <c r="A1415" s="18">
        <v>1376</v>
      </c>
      <c r="B1415" s="19"/>
    </row>
    <row r="1416" spans="1:2" x14ac:dyDescent="0.35">
      <c r="A1416" s="18">
        <v>1377</v>
      </c>
      <c r="B1416" s="19"/>
    </row>
    <row r="1417" spans="1:2" x14ac:dyDescent="0.35">
      <c r="A1417" s="18">
        <v>1378</v>
      </c>
      <c r="B1417" s="19"/>
    </row>
    <row r="1418" spans="1:2" x14ac:dyDescent="0.35">
      <c r="A1418" s="18">
        <v>1379</v>
      </c>
      <c r="B1418" s="19"/>
    </row>
    <row r="1419" spans="1:2" x14ac:dyDescent="0.35">
      <c r="A1419" s="18">
        <v>1380</v>
      </c>
      <c r="B1419" s="19"/>
    </row>
    <row r="1420" spans="1:2" x14ac:dyDescent="0.35">
      <c r="A1420" s="18">
        <v>1381</v>
      </c>
      <c r="B1420" s="19"/>
    </row>
    <row r="1421" spans="1:2" x14ac:dyDescent="0.35">
      <c r="A1421" s="18">
        <v>1382</v>
      </c>
      <c r="B1421" s="19"/>
    </row>
    <row r="1422" spans="1:2" x14ac:dyDescent="0.35">
      <c r="A1422" s="18">
        <v>1383</v>
      </c>
      <c r="B1422" s="19"/>
    </row>
    <row r="1423" spans="1:2" x14ac:dyDescent="0.35">
      <c r="A1423" s="18">
        <v>1384</v>
      </c>
      <c r="B1423" s="19"/>
    </row>
    <row r="1424" spans="1:2" x14ac:dyDescent="0.35">
      <c r="A1424" s="18">
        <v>1385</v>
      </c>
      <c r="B1424" s="19"/>
    </row>
    <row r="1425" spans="1:2" x14ac:dyDescent="0.35">
      <c r="A1425" s="18">
        <v>1386</v>
      </c>
      <c r="B1425" s="19"/>
    </row>
    <row r="1426" spans="1:2" x14ac:dyDescent="0.35">
      <c r="A1426" s="18">
        <v>1387</v>
      </c>
      <c r="B1426" s="19"/>
    </row>
    <row r="1427" spans="1:2" x14ac:dyDescent="0.35">
      <c r="A1427" s="18">
        <v>1388</v>
      </c>
      <c r="B1427" s="19"/>
    </row>
    <row r="1428" spans="1:2" x14ac:dyDescent="0.35">
      <c r="A1428" s="18">
        <v>1389</v>
      </c>
      <c r="B1428" s="19"/>
    </row>
    <row r="1429" spans="1:2" x14ac:dyDescent="0.35">
      <c r="A1429" s="18">
        <v>1390</v>
      </c>
      <c r="B1429" s="19"/>
    </row>
    <row r="1430" spans="1:2" x14ac:dyDescent="0.35">
      <c r="A1430" s="18">
        <v>1391</v>
      </c>
      <c r="B1430" s="19"/>
    </row>
    <row r="1431" spans="1:2" x14ac:dyDescent="0.35">
      <c r="A1431" s="18">
        <v>1392</v>
      </c>
      <c r="B1431" s="19"/>
    </row>
    <row r="1432" spans="1:2" x14ac:dyDescent="0.35">
      <c r="A1432" s="18">
        <v>1393</v>
      </c>
      <c r="B1432" s="19"/>
    </row>
    <row r="1433" spans="1:2" x14ac:dyDescent="0.35">
      <c r="A1433" s="18">
        <v>1394</v>
      </c>
      <c r="B1433" s="19"/>
    </row>
    <row r="1434" spans="1:2" x14ac:dyDescent="0.35">
      <c r="A1434" s="18">
        <v>1395</v>
      </c>
      <c r="B1434" s="19"/>
    </row>
    <row r="1435" spans="1:2" x14ac:dyDescent="0.35">
      <c r="A1435" s="18">
        <v>1396</v>
      </c>
      <c r="B1435" s="19"/>
    </row>
    <row r="1436" spans="1:2" x14ac:dyDescent="0.35">
      <c r="A1436" s="18">
        <v>1397</v>
      </c>
      <c r="B1436" s="19"/>
    </row>
    <row r="1437" spans="1:2" x14ac:dyDescent="0.35">
      <c r="A1437" s="18">
        <v>1398</v>
      </c>
      <c r="B1437" s="19"/>
    </row>
    <row r="1438" spans="1:2" x14ac:dyDescent="0.35">
      <c r="A1438" s="18">
        <v>1399</v>
      </c>
      <c r="B1438" s="19"/>
    </row>
    <row r="1439" spans="1:2" x14ac:dyDescent="0.35">
      <c r="A1439" s="18">
        <v>1400</v>
      </c>
      <c r="B1439" s="19"/>
    </row>
    <row r="1440" spans="1:2" x14ac:dyDescent="0.35">
      <c r="A1440" s="18">
        <v>1401</v>
      </c>
      <c r="B1440" s="19"/>
    </row>
    <row r="1441" spans="1:2" x14ac:dyDescent="0.35">
      <c r="A1441" s="18">
        <v>1402</v>
      </c>
      <c r="B1441" s="19"/>
    </row>
    <row r="1442" spans="1:2" x14ac:dyDescent="0.35">
      <c r="A1442" s="18">
        <v>1403</v>
      </c>
      <c r="B1442" s="19"/>
    </row>
    <row r="1443" spans="1:2" x14ac:dyDescent="0.35">
      <c r="A1443" s="18">
        <v>1404</v>
      </c>
      <c r="B1443" s="19"/>
    </row>
    <row r="1444" spans="1:2" x14ac:dyDescent="0.35">
      <c r="A1444" s="18">
        <v>1405</v>
      </c>
      <c r="B1444" s="19"/>
    </row>
    <row r="1445" spans="1:2" x14ac:dyDescent="0.35">
      <c r="A1445" s="18">
        <v>1406</v>
      </c>
      <c r="B1445" s="19"/>
    </row>
    <row r="1446" spans="1:2" x14ac:dyDescent="0.35">
      <c r="A1446" s="18">
        <v>1407</v>
      </c>
      <c r="B1446" s="19"/>
    </row>
    <row r="1447" spans="1:2" x14ac:dyDescent="0.35">
      <c r="A1447" s="18">
        <v>1408</v>
      </c>
      <c r="B1447" s="19"/>
    </row>
    <row r="1448" spans="1:2" x14ac:dyDescent="0.35">
      <c r="A1448" s="18">
        <v>1409</v>
      </c>
      <c r="B1448" s="19"/>
    </row>
    <row r="1449" spans="1:2" x14ac:dyDescent="0.35">
      <c r="A1449" s="18">
        <v>1410</v>
      </c>
      <c r="B1449" s="19"/>
    </row>
    <row r="1450" spans="1:2" x14ac:dyDescent="0.35">
      <c r="A1450" s="18">
        <v>1411</v>
      </c>
      <c r="B1450" s="19"/>
    </row>
    <row r="1451" spans="1:2" x14ac:dyDescent="0.35">
      <c r="A1451" s="18">
        <v>1412</v>
      </c>
      <c r="B1451" s="19"/>
    </row>
    <row r="1452" spans="1:2" x14ac:dyDescent="0.35">
      <c r="A1452" s="18">
        <v>1413</v>
      </c>
      <c r="B1452" s="19"/>
    </row>
    <row r="1453" spans="1:2" x14ac:dyDescent="0.35">
      <c r="A1453" s="18">
        <v>1414</v>
      </c>
      <c r="B1453" s="19"/>
    </row>
    <row r="1454" spans="1:2" x14ac:dyDescent="0.35">
      <c r="A1454" s="18">
        <v>1415</v>
      </c>
      <c r="B1454" s="19"/>
    </row>
    <row r="1455" spans="1:2" x14ac:dyDescent="0.35">
      <c r="A1455" s="18">
        <v>1416</v>
      </c>
      <c r="B1455" s="19"/>
    </row>
    <row r="1456" spans="1:2" x14ac:dyDescent="0.35">
      <c r="A1456" s="18">
        <v>1417</v>
      </c>
      <c r="B1456" s="19"/>
    </row>
    <row r="1457" spans="1:2" x14ac:dyDescent="0.35">
      <c r="A1457" s="18">
        <v>1418</v>
      </c>
      <c r="B1457" s="19"/>
    </row>
    <row r="1458" spans="1:2" x14ac:dyDescent="0.35">
      <c r="A1458" s="18">
        <v>1419</v>
      </c>
      <c r="B1458" s="19"/>
    </row>
    <row r="1459" spans="1:2" x14ac:dyDescent="0.35">
      <c r="A1459" s="18">
        <v>1420</v>
      </c>
      <c r="B1459" s="19"/>
    </row>
    <row r="1460" spans="1:2" x14ac:dyDescent="0.35">
      <c r="A1460" s="18">
        <v>1421</v>
      </c>
      <c r="B1460" s="19"/>
    </row>
    <row r="1461" spans="1:2" x14ac:dyDescent="0.35">
      <c r="A1461" s="18">
        <v>1422</v>
      </c>
      <c r="B1461" s="19"/>
    </row>
    <row r="1462" spans="1:2" x14ac:dyDescent="0.35">
      <c r="A1462" s="18">
        <v>1423</v>
      </c>
      <c r="B1462" s="19"/>
    </row>
    <row r="1463" spans="1:2" x14ac:dyDescent="0.35">
      <c r="A1463" s="18">
        <v>1424</v>
      </c>
      <c r="B1463" s="19"/>
    </row>
    <row r="1464" spans="1:2" x14ac:dyDescent="0.35">
      <c r="A1464" s="18">
        <v>1425</v>
      </c>
      <c r="B1464" s="19"/>
    </row>
    <row r="1465" spans="1:2" x14ac:dyDescent="0.35">
      <c r="A1465" s="18">
        <v>1426</v>
      </c>
      <c r="B1465" s="19"/>
    </row>
    <row r="1466" spans="1:2" x14ac:dyDescent="0.35">
      <c r="A1466" s="18">
        <v>1427</v>
      </c>
      <c r="B1466" s="19"/>
    </row>
    <row r="1467" spans="1:2" x14ac:dyDescent="0.35">
      <c r="A1467" s="18">
        <v>1428</v>
      </c>
      <c r="B1467" s="19"/>
    </row>
    <row r="1468" spans="1:2" x14ac:dyDescent="0.35">
      <c r="A1468" s="18">
        <v>1429</v>
      </c>
      <c r="B1468" s="19"/>
    </row>
    <row r="1469" spans="1:2" x14ac:dyDescent="0.35">
      <c r="A1469" s="18">
        <v>1430</v>
      </c>
      <c r="B1469" s="19"/>
    </row>
    <row r="1470" spans="1:2" x14ac:dyDescent="0.35">
      <c r="A1470" s="18">
        <v>1431</v>
      </c>
      <c r="B1470" s="19"/>
    </row>
    <row r="1471" spans="1:2" x14ac:dyDescent="0.35">
      <c r="A1471" s="18">
        <v>1432</v>
      </c>
      <c r="B1471" s="19"/>
    </row>
    <row r="1472" spans="1:2" x14ac:dyDescent="0.35">
      <c r="A1472" s="18">
        <v>1433</v>
      </c>
      <c r="B1472" s="19"/>
    </row>
    <row r="1473" spans="1:2" x14ac:dyDescent="0.35">
      <c r="A1473" s="18">
        <v>1434</v>
      </c>
      <c r="B1473" s="19"/>
    </row>
    <row r="1474" spans="1:2" x14ac:dyDescent="0.35">
      <c r="A1474" s="18">
        <v>1435</v>
      </c>
      <c r="B1474" s="19"/>
    </row>
    <row r="1475" spans="1:2" x14ac:dyDescent="0.35">
      <c r="A1475" s="18">
        <v>1436</v>
      </c>
      <c r="B1475" s="19"/>
    </row>
    <row r="1476" spans="1:2" x14ac:dyDescent="0.35">
      <c r="A1476" s="18">
        <v>1437</v>
      </c>
      <c r="B1476" s="19"/>
    </row>
    <row r="1477" spans="1:2" x14ac:dyDescent="0.35">
      <c r="A1477" s="18">
        <v>1438</v>
      </c>
      <c r="B1477" s="19"/>
    </row>
    <row r="1478" spans="1:2" x14ac:dyDescent="0.35">
      <c r="A1478" s="18">
        <v>1439</v>
      </c>
      <c r="B1478" s="19"/>
    </row>
    <row r="1479" spans="1:2" x14ac:dyDescent="0.35">
      <c r="A1479" s="18">
        <v>1440</v>
      </c>
      <c r="B1479" s="19"/>
    </row>
    <row r="1480" spans="1:2" x14ac:dyDescent="0.35">
      <c r="A1480" s="18">
        <v>1441</v>
      </c>
      <c r="B1480" s="19"/>
    </row>
    <row r="1481" spans="1:2" x14ac:dyDescent="0.35">
      <c r="A1481" s="18">
        <v>1442</v>
      </c>
      <c r="B1481" s="19"/>
    </row>
    <row r="1482" spans="1:2" x14ac:dyDescent="0.35">
      <c r="A1482" s="18">
        <v>1443</v>
      </c>
      <c r="B1482" s="19"/>
    </row>
    <row r="1483" spans="1:2" x14ac:dyDescent="0.35">
      <c r="A1483" s="18">
        <v>1444</v>
      </c>
      <c r="B1483" s="19"/>
    </row>
    <row r="1484" spans="1:2" x14ac:dyDescent="0.35">
      <c r="A1484" s="18">
        <v>1445</v>
      </c>
      <c r="B1484" s="19"/>
    </row>
    <row r="1485" spans="1:2" x14ac:dyDescent="0.35">
      <c r="A1485" s="18">
        <v>1446</v>
      </c>
      <c r="B1485" s="19"/>
    </row>
    <row r="1486" spans="1:2" x14ac:dyDescent="0.35">
      <c r="A1486" s="18">
        <v>1447</v>
      </c>
      <c r="B1486" s="19"/>
    </row>
    <row r="1487" spans="1:2" x14ac:dyDescent="0.35">
      <c r="A1487" s="18">
        <v>1448</v>
      </c>
      <c r="B1487" s="19"/>
    </row>
    <row r="1488" spans="1:2" x14ac:dyDescent="0.35">
      <c r="A1488" s="18">
        <v>1449</v>
      </c>
      <c r="B1488" s="19"/>
    </row>
    <row r="1489" spans="1:2" x14ac:dyDescent="0.35">
      <c r="A1489" s="18">
        <v>1450</v>
      </c>
      <c r="B1489" s="19"/>
    </row>
    <row r="1490" spans="1:2" x14ac:dyDescent="0.35">
      <c r="A1490" s="18">
        <v>1451</v>
      </c>
      <c r="B1490" s="19"/>
    </row>
    <row r="1491" spans="1:2" x14ac:dyDescent="0.35">
      <c r="A1491" s="18">
        <v>1452</v>
      </c>
      <c r="B1491" s="19"/>
    </row>
    <row r="1492" spans="1:2" x14ac:dyDescent="0.35">
      <c r="A1492" s="18">
        <v>1453</v>
      </c>
      <c r="B1492" s="19"/>
    </row>
    <row r="1493" spans="1:2" x14ac:dyDescent="0.35">
      <c r="A1493" s="18">
        <v>1454</v>
      </c>
      <c r="B1493" s="19"/>
    </row>
    <row r="1494" spans="1:2" x14ac:dyDescent="0.35">
      <c r="A1494" s="18">
        <v>1455</v>
      </c>
      <c r="B1494" s="19"/>
    </row>
    <row r="1495" spans="1:2" x14ac:dyDescent="0.35">
      <c r="A1495" s="18">
        <v>1456</v>
      </c>
      <c r="B1495" s="19"/>
    </row>
    <row r="1496" spans="1:2" x14ac:dyDescent="0.35">
      <c r="A1496" s="18">
        <v>1457</v>
      </c>
      <c r="B1496" s="19"/>
    </row>
    <row r="1497" spans="1:2" x14ac:dyDescent="0.35">
      <c r="A1497" s="18">
        <v>1458</v>
      </c>
      <c r="B1497" s="19"/>
    </row>
    <row r="1498" spans="1:2" x14ac:dyDescent="0.35">
      <c r="A1498" s="18">
        <v>1459</v>
      </c>
      <c r="B1498" s="19"/>
    </row>
    <row r="1499" spans="1:2" x14ac:dyDescent="0.35">
      <c r="A1499" s="18">
        <v>1460</v>
      </c>
      <c r="B1499" s="19"/>
    </row>
    <row r="1500" spans="1:2" x14ac:dyDescent="0.35">
      <c r="A1500" s="18">
        <v>1461</v>
      </c>
      <c r="B1500" s="19"/>
    </row>
    <row r="1501" spans="1:2" x14ac:dyDescent="0.35">
      <c r="A1501" s="18">
        <v>1462</v>
      </c>
      <c r="B1501" s="19"/>
    </row>
    <row r="1502" spans="1:2" x14ac:dyDescent="0.35">
      <c r="A1502" s="18">
        <v>1463</v>
      </c>
      <c r="B1502" s="19"/>
    </row>
    <row r="1503" spans="1:2" x14ac:dyDescent="0.35">
      <c r="A1503" s="18">
        <v>1464</v>
      </c>
      <c r="B1503" s="19"/>
    </row>
    <row r="1504" spans="1:2" x14ac:dyDescent="0.35">
      <c r="A1504" s="18">
        <v>1465</v>
      </c>
      <c r="B1504" s="19"/>
    </row>
    <row r="1505" spans="1:2" x14ac:dyDescent="0.35">
      <c r="A1505" s="18">
        <v>1466</v>
      </c>
      <c r="B1505" s="19"/>
    </row>
    <row r="1506" spans="1:2" x14ac:dyDescent="0.35">
      <c r="A1506" s="18">
        <v>1467</v>
      </c>
      <c r="B1506" s="19"/>
    </row>
    <row r="1507" spans="1:2" x14ac:dyDescent="0.35">
      <c r="A1507" s="18">
        <v>1468</v>
      </c>
      <c r="B1507" s="19"/>
    </row>
    <row r="1508" spans="1:2" x14ac:dyDescent="0.35">
      <c r="A1508" s="18">
        <v>1469</v>
      </c>
      <c r="B1508" s="19"/>
    </row>
    <row r="1509" spans="1:2" x14ac:dyDescent="0.35">
      <c r="A1509" s="18">
        <v>1470</v>
      </c>
      <c r="B1509" s="19"/>
    </row>
    <row r="1510" spans="1:2" x14ac:dyDescent="0.35">
      <c r="A1510" s="18">
        <v>1471</v>
      </c>
      <c r="B1510" s="19"/>
    </row>
    <row r="1511" spans="1:2" x14ac:dyDescent="0.35">
      <c r="A1511" s="18">
        <v>1472</v>
      </c>
      <c r="B1511" s="19"/>
    </row>
    <row r="1512" spans="1:2" x14ac:dyDescent="0.35">
      <c r="A1512" s="18">
        <v>1473</v>
      </c>
      <c r="B1512" s="19"/>
    </row>
    <row r="1513" spans="1:2" x14ac:dyDescent="0.35">
      <c r="A1513" s="18">
        <v>1474</v>
      </c>
      <c r="B1513" s="19"/>
    </row>
    <row r="1514" spans="1:2" x14ac:dyDescent="0.35">
      <c r="A1514" s="18">
        <v>1475</v>
      </c>
      <c r="B1514" s="19"/>
    </row>
    <row r="1515" spans="1:2" x14ac:dyDescent="0.35">
      <c r="A1515" s="18">
        <v>1476</v>
      </c>
      <c r="B1515" s="19"/>
    </row>
    <row r="1516" spans="1:2" x14ac:dyDescent="0.35">
      <c r="A1516" s="18">
        <v>1477</v>
      </c>
      <c r="B1516" s="19"/>
    </row>
    <row r="1517" spans="1:2" x14ac:dyDescent="0.35">
      <c r="A1517" s="18">
        <v>1478</v>
      </c>
      <c r="B1517" s="19"/>
    </row>
    <row r="1518" spans="1:2" x14ac:dyDescent="0.35">
      <c r="A1518" s="18">
        <v>1479</v>
      </c>
      <c r="B1518" s="19"/>
    </row>
    <row r="1519" spans="1:2" x14ac:dyDescent="0.35">
      <c r="A1519" s="18">
        <v>1480</v>
      </c>
      <c r="B1519" s="19"/>
    </row>
    <row r="1520" spans="1:2" x14ac:dyDescent="0.35">
      <c r="A1520" s="18">
        <v>1481</v>
      </c>
      <c r="B1520" s="19"/>
    </row>
    <row r="1521" spans="1:2" x14ac:dyDescent="0.35">
      <c r="A1521" s="18">
        <v>1482</v>
      </c>
      <c r="B1521" s="19"/>
    </row>
    <row r="1522" spans="1:2" x14ac:dyDescent="0.35">
      <c r="A1522" s="18">
        <v>1483</v>
      </c>
      <c r="B1522" s="19"/>
    </row>
    <row r="1523" spans="1:2" x14ac:dyDescent="0.35">
      <c r="A1523" s="18">
        <v>1484</v>
      </c>
      <c r="B1523" s="19"/>
    </row>
    <row r="1524" spans="1:2" x14ac:dyDescent="0.35">
      <c r="A1524" s="18">
        <v>1485</v>
      </c>
      <c r="B1524" s="19"/>
    </row>
    <row r="1525" spans="1:2" x14ac:dyDescent="0.35">
      <c r="A1525" s="18">
        <v>1486</v>
      </c>
      <c r="B1525" s="19"/>
    </row>
    <row r="1526" spans="1:2" x14ac:dyDescent="0.35">
      <c r="A1526" s="18">
        <v>1487</v>
      </c>
      <c r="B1526" s="19"/>
    </row>
    <row r="1527" spans="1:2" x14ac:dyDescent="0.35">
      <c r="A1527" s="18">
        <v>1488</v>
      </c>
      <c r="B1527" s="19"/>
    </row>
    <row r="1528" spans="1:2" x14ac:dyDescent="0.35">
      <c r="A1528" s="18">
        <v>1489</v>
      </c>
      <c r="B1528" s="19"/>
    </row>
    <row r="1529" spans="1:2" x14ac:dyDescent="0.35">
      <c r="A1529" s="18">
        <v>1490</v>
      </c>
      <c r="B1529" s="19"/>
    </row>
    <row r="1530" spans="1:2" x14ac:dyDescent="0.35">
      <c r="A1530" s="18">
        <v>1491</v>
      </c>
      <c r="B1530" s="19"/>
    </row>
    <row r="1531" spans="1:2" x14ac:dyDescent="0.35">
      <c r="A1531" s="18">
        <v>1492</v>
      </c>
      <c r="B1531" s="19"/>
    </row>
    <row r="1532" spans="1:2" x14ac:dyDescent="0.35">
      <c r="A1532" s="18">
        <v>1493</v>
      </c>
      <c r="B1532" s="19"/>
    </row>
    <row r="1533" spans="1:2" x14ac:dyDescent="0.35">
      <c r="A1533" s="18">
        <v>1494</v>
      </c>
      <c r="B1533" s="19"/>
    </row>
    <row r="1534" spans="1:2" x14ac:dyDescent="0.35">
      <c r="A1534" s="18">
        <v>1495</v>
      </c>
      <c r="B1534" s="19"/>
    </row>
    <row r="1535" spans="1:2" x14ac:dyDescent="0.35">
      <c r="A1535" s="18">
        <v>1496</v>
      </c>
      <c r="B1535" s="19"/>
    </row>
    <row r="1536" spans="1:2" x14ac:dyDescent="0.35">
      <c r="A1536" s="18">
        <v>1497</v>
      </c>
      <c r="B1536" s="19"/>
    </row>
    <row r="1537" spans="1:2" x14ac:dyDescent="0.35">
      <c r="A1537" s="18">
        <v>1498</v>
      </c>
      <c r="B1537" s="19"/>
    </row>
    <row r="1538" spans="1:2" x14ac:dyDescent="0.35">
      <c r="A1538" s="18">
        <v>1499</v>
      </c>
      <c r="B1538" s="19"/>
    </row>
    <row r="1539" spans="1:2" x14ac:dyDescent="0.35">
      <c r="A1539" s="18">
        <v>1500</v>
      </c>
      <c r="B1539" s="19"/>
    </row>
    <row r="1540" spans="1:2" x14ac:dyDescent="0.35">
      <c r="A1540" s="18">
        <v>1501</v>
      </c>
      <c r="B1540" s="19"/>
    </row>
    <row r="1541" spans="1:2" x14ac:dyDescent="0.35">
      <c r="A1541" s="18">
        <v>1502</v>
      </c>
      <c r="B1541" s="19"/>
    </row>
    <row r="1542" spans="1:2" x14ac:dyDescent="0.35">
      <c r="A1542" s="18">
        <v>1503</v>
      </c>
      <c r="B1542" s="19"/>
    </row>
    <row r="1543" spans="1:2" x14ac:dyDescent="0.35">
      <c r="A1543" s="18">
        <v>1504</v>
      </c>
      <c r="B1543" s="19"/>
    </row>
    <row r="1544" spans="1:2" x14ac:dyDescent="0.35">
      <c r="A1544" s="18">
        <v>1505</v>
      </c>
      <c r="B1544" s="19"/>
    </row>
    <row r="1545" spans="1:2" x14ac:dyDescent="0.35">
      <c r="A1545" s="18">
        <v>1506</v>
      </c>
      <c r="B1545" s="19"/>
    </row>
    <row r="1546" spans="1:2" x14ac:dyDescent="0.35">
      <c r="A1546" s="18">
        <v>1507</v>
      </c>
      <c r="B1546" s="19"/>
    </row>
    <row r="1547" spans="1:2" x14ac:dyDescent="0.35">
      <c r="A1547" s="18">
        <v>1508</v>
      </c>
      <c r="B1547" s="19"/>
    </row>
    <row r="1548" spans="1:2" x14ac:dyDescent="0.35">
      <c r="A1548" s="18">
        <v>1509</v>
      </c>
      <c r="B1548" s="19"/>
    </row>
    <row r="1549" spans="1:2" x14ac:dyDescent="0.35">
      <c r="A1549" s="18">
        <v>1510</v>
      </c>
      <c r="B1549" s="19"/>
    </row>
    <row r="1550" spans="1:2" x14ac:dyDescent="0.35">
      <c r="A1550" s="18">
        <v>1511</v>
      </c>
      <c r="B1550" s="19"/>
    </row>
    <row r="1551" spans="1:2" x14ac:dyDescent="0.35">
      <c r="A1551" s="18">
        <v>1512</v>
      </c>
      <c r="B1551" s="19"/>
    </row>
    <row r="1552" spans="1:2" x14ac:dyDescent="0.35">
      <c r="A1552" s="18">
        <v>1513</v>
      </c>
      <c r="B1552" s="19"/>
    </row>
    <row r="1553" spans="1:2" x14ac:dyDescent="0.35">
      <c r="A1553" s="18">
        <v>1514</v>
      </c>
      <c r="B1553" s="19"/>
    </row>
    <row r="1554" spans="1:2" x14ac:dyDescent="0.35">
      <c r="A1554" s="18">
        <v>1515</v>
      </c>
      <c r="B1554" s="19"/>
    </row>
    <row r="1555" spans="1:2" x14ac:dyDescent="0.35">
      <c r="A1555" s="18">
        <v>1516</v>
      </c>
      <c r="B1555" s="19"/>
    </row>
    <row r="1556" spans="1:2" x14ac:dyDescent="0.35">
      <c r="A1556" s="18">
        <v>1517</v>
      </c>
      <c r="B1556" s="19"/>
    </row>
    <row r="1557" spans="1:2" x14ac:dyDescent="0.35">
      <c r="A1557" s="18">
        <v>1518</v>
      </c>
      <c r="B1557" s="19"/>
    </row>
    <row r="1558" spans="1:2" x14ac:dyDescent="0.35">
      <c r="A1558" s="18">
        <v>1519</v>
      </c>
      <c r="B1558" s="19"/>
    </row>
    <row r="1559" spans="1:2" x14ac:dyDescent="0.35">
      <c r="A1559" s="18">
        <v>1520</v>
      </c>
      <c r="B1559" s="19"/>
    </row>
    <row r="1560" spans="1:2" x14ac:dyDescent="0.35">
      <c r="A1560" s="18">
        <v>1521</v>
      </c>
      <c r="B1560" s="19"/>
    </row>
    <row r="1561" spans="1:2" x14ac:dyDescent="0.35">
      <c r="A1561" s="18">
        <v>1522</v>
      </c>
      <c r="B1561" s="19"/>
    </row>
    <row r="1562" spans="1:2" x14ac:dyDescent="0.35">
      <c r="A1562" s="18">
        <v>1523</v>
      </c>
      <c r="B1562" s="19"/>
    </row>
    <row r="1563" spans="1:2" x14ac:dyDescent="0.35">
      <c r="A1563" s="18">
        <v>1524</v>
      </c>
      <c r="B1563" s="19"/>
    </row>
    <row r="1564" spans="1:2" x14ac:dyDescent="0.35">
      <c r="A1564" s="18">
        <v>1525</v>
      </c>
      <c r="B1564" s="19"/>
    </row>
    <row r="1565" spans="1:2" x14ac:dyDescent="0.35">
      <c r="A1565" s="18">
        <v>1526</v>
      </c>
      <c r="B1565" s="19"/>
    </row>
    <row r="1566" spans="1:2" x14ac:dyDescent="0.35">
      <c r="A1566" s="18">
        <v>1527</v>
      </c>
      <c r="B1566" s="19"/>
    </row>
    <row r="1567" spans="1:2" x14ac:dyDescent="0.35">
      <c r="A1567" s="18">
        <v>1528</v>
      </c>
      <c r="B1567" s="19"/>
    </row>
    <row r="1568" spans="1:2" x14ac:dyDescent="0.35">
      <c r="A1568" s="18">
        <v>1529</v>
      </c>
      <c r="B1568" s="19"/>
    </row>
    <row r="1569" spans="1:2" x14ac:dyDescent="0.35">
      <c r="A1569" s="18">
        <v>1530</v>
      </c>
      <c r="B1569" s="19"/>
    </row>
    <row r="1570" spans="1:2" x14ac:dyDescent="0.35">
      <c r="A1570" s="18">
        <v>1531</v>
      </c>
      <c r="B1570" s="19"/>
    </row>
    <row r="1571" spans="1:2" x14ac:dyDescent="0.35">
      <c r="A1571" s="18">
        <v>1532</v>
      </c>
      <c r="B1571" s="19"/>
    </row>
    <row r="1572" spans="1:2" x14ac:dyDescent="0.35">
      <c r="A1572" s="18">
        <v>1533</v>
      </c>
      <c r="B1572" s="19"/>
    </row>
    <row r="1573" spans="1:2" x14ac:dyDescent="0.35">
      <c r="A1573" s="18">
        <v>1534</v>
      </c>
      <c r="B1573" s="19"/>
    </row>
    <row r="1574" spans="1:2" x14ac:dyDescent="0.35">
      <c r="A1574" s="18">
        <v>1535</v>
      </c>
      <c r="B1574" s="19"/>
    </row>
    <row r="1575" spans="1:2" x14ac:dyDescent="0.35">
      <c r="A1575" s="18">
        <v>1536</v>
      </c>
      <c r="B1575" s="19"/>
    </row>
    <row r="1576" spans="1:2" x14ac:dyDescent="0.35">
      <c r="A1576" s="18">
        <v>1537</v>
      </c>
      <c r="B1576" s="19"/>
    </row>
    <row r="1577" spans="1:2" x14ac:dyDescent="0.35">
      <c r="A1577" s="18">
        <v>1538</v>
      </c>
      <c r="B1577" s="19"/>
    </row>
    <row r="1578" spans="1:2" x14ac:dyDescent="0.35">
      <c r="A1578" s="18">
        <v>1539</v>
      </c>
      <c r="B1578" s="19"/>
    </row>
    <row r="1579" spans="1:2" x14ac:dyDescent="0.35">
      <c r="A1579" s="18">
        <v>1540</v>
      </c>
      <c r="B1579" s="19"/>
    </row>
    <row r="1580" spans="1:2" x14ac:dyDescent="0.35">
      <c r="A1580" s="18">
        <v>1541</v>
      </c>
      <c r="B1580" s="19"/>
    </row>
    <row r="1581" spans="1:2" x14ac:dyDescent="0.35">
      <c r="A1581" s="18">
        <v>1542</v>
      </c>
      <c r="B1581" s="19"/>
    </row>
    <row r="1582" spans="1:2" x14ac:dyDescent="0.35">
      <c r="A1582" s="18">
        <v>1543</v>
      </c>
      <c r="B1582" s="19"/>
    </row>
    <row r="1583" spans="1:2" x14ac:dyDescent="0.35">
      <c r="A1583" s="18">
        <v>1544</v>
      </c>
      <c r="B1583" s="19"/>
    </row>
    <row r="1584" spans="1:2" x14ac:dyDescent="0.35">
      <c r="A1584" s="18">
        <v>1545</v>
      </c>
      <c r="B1584" s="19"/>
    </row>
    <row r="1585" spans="1:2" x14ac:dyDescent="0.35">
      <c r="A1585" s="18">
        <v>1546</v>
      </c>
      <c r="B1585" s="19"/>
    </row>
    <row r="1586" spans="1:2" x14ac:dyDescent="0.35">
      <c r="A1586" s="18">
        <v>1547</v>
      </c>
      <c r="B1586" s="19"/>
    </row>
    <row r="1587" spans="1:2" x14ac:dyDescent="0.35">
      <c r="A1587" s="18">
        <v>1548</v>
      </c>
      <c r="B1587" s="19"/>
    </row>
    <row r="1588" spans="1:2" x14ac:dyDescent="0.35">
      <c r="A1588" s="18">
        <v>1549</v>
      </c>
      <c r="B1588" s="19"/>
    </row>
    <row r="1589" spans="1:2" x14ac:dyDescent="0.35">
      <c r="A1589" s="18">
        <v>1550</v>
      </c>
      <c r="B1589" s="19"/>
    </row>
    <row r="1590" spans="1:2" x14ac:dyDescent="0.35">
      <c r="A1590" s="18">
        <v>1551</v>
      </c>
      <c r="B1590" s="19"/>
    </row>
    <row r="1591" spans="1:2" x14ac:dyDescent="0.35">
      <c r="A1591" s="18">
        <v>1552</v>
      </c>
      <c r="B1591" s="19"/>
    </row>
    <row r="1592" spans="1:2" x14ac:dyDescent="0.35">
      <c r="A1592" s="18">
        <v>1553</v>
      </c>
      <c r="B1592" s="19"/>
    </row>
    <row r="1593" spans="1:2" x14ac:dyDescent="0.35">
      <c r="A1593" s="18">
        <v>1554</v>
      </c>
      <c r="B1593" s="19"/>
    </row>
    <row r="1594" spans="1:2" x14ac:dyDescent="0.35">
      <c r="A1594" s="18">
        <v>1555</v>
      </c>
      <c r="B1594" s="19"/>
    </row>
    <row r="1595" spans="1:2" x14ac:dyDescent="0.35">
      <c r="A1595" s="18">
        <v>1556</v>
      </c>
      <c r="B1595" s="19"/>
    </row>
    <row r="1596" spans="1:2" x14ac:dyDescent="0.35">
      <c r="A1596" s="18">
        <v>1557</v>
      </c>
      <c r="B1596" s="19"/>
    </row>
    <row r="1597" spans="1:2" x14ac:dyDescent="0.35">
      <c r="A1597" s="18">
        <v>1558</v>
      </c>
      <c r="B1597" s="19"/>
    </row>
    <row r="1598" spans="1:2" x14ac:dyDescent="0.35">
      <c r="A1598" s="18">
        <v>1559</v>
      </c>
      <c r="B1598" s="19"/>
    </row>
    <row r="1599" spans="1:2" x14ac:dyDescent="0.35">
      <c r="A1599" s="18">
        <v>1560</v>
      </c>
      <c r="B1599" s="19"/>
    </row>
    <row r="1600" spans="1:2" x14ac:dyDescent="0.35">
      <c r="A1600" s="18">
        <v>1561</v>
      </c>
      <c r="B1600" s="19"/>
    </row>
    <row r="1601" spans="1:2" x14ac:dyDescent="0.35">
      <c r="A1601" s="18">
        <v>1562</v>
      </c>
      <c r="B1601" s="19"/>
    </row>
    <row r="1602" spans="1:2" x14ac:dyDescent="0.35">
      <c r="A1602" s="18">
        <v>1563</v>
      </c>
      <c r="B1602" s="19"/>
    </row>
    <row r="1603" spans="1:2" x14ac:dyDescent="0.35">
      <c r="A1603" s="18">
        <v>1564</v>
      </c>
      <c r="B1603" s="19"/>
    </row>
    <row r="1604" spans="1:2" x14ac:dyDescent="0.35">
      <c r="A1604" s="18">
        <v>1565</v>
      </c>
      <c r="B1604" s="19"/>
    </row>
    <row r="1605" spans="1:2" x14ac:dyDescent="0.35">
      <c r="A1605" s="18">
        <v>1566</v>
      </c>
      <c r="B1605" s="19"/>
    </row>
    <row r="1606" spans="1:2" x14ac:dyDescent="0.35">
      <c r="A1606" s="18">
        <v>1567</v>
      </c>
      <c r="B1606" s="19"/>
    </row>
    <row r="1607" spans="1:2" x14ac:dyDescent="0.35">
      <c r="A1607" s="18">
        <v>1568</v>
      </c>
      <c r="B1607" s="19"/>
    </row>
    <row r="1608" spans="1:2" x14ac:dyDescent="0.35">
      <c r="A1608" s="18">
        <v>1569</v>
      </c>
      <c r="B1608" s="19"/>
    </row>
    <row r="1609" spans="1:2" x14ac:dyDescent="0.35">
      <c r="A1609" s="18">
        <v>1570</v>
      </c>
      <c r="B1609" s="19"/>
    </row>
    <row r="1610" spans="1:2" x14ac:dyDescent="0.35">
      <c r="A1610" s="18">
        <v>1571</v>
      </c>
      <c r="B1610" s="19"/>
    </row>
    <row r="1611" spans="1:2" x14ac:dyDescent="0.35">
      <c r="A1611" s="18">
        <v>1572</v>
      </c>
      <c r="B1611" s="19"/>
    </row>
    <row r="1612" spans="1:2" x14ac:dyDescent="0.35">
      <c r="A1612" s="18">
        <v>1573</v>
      </c>
      <c r="B1612" s="19"/>
    </row>
    <row r="1613" spans="1:2" x14ac:dyDescent="0.35">
      <c r="A1613" s="18">
        <v>1574</v>
      </c>
      <c r="B1613" s="19"/>
    </row>
    <row r="1614" spans="1:2" x14ac:dyDescent="0.35">
      <c r="A1614" s="18">
        <v>1575</v>
      </c>
      <c r="B1614" s="19"/>
    </row>
    <row r="1615" spans="1:2" x14ac:dyDescent="0.35">
      <c r="A1615" s="18">
        <v>1576</v>
      </c>
      <c r="B1615" s="19"/>
    </row>
    <row r="1616" spans="1:2" x14ac:dyDescent="0.35">
      <c r="A1616" s="18">
        <v>1577</v>
      </c>
      <c r="B1616" s="19"/>
    </row>
    <row r="1617" spans="1:2" x14ac:dyDescent="0.35">
      <c r="A1617" s="18">
        <v>1578</v>
      </c>
      <c r="B1617" s="19"/>
    </row>
    <row r="1618" spans="1:2" x14ac:dyDescent="0.35">
      <c r="A1618" s="18">
        <v>1579</v>
      </c>
      <c r="B1618" s="19"/>
    </row>
    <row r="1619" spans="1:2" x14ac:dyDescent="0.35">
      <c r="A1619" s="18">
        <v>1580</v>
      </c>
      <c r="B1619" s="19"/>
    </row>
    <row r="1620" spans="1:2" x14ac:dyDescent="0.35">
      <c r="A1620" s="18">
        <v>1581</v>
      </c>
      <c r="B1620" s="19"/>
    </row>
    <row r="1621" spans="1:2" x14ac:dyDescent="0.35">
      <c r="A1621" s="18">
        <v>1582</v>
      </c>
      <c r="B1621" s="19"/>
    </row>
    <row r="1622" spans="1:2" x14ac:dyDescent="0.35">
      <c r="A1622" s="18">
        <v>1583</v>
      </c>
      <c r="B1622" s="19"/>
    </row>
    <row r="1623" spans="1:2" x14ac:dyDescent="0.35">
      <c r="A1623" s="18">
        <v>1584</v>
      </c>
      <c r="B1623" s="19"/>
    </row>
    <row r="1624" spans="1:2" x14ac:dyDescent="0.35">
      <c r="A1624" s="18">
        <v>1585</v>
      </c>
      <c r="B1624" s="19"/>
    </row>
    <row r="1625" spans="1:2" x14ac:dyDescent="0.35">
      <c r="A1625" s="18">
        <v>1586</v>
      </c>
      <c r="B1625" s="19"/>
    </row>
    <row r="1626" spans="1:2" x14ac:dyDescent="0.35">
      <c r="A1626" s="18">
        <v>1587</v>
      </c>
      <c r="B1626" s="19"/>
    </row>
    <row r="1627" spans="1:2" x14ac:dyDescent="0.35">
      <c r="A1627" s="18">
        <v>1588</v>
      </c>
      <c r="B1627" s="19"/>
    </row>
    <row r="1628" spans="1:2" x14ac:dyDescent="0.35">
      <c r="A1628" s="18">
        <v>1589</v>
      </c>
      <c r="B1628" s="19"/>
    </row>
    <row r="1629" spans="1:2" x14ac:dyDescent="0.35">
      <c r="A1629" s="18">
        <v>1590</v>
      </c>
      <c r="B1629" s="19"/>
    </row>
    <row r="1630" spans="1:2" x14ac:dyDescent="0.35">
      <c r="A1630" s="18">
        <v>1591</v>
      </c>
      <c r="B1630" s="19"/>
    </row>
    <row r="1631" spans="1:2" x14ac:dyDescent="0.35">
      <c r="A1631" s="18">
        <v>1592</v>
      </c>
      <c r="B1631" s="19"/>
    </row>
    <row r="1632" spans="1:2" x14ac:dyDescent="0.35">
      <c r="A1632" s="18">
        <v>1593</v>
      </c>
      <c r="B1632" s="19"/>
    </row>
    <row r="1633" spans="1:2" x14ac:dyDescent="0.35">
      <c r="A1633" s="18">
        <v>1594</v>
      </c>
      <c r="B1633" s="19"/>
    </row>
    <row r="1634" spans="1:2" x14ac:dyDescent="0.35">
      <c r="A1634" s="18">
        <v>1595</v>
      </c>
      <c r="B1634" s="19"/>
    </row>
    <row r="1635" spans="1:2" x14ac:dyDescent="0.35">
      <c r="A1635" s="18">
        <v>1596</v>
      </c>
      <c r="B1635" s="19"/>
    </row>
    <row r="1636" spans="1:2" x14ac:dyDescent="0.35">
      <c r="A1636" s="18">
        <v>1597</v>
      </c>
      <c r="B1636" s="19"/>
    </row>
    <row r="1637" spans="1:2" x14ac:dyDescent="0.35">
      <c r="A1637" s="18">
        <v>1598</v>
      </c>
      <c r="B1637" s="19"/>
    </row>
    <row r="1638" spans="1:2" x14ac:dyDescent="0.35">
      <c r="A1638" s="18">
        <v>1599</v>
      </c>
      <c r="B1638" s="19"/>
    </row>
    <row r="1639" spans="1:2" x14ac:dyDescent="0.35">
      <c r="A1639" s="18">
        <v>1600</v>
      </c>
      <c r="B1639" s="19"/>
    </row>
    <row r="1640" spans="1:2" x14ac:dyDescent="0.35">
      <c r="A1640" s="18">
        <v>1601</v>
      </c>
      <c r="B1640" s="19"/>
    </row>
    <row r="1641" spans="1:2" x14ac:dyDescent="0.35">
      <c r="A1641" s="18">
        <v>1602</v>
      </c>
      <c r="B1641" s="19"/>
    </row>
    <row r="1642" spans="1:2" x14ac:dyDescent="0.35">
      <c r="A1642" s="18">
        <v>1603</v>
      </c>
      <c r="B1642" s="19"/>
    </row>
    <row r="1643" spans="1:2" x14ac:dyDescent="0.35">
      <c r="A1643" s="18">
        <v>1604</v>
      </c>
      <c r="B1643" s="19"/>
    </row>
    <row r="1644" spans="1:2" x14ac:dyDescent="0.35">
      <c r="A1644" s="18">
        <v>1605</v>
      </c>
      <c r="B1644" s="19"/>
    </row>
    <row r="1645" spans="1:2" x14ac:dyDescent="0.35">
      <c r="A1645" s="18">
        <v>1606</v>
      </c>
      <c r="B1645" s="19"/>
    </row>
    <row r="1646" spans="1:2" x14ac:dyDescent="0.35">
      <c r="A1646" s="18">
        <v>1607</v>
      </c>
      <c r="B1646" s="19"/>
    </row>
    <row r="1647" spans="1:2" x14ac:dyDescent="0.35">
      <c r="A1647" s="18">
        <v>1608</v>
      </c>
      <c r="B1647" s="19"/>
    </row>
    <row r="1648" spans="1:2" x14ac:dyDescent="0.35">
      <c r="A1648" s="18">
        <v>1609</v>
      </c>
      <c r="B1648" s="19"/>
    </row>
    <row r="1649" spans="1:2" x14ac:dyDescent="0.35">
      <c r="A1649" s="18">
        <v>1610</v>
      </c>
      <c r="B1649" s="19"/>
    </row>
    <row r="1650" spans="1:2" x14ac:dyDescent="0.35">
      <c r="A1650" s="18">
        <v>1611</v>
      </c>
      <c r="B1650" s="19"/>
    </row>
    <row r="1651" spans="1:2" x14ac:dyDescent="0.35">
      <c r="A1651" s="18">
        <v>1612</v>
      </c>
      <c r="B1651" s="19"/>
    </row>
    <row r="1652" spans="1:2" x14ac:dyDescent="0.35">
      <c r="A1652" s="18">
        <v>1613</v>
      </c>
      <c r="B1652" s="19"/>
    </row>
    <row r="1653" spans="1:2" x14ac:dyDescent="0.35">
      <c r="A1653" s="18">
        <v>1614</v>
      </c>
      <c r="B1653" s="19"/>
    </row>
    <row r="1654" spans="1:2" x14ac:dyDescent="0.35">
      <c r="A1654" s="18">
        <v>1615</v>
      </c>
      <c r="B1654" s="19"/>
    </row>
    <row r="1655" spans="1:2" x14ac:dyDescent="0.35">
      <c r="A1655" s="18">
        <v>1616</v>
      </c>
      <c r="B1655" s="19"/>
    </row>
    <row r="1656" spans="1:2" x14ac:dyDescent="0.35">
      <c r="A1656" s="18">
        <v>1617</v>
      </c>
      <c r="B1656" s="19"/>
    </row>
    <row r="1657" spans="1:2" x14ac:dyDescent="0.35">
      <c r="A1657" s="18">
        <v>1618</v>
      </c>
      <c r="B1657" s="19"/>
    </row>
    <row r="1658" spans="1:2" x14ac:dyDescent="0.35">
      <c r="A1658" s="18">
        <v>1619</v>
      </c>
      <c r="B1658" s="19"/>
    </row>
    <row r="1659" spans="1:2" x14ac:dyDescent="0.35">
      <c r="A1659" s="18">
        <v>1620</v>
      </c>
      <c r="B1659" s="19"/>
    </row>
    <row r="1660" spans="1:2" x14ac:dyDescent="0.35">
      <c r="A1660" s="18">
        <v>1621</v>
      </c>
      <c r="B1660" s="19"/>
    </row>
    <row r="1661" spans="1:2" x14ac:dyDescent="0.35">
      <c r="A1661" s="18">
        <v>1622</v>
      </c>
      <c r="B1661" s="19"/>
    </row>
    <row r="1662" spans="1:2" x14ac:dyDescent="0.35">
      <c r="A1662" s="18">
        <v>1623</v>
      </c>
      <c r="B1662" s="19"/>
    </row>
    <row r="1663" spans="1:2" x14ac:dyDescent="0.35">
      <c r="A1663" s="18">
        <v>1624</v>
      </c>
      <c r="B1663" s="19"/>
    </row>
    <row r="1664" spans="1:2" x14ac:dyDescent="0.35">
      <c r="A1664" s="18">
        <v>1625</v>
      </c>
      <c r="B1664" s="19"/>
    </row>
    <row r="1665" spans="1:2" x14ac:dyDescent="0.35">
      <c r="A1665" s="18">
        <v>1626</v>
      </c>
      <c r="B1665" s="19"/>
    </row>
    <row r="1666" spans="1:2" x14ac:dyDescent="0.35">
      <c r="A1666" s="18">
        <v>1627</v>
      </c>
      <c r="B1666" s="19"/>
    </row>
    <row r="1667" spans="1:2" x14ac:dyDescent="0.35">
      <c r="A1667" s="18">
        <v>1628</v>
      </c>
      <c r="B1667" s="19"/>
    </row>
    <row r="1668" spans="1:2" x14ac:dyDescent="0.35">
      <c r="A1668" s="18">
        <v>1629</v>
      </c>
      <c r="B1668" s="19"/>
    </row>
    <row r="1669" spans="1:2" x14ac:dyDescent="0.35">
      <c r="A1669" s="18">
        <v>1630</v>
      </c>
      <c r="B1669" s="19"/>
    </row>
    <row r="1670" spans="1:2" x14ac:dyDescent="0.35">
      <c r="A1670" s="18">
        <v>1631</v>
      </c>
      <c r="B1670" s="19"/>
    </row>
    <row r="1671" spans="1:2" x14ac:dyDescent="0.35">
      <c r="A1671" s="18">
        <v>1632</v>
      </c>
      <c r="B1671" s="19"/>
    </row>
    <row r="1672" spans="1:2" x14ac:dyDescent="0.35">
      <c r="A1672" s="18">
        <v>1633</v>
      </c>
      <c r="B1672" s="19"/>
    </row>
    <row r="1673" spans="1:2" x14ac:dyDescent="0.35">
      <c r="A1673" s="18">
        <v>1634</v>
      </c>
      <c r="B1673" s="19"/>
    </row>
    <row r="1674" spans="1:2" x14ac:dyDescent="0.35">
      <c r="A1674" s="18">
        <v>1635</v>
      </c>
      <c r="B1674" s="19"/>
    </row>
    <row r="1675" spans="1:2" x14ac:dyDescent="0.35">
      <c r="A1675" s="18">
        <v>1636</v>
      </c>
      <c r="B1675" s="19"/>
    </row>
    <row r="1676" spans="1:2" x14ac:dyDescent="0.35">
      <c r="A1676" s="18">
        <v>1637</v>
      </c>
      <c r="B1676" s="19"/>
    </row>
    <row r="1677" spans="1:2" x14ac:dyDescent="0.35">
      <c r="A1677" s="18">
        <v>1638</v>
      </c>
      <c r="B1677" s="19"/>
    </row>
    <row r="1678" spans="1:2" x14ac:dyDescent="0.35">
      <c r="A1678" s="18">
        <v>1639</v>
      </c>
      <c r="B1678" s="19"/>
    </row>
    <row r="1679" spans="1:2" x14ac:dyDescent="0.35">
      <c r="A1679" s="18">
        <v>1640</v>
      </c>
      <c r="B1679" s="19"/>
    </row>
    <row r="1680" spans="1:2" x14ac:dyDescent="0.35">
      <c r="A1680" s="18">
        <v>1641</v>
      </c>
      <c r="B1680" s="19"/>
    </row>
    <row r="1681" spans="1:2" x14ac:dyDescent="0.35">
      <c r="A1681" s="18">
        <v>1642</v>
      </c>
      <c r="B1681" s="19"/>
    </row>
    <row r="1682" spans="1:2" x14ac:dyDescent="0.35">
      <c r="A1682" s="18">
        <v>1643</v>
      </c>
      <c r="B1682" s="19"/>
    </row>
    <row r="1683" spans="1:2" x14ac:dyDescent="0.35">
      <c r="A1683" s="18">
        <v>1644</v>
      </c>
      <c r="B1683" s="19"/>
    </row>
    <row r="1684" spans="1:2" x14ac:dyDescent="0.35">
      <c r="A1684" s="18">
        <v>1645</v>
      </c>
      <c r="B1684" s="19"/>
    </row>
    <row r="1685" spans="1:2" x14ac:dyDescent="0.35">
      <c r="A1685" s="18">
        <v>1646</v>
      </c>
      <c r="B1685" s="19"/>
    </row>
    <row r="1686" spans="1:2" x14ac:dyDescent="0.35">
      <c r="A1686" s="18">
        <v>1647</v>
      </c>
      <c r="B1686" s="19"/>
    </row>
    <row r="1687" spans="1:2" x14ac:dyDescent="0.35">
      <c r="A1687" s="18">
        <v>1648</v>
      </c>
      <c r="B1687" s="19"/>
    </row>
    <row r="1688" spans="1:2" x14ac:dyDescent="0.35">
      <c r="A1688" s="18">
        <v>1649</v>
      </c>
      <c r="B1688" s="19"/>
    </row>
    <row r="1689" spans="1:2" x14ac:dyDescent="0.35">
      <c r="A1689" s="18">
        <v>1650</v>
      </c>
      <c r="B1689" s="19"/>
    </row>
    <row r="1690" spans="1:2" x14ac:dyDescent="0.35">
      <c r="A1690" s="18">
        <v>1651</v>
      </c>
      <c r="B1690" s="19"/>
    </row>
    <row r="1691" spans="1:2" x14ac:dyDescent="0.35">
      <c r="A1691" s="18">
        <v>1652</v>
      </c>
      <c r="B1691" s="19"/>
    </row>
    <row r="1692" spans="1:2" x14ac:dyDescent="0.35">
      <c r="A1692" s="18">
        <v>1653</v>
      </c>
      <c r="B1692" s="19"/>
    </row>
    <row r="1693" spans="1:2" x14ac:dyDescent="0.35">
      <c r="A1693" s="18">
        <v>1654</v>
      </c>
      <c r="B1693" s="19"/>
    </row>
    <row r="1694" spans="1:2" x14ac:dyDescent="0.35">
      <c r="A1694" s="18">
        <v>1655</v>
      </c>
      <c r="B1694" s="19"/>
    </row>
    <row r="1695" spans="1:2" x14ac:dyDescent="0.35">
      <c r="A1695" s="18">
        <v>1656</v>
      </c>
      <c r="B1695" s="19"/>
    </row>
    <row r="1696" spans="1:2" x14ac:dyDescent="0.35">
      <c r="A1696" s="18">
        <v>1657</v>
      </c>
      <c r="B1696" s="19"/>
    </row>
    <row r="1697" spans="1:2" x14ac:dyDescent="0.35">
      <c r="A1697" s="18">
        <v>1658</v>
      </c>
      <c r="B1697" s="19"/>
    </row>
    <row r="1698" spans="1:2" x14ac:dyDescent="0.35">
      <c r="A1698" s="18">
        <v>1659</v>
      </c>
      <c r="B1698" s="19"/>
    </row>
    <row r="1699" spans="1:2" x14ac:dyDescent="0.35">
      <c r="A1699" s="18">
        <v>1660</v>
      </c>
      <c r="B1699" s="19"/>
    </row>
    <row r="1700" spans="1:2" x14ac:dyDescent="0.35">
      <c r="A1700" s="18">
        <v>1661</v>
      </c>
      <c r="B1700" s="19"/>
    </row>
    <row r="1701" spans="1:2" x14ac:dyDescent="0.35">
      <c r="A1701" s="18">
        <v>1662</v>
      </c>
      <c r="B1701" s="19"/>
    </row>
    <row r="1702" spans="1:2" x14ac:dyDescent="0.35">
      <c r="A1702" s="18">
        <v>1663</v>
      </c>
      <c r="B1702" s="19"/>
    </row>
    <row r="1703" spans="1:2" x14ac:dyDescent="0.35">
      <c r="A1703" s="18">
        <v>1664</v>
      </c>
      <c r="B1703" s="19"/>
    </row>
    <row r="1704" spans="1:2" x14ac:dyDescent="0.35">
      <c r="A1704" s="18">
        <v>1665</v>
      </c>
      <c r="B1704" s="19"/>
    </row>
    <row r="1705" spans="1:2" x14ac:dyDescent="0.35">
      <c r="A1705" s="18">
        <v>1666</v>
      </c>
      <c r="B1705" s="19"/>
    </row>
    <row r="1706" spans="1:2" x14ac:dyDescent="0.35">
      <c r="A1706" s="18">
        <v>1667</v>
      </c>
      <c r="B1706" s="19"/>
    </row>
    <row r="1707" spans="1:2" x14ac:dyDescent="0.35">
      <c r="A1707" s="18">
        <v>1668</v>
      </c>
      <c r="B1707" s="19"/>
    </row>
    <row r="1708" spans="1:2" x14ac:dyDescent="0.35">
      <c r="A1708" s="18">
        <v>1669</v>
      </c>
      <c r="B1708" s="19"/>
    </row>
    <row r="1709" spans="1:2" x14ac:dyDescent="0.35">
      <c r="A1709" s="18">
        <v>1670</v>
      </c>
      <c r="B1709" s="19"/>
    </row>
    <row r="1710" spans="1:2" x14ac:dyDescent="0.35">
      <c r="A1710" s="18">
        <v>1671</v>
      </c>
      <c r="B1710" s="19"/>
    </row>
    <row r="1711" spans="1:2" x14ac:dyDescent="0.35">
      <c r="A1711" s="18">
        <v>1672</v>
      </c>
      <c r="B1711" s="19"/>
    </row>
    <row r="1712" spans="1:2" x14ac:dyDescent="0.35">
      <c r="A1712" s="18">
        <v>1673</v>
      </c>
      <c r="B1712" s="19"/>
    </row>
    <row r="1713" spans="1:2" x14ac:dyDescent="0.35">
      <c r="A1713" s="18">
        <v>1674</v>
      </c>
      <c r="B1713" s="19"/>
    </row>
    <row r="1714" spans="1:2" x14ac:dyDescent="0.35">
      <c r="A1714" s="18">
        <v>1675</v>
      </c>
      <c r="B1714" s="19"/>
    </row>
    <row r="1715" spans="1:2" x14ac:dyDescent="0.35">
      <c r="A1715" s="18">
        <v>1676</v>
      </c>
      <c r="B1715" s="19"/>
    </row>
    <row r="1716" spans="1:2" x14ac:dyDescent="0.35">
      <c r="A1716" s="18">
        <v>1677</v>
      </c>
      <c r="B1716" s="19"/>
    </row>
    <row r="1717" spans="1:2" x14ac:dyDescent="0.35">
      <c r="A1717" s="18">
        <v>1678</v>
      </c>
      <c r="B1717" s="19"/>
    </row>
    <row r="1718" spans="1:2" x14ac:dyDescent="0.35">
      <c r="A1718" s="18">
        <v>1679</v>
      </c>
      <c r="B1718" s="19"/>
    </row>
    <row r="1719" spans="1:2" x14ac:dyDescent="0.35">
      <c r="A1719" s="18">
        <v>1680</v>
      </c>
      <c r="B1719" s="19"/>
    </row>
    <row r="1720" spans="1:2" x14ac:dyDescent="0.35">
      <c r="A1720" s="18">
        <v>1681</v>
      </c>
      <c r="B1720" s="19"/>
    </row>
    <row r="1721" spans="1:2" x14ac:dyDescent="0.35">
      <c r="A1721" s="18">
        <v>1682</v>
      </c>
      <c r="B1721" s="19"/>
    </row>
    <row r="1722" spans="1:2" x14ac:dyDescent="0.35">
      <c r="A1722" s="18">
        <v>1683</v>
      </c>
      <c r="B1722" s="19"/>
    </row>
    <row r="1723" spans="1:2" x14ac:dyDescent="0.35">
      <c r="A1723" s="18">
        <v>1684</v>
      </c>
      <c r="B1723" s="19"/>
    </row>
    <row r="1724" spans="1:2" x14ac:dyDescent="0.35">
      <c r="A1724" s="18">
        <v>1685</v>
      </c>
      <c r="B1724" s="19"/>
    </row>
    <row r="1725" spans="1:2" x14ac:dyDescent="0.35">
      <c r="A1725" s="18">
        <v>1686</v>
      </c>
      <c r="B1725" s="19"/>
    </row>
    <row r="1726" spans="1:2" x14ac:dyDescent="0.35">
      <c r="A1726" s="18">
        <v>1687</v>
      </c>
      <c r="B1726" s="19"/>
    </row>
    <row r="1727" spans="1:2" x14ac:dyDescent="0.35">
      <c r="A1727" s="18">
        <v>1688</v>
      </c>
      <c r="B1727" s="19"/>
    </row>
    <row r="1728" spans="1:2" x14ac:dyDescent="0.35">
      <c r="A1728" s="18">
        <v>1689</v>
      </c>
      <c r="B1728" s="19"/>
    </row>
    <row r="1729" spans="1:2" x14ac:dyDescent="0.35">
      <c r="A1729" s="18">
        <v>1690</v>
      </c>
      <c r="B1729" s="19"/>
    </row>
    <row r="1730" spans="1:2" x14ac:dyDescent="0.35">
      <c r="A1730" s="18">
        <v>1691</v>
      </c>
      <c r="B1730" s="19"/>
    </row>
    <row r="1731" spans="1:2" x14ac:dyDescent="0.35">
      <c r="A1731" s="18">
        <v>1692</v>
      </c>
      <c r="B1731" s="19"/>
    </row>
    <row r="1732" spans="1:2" x14ac:dyDescent="0.35">
      <c r="A1732" s="18">
        <v>1693</v>
      </c>
      <c r="B1732" s="19"/>
    </row>
    <row r="1733" spans="1:2" x14ac:dyDescent="0.35">
      <c r="A1733" s="18">
        <v>1694</v>
      </c>
      <c r="B1733" s="19"/>
    </row>
    <row r="1734" spans="1:2" x14ac:dyDescent="0.35">
      <c r="A1734" s="18">
        <v>1695</v>
      </c>
      <c r="B1734" s="19"/>
    </row>
    <row r="1735" spans="1:2" x14ac:dyDescent="0.35">
      <c r="A1735" s="18">
        <v>1696</v>
      </c>
      <c r="B1735" s="19"/>
    </row>
    <row r="1736" spans="1:2" x14ac:dyDescent="0.35">
      <c r="A1736" s="18">
        <v>1697</v>
      </c>
      <c r="B1736" s="19"/>
    </row>
    <row r="1737" spans="1:2" x14ac:dyDescent="0.35">
      <c r="A1737" s="18">
        <v>1698</v>
      </c>
      <c r="B1737" s="19"/>
    </row>
    <row r="1738" spans="1:2" x14ac:dyDescent="0.35">
      <c r="A1738" s="18">
        <v>1699</v>
      </c>
      <c r="B1738" s="19"/>
    </row>
    <row r="1739" spans="1:2" x14ac:dyDescent="0.35">
      <c r="A1739" s="18">
        <v>1700</v>
      </c>
      <c r="B1739" s="19"/>
    </row>
    <row r="1740" spans="1:2" x14ac:dyDescent="0.35">
      <c r="A1740" s="18">
        <v>1701</v>
      </c>
      <c r="B1740" s="19"/>
    </row>
    <row r="1741" spans="1:2" x14ac:dyDescent="0.35">
      <c r="A1741" s="18">
        <v>1702</v>
      </c>
      <c r="B1741" s="19"/>
    </row>
    <row r="1742" spans="1:2" x14ac:dyDescent="0.35">
      <c r="A1742" s="18">
        <v>1703</v>
      </c>
      <c r="B1742" s="19"/>
    </row>
    <row r="1743" spans="1:2" x14ac:dyDescent="0.35">
      <c r="A1743" s="18">
        <v>1704</v>
      </c>
      <c r="B1743" s="19"/>
    </row>
    <row r="1744" spans="1:2" x14ac:dyDescent="0.35">
      <c r="A1744" s="18">
        <v>1705</v>
      </c>
      <c r="B1744" s="19"/>
    </row>
    <row r="1745" spans="1:2" x14ac:dyDescent="0.35">
      <c r="A1745" s="18">
        <v>1706</v>
      </c>
      <c r="B1745" s="19"/>
    </row>
    <row r="1746" spans="1:2" x14ac:dyDescent="0.35">
      <c r="A1746" s="18">
        <v>1707</v>
      </c>
      <c r="B1746" s="19"/>
    </row>
    <row r="1747" spans="1:2" x14ac:dyDescent="0.35">
      <c r="A1747" s="18">
        <v>1708</v>
      </c>
      <c r="B1747" s="19"/>
    </row>
    <row r="1748" spans="1:2" x14ac:dyDescent="0.35">
      <c r="A1748" s="18">
        <v>1709</v>
      </c>
      <c r="B1748" s="19"/>
    </row>
    <row r="1749" spans="1:2" x14ac:dyDescent="0.35">
      <c r="A1749" s="18">
        <v>1710</v>
      </c>
      <c r="B1749" s="19"/>
    </row>
    <row r="1750" spans="1:2" x14ac:dyDescent="0.35">
      <c r="A1750" s="18">
        <v>1711</v>
      </c>
      <c r="B1750" s="19"/>
    </row>
    <row r="1751" spans="1:2" x14ac:dyDescent="0.35">
      <c r="A1751" s="18">
        <v>1712</v>
      </c>
      <c r="B1751" s="19"/>
    </row>
    <row r="1752" spans="1:2" x14ac:dyDescent="0.35">
      <c r="A1752" s="18">
        <v>1713</v>
      </c>
      <c r="B1752" s="19"/>
    </row>
    <row r="1753" spans="1:2" x14ac:dyDescent="0.35">
      <c r="A1753" s="18">
        <v>1714</v>
      </c>
      <c r="B1753" s="19"/>
    </row>
    <row r="1754" spans="1:2" x14ac:dyDescent="0.35">
      <c r="A1754" s="18">
        <v>1715</v>
      </c>
      <c r="B1754" s="19"/>
    </row>
    <row r="1755" spans="1:2" x14ac:dyDescent="0.35">
      <c r="A1755" s="18">
        <v>1716</v>
      </c>
      <c r="B1755" s="19"/>
    </row>
    <row r="1756" spans="1:2" x14ac:dyDescent="0.35">
      <c r="A1756" s="18">
        <v>1717</v>
      </c>
      <c r="B1756" s="19"/>
    </row>
    <row r="1757" spans="1:2" x14ac:dyDescent="0.35">
      <c r="A1757" s="18">
        <v>1718</v>
      </c>
      <c r="B1757" s="19"/>
    </row>
    <row r="1758" spans="1:2" x14ac:dyDescent="0.35">
      <c r="A1758" s="18">
        <v>1719</v>
      </c>
      <c r="B1758" s="19"/>
    </row>
    <row r="1759" spans="1:2" x14ac:dyDescent="0.35">
      <c r="A1759" s="18">
        <v>1720</v>
      </c>
      <c r="B1759" s="19"/>
    </row>
    <row r="1760" spans="1:2" x14ac:dyDescent="0.35">
      <c r="A1760" s="18">
        <v>1721</v>
      </c>
      <c r="B1760" s="19"/>
    </row>
    <row r="1761" spans="1:2" x14ac:dyDescent="0.35">
      <c r="A1761" s="18">
        <v>1722</v>
      </c>
      <c r="B1761" s="19"/>
    </row>
    <row r="1762" spans="1:2" x14ac:dyDescent="0.35">
      <c r="A1762" s="18">
        <v>1723</v>
      </c>
      <c r="B1762" s="19"/>
    </row>
    <row r="1763" spans="1:2" x14ac:dyDescent="0.35">
      <c r="A1763" s="18">
        <v>1724</v>
      </c>
      <c r="B1763" s="19"/>
    </row>
    <row r="1764" spans="1:2" x14ac:dyDescent="0.35">
      <c r="A1764" s="18">
        <v>1725</v>
      </c>
      <c r="B1764" s="19"/>
    </row>
    <row r="1765" spans="1:2" x14ac:dyDescent="0.35">
      <c r="A1765" s="18">
        <v>1726</v>
      </c>
      <c r="B1765" s="19"/>
    </row>
    <row r="1766" spans="1:2" x14ac:dyDescent="0.35">
      <c r="A1766" s="18">
        <v>1727</v>
      </c>
      <c r="B1766" s="19"/>
    </row>
    <row r="1767" spans="1:2" x14ac:dyDescent="0.35">
      <c r="A1767" s="18">
        <v>1728</v>
      </c>
      <c r="B1767" s="19"/>
    </row>
    <row r="1768" spans="1:2" x14ac:dyDescent="0.35">
      <c r="A1768" s="18">
        <v>1729</v>
      </c>
      <c r="B1768" s="19"/>
    </row>
    <row r="1769" spans="1:2" x14ac:dyDescent="0.35">
      <c r="A1769" s="18">
        <v>1730</v>
      </c>
      <c r="B1769" s="19"/>
    </row>
    <row r="1770" spans="1:2" x14ac:dyDescent="0.35">
      <c r="A1770" s="18">
        <v>1731</v>
      </c>
      <c r="B1770" s="19"/>
    </row>
    <row r="1771" spans="1:2" x14ac:dyDescent="0.35">
      <c r="A1771" s="18">
        <v>1732</v>
      </c>
      <c r="B1771" s="19"/>
    </row>
    <row r="1772" spans="1:2" x14ac:dyDescent="0.35">
      <c r="A1772" s="18">
        <v>1733</v>
      </c>
      <c r="B1772" s="19"/>
    </row>
    <row r="1773" spans="1:2" x14ac:dyDescent="0.35">
      <c r="A1773" s="18">
        <v>1734</v>
      </c>
      <c r="B1773" s="19"/>
    </row>
    <row r="1774" spans="1:2" x14ac:dyDescent="0.35">
      <c r="A1774" s="18">
        <v>1735</v>
      </c>
      <c r="B1774" s="19"/>
    </row>
    <row r="1775" spans="1:2" x14ac:dyDescent="0.35">
      <c r="A1775" s="18">
        <v>1736</v>
      </c>
      <c r="B1775" s="19"/>
    </row>
    <row r="1776" spans="1:2" x14ac:dyDescent="0.35">
      <c r="A1776" s="18">
        <v>1737</v>
      </c>
      <c r="B1776" s="19"/>
    </row>
    <row r="1777" spans="1:2" x14ac:dyDescent="0.35">
      <c r="A1777" s="18">
        <v>1738</v>
      </c>
      <c r="B1777" s="19"/>
    </row>
    <row r="1778" spans="1:2" x14ac:dyDescent="0.35">
      <c r="A1778" s="18">
        <v>1739</v>
      </c>
      <c r="B1778" s="19"/>
    </row>
    <row r="1779" spans="1:2" x14ac:dyDescent="0.35">
      <c r="A1779" s="18">
        <v>1740</v>
      </c>
      <c r="B1779" s="19"/>
    </row>
    <row r="1780" spans="1:2" x14ac:dyDescent="0.35">
      <c r="A1780" s="18">
        <v>1741</v>
      </c>
      <c r="B1780" s="19"/>
    </row>
    <row r="1781" spans="1:2" x14ac:dyDescent="0.35">
      <c r="A1781" s="18">
        <v>1742</v>
      </c>
      <c r="B1781" s="19"/>
    </row>
    <row r="1782" spans="1:2" x14ac:dyDescent="0.35">
      <c r="A1782" s="18">
        <v>1743</v>
      </c>
      <c r="B1782" s="19"/>
    </row>
    <row r="1783" spans="1:2" x14ac:dyDescent="0.35">
      <c r="A1783" s="18">
        <v>1744</v>
      </c>
      <c r="B1783" s="19"/>
    </row>
    <row r="1784" spans="1:2" x14ac:dyDescent="0.35">
      <c r="A1784" s="18">
        <v>1745</v>
      </c>
      <c r="B1784" s="19"/>
    </row>
    <row r="1785" spans="1:2" x14ac:dyDescent="0.35">
      <c r="A1785" s="18">
        <v>1746</v>
      </c>
      <c r="B1785" s="19"/>
    </row>
    <row r="1786" spans="1:2" x14ac:dyDescent="0.35">
      <c r="A1786" s="18">
        <v>1747</v>
      </c>
      <c r="B1786" s="19"/>
    </row>
    <row r="1787" spans="1:2" x14ac:dyDescent="0.35">
      <c r="A1787" s="18">
        <v>1748</v>
      </c>
      <c r="B1787" s="19"/>
    </row>
    <row r="1788" spans="1:2" x14ac:dyDescent="0.35">
      <c r="A1788" s="18">
        <v>1749</v>
      </c>
      <c r="B1788" s="19"/>
    </row>
    <row r="1789" spans="1:2" x14ac:dyDescent="0.35">
      <c r="A1789" s="18">
        <v>1750</v>
      </c>
      <c r="B1789" s="19"/>
    </row>
    <row r="1790" spans="1:2" x14ac:dyDescent="0.35">
      <c r="A1790" s="18">
        <v>1751</v>
      </c>
      <c r="B1790" s="19"/>
    </row>
    <row r="1791" spans="1:2" x14ac:dyDescent="0.35">
      <c r="A1791" s="18">
        <v>1752</v>
      </c>
      <c r="B1791" s="19"/>
    </row>
    <row r="1792" spans="1:2" x14ac:dyDescent="0.35">
      <c r="A1792" s="18">
        <v>1753</v>
      </c>
      <c r="B1792" s="19"/>
    </row>
    <row r="1793" spans="1:2" x14ac:dyDescent="0.35">
      <c r="A1793" s="18">
        <v>1754</v>
      </c>
      <c r="B1793" s="19"/>
    </row>
    <row r="1794" spans="1:2" x14ac:dyDescent="0.35">
      <c r="A1794" s="18">
        <v>1755</v>
      </c>
      <c r="B1794" s="19"/>
    </row>
    <row r="1795" spans="1:2" x14ac:dyDescent="0.35">
      <c r="A1795" s="18">
        <v>1756</v>
      </c>
      <c r="B1795" s="19"/>
    </row>
    <row r="1796" spans="1:2" x14ac:dyDescent="0.35">
      <c r="A1796" s="18">
        <v>1757</v>
      </c>
      <c r="B1796" s="19"/>
    </row>
    <row r="1797" spans="1:2" x14ac:dyDescent="0.35">
      <c r="A1797" s="18">
        <v>1758</v>
      </c>
      <c r="B1797" s="19"/>
    </row>
    <row r="1798" spans="1:2" x14ac:dyDescent="0.35">
      <c r="A1798" s="18">
        <v>1759</v>
      </c>
      <c r="B1798" s="19"/>
    </row>
    <row r="1799" spans="1:2" x14ac:dyDescent="0.35">
      <c r="A1799" s="18">
        <v>1760</v>
      </c>
      <c r="B1799" s="19"/>
    </row>
    <row r="1800" spans="1:2" x14ac:dyDescent="0.35">
      <c r="A1800" s="18">
        <v>1761</v>
      </c>
      <c r="B1800" s="19"/>
    </row>
    <row r="1801" spans="1:2" x14ac:dyDescent="0.35">
      <c r="A1801" s="18">
        <v>1762</v>
      </c>
      <c r="B1801" s="19"/>
    </row>
    <row r="1802" spans="1:2" x14ac:dyDescent="0.35">
      <c r="A1802" s="18">
        <v>1763</v>
      </c>
      <c r="B1802" s="19"/>
    </row>
    <row r="1803" spans="1:2" x14ac:dyDescent="0.35">
      <c r="A1803" s="18">
        <v>1764</v>
      </c>
      <c r="B1803" s="19"/>
    </row>
    <row r="1804" spans="1:2" x14ac:dyDescent="0.35">
      <c r="A1804" s="18">
        <v>1765</v>
      </c>
      <c r="B1804" s="19"/>
    </row>
    <row r="1805" spans="1:2" x14ac:dyDescent="0.35">
      <c r="A1805" s="18">
        <v>1766</v>
      </c>
      <c r="B1805" s="19"/>
    </row>
    <row r="1806" spans="1:2" x14ac:dyDescent="0.35">
      <c r="A1806" s="18">
        <v>1767</v>
      </c>
      <c r="B1806" s="19"/>
    </row>
    <row r="1807" spans="1:2" x14ac:dyDescent="0.35">
      <c r="A1807" s="18">
        <v>1768</v>
      </c>
      <c r="B1807" s="19"/>
    </row>
    <row r="1808" spans="1:2" x14ac:dyDescent="0.35">
      <c r="A1808" s="18">
        <v>1769</v>
      </c>
      <c r="B1808" s="19"/>
    </row>
    <row r="1809" spans="1:2" x14ac:dyDescent="0.35">
      <c r="A1809" s="18">
        <v>1770</v>
      </c>
      <c r="B1809" s="19"/>
    </row>
    <row r="1810" spans="1:2" x14ac:dyDescent="0.35">
      <c r="A1810" s="18">
        <v>1771</v>
      </c>
      <c r="B1810" s="19"/>
    </row>
    <row r="1811" spans="1:2" x14ac:dyDescent="0.35">
      <c r="A1811" s="18">
        <v>1772</v>
      </c>
      <c r="B1811" s="19"/>
    </row>
    <row r="1812" spans="1:2" x14ac:dyDescent="0.35">
      <c r="A1812" s="18">
        <v>1773</v>
      </c>
      <c r="B1812" s="19"/>
    </row>
    <row r="1813" spans="1:2" x14ac:dyDescent="0.35">
      <c r="A1813" s="18">
        <v>1774</v>
      </c>
      <c r="B1813" s="19"/>
    </row>
    <row r="1814" spans="1:2" x14ac:dyDescent="0.35">
      <c r="A1814" s="18">
        <v>1775</v>
      </c>
      <c r="B1814" s="19"/>
    </row>
    <row r="1815" spans="1:2" x14ac:dyDescent="0.35">
      <c r="A1815" s="18">
        <v>1776</v>
      </c>
      <c r="B1815" s="19"/>
    </row>
    <row r="1816" spans="1:2" x14ac:dyDescent="0.35">
      <c r="A1816" s="18">
        <v>1777</v>
      </c>
      <c r="B1816" s="19"/>
    </row>
    <row r="1817" spans="1:2" x14ac:dyDescent="0.35">
      <c r="A1817" s="18">
        <v>1778</v>
      </c>
      <c r="B1817" s="19"/>
    </row>
    <row r="1818" spans="1:2" x14ac:dyDescent="0.35">
      <c r="A1818" s="18">
        <v>1779</v>
      </c>
      <c r="B1818" s="19"/>
    </row>
    <row r="1819" spans="1:2" x14ac:dyDescent="0.35">
      <c r="A1819" s="18">
        <v>1780</v>
      </c>
      <c r="B1819" s="19"/>
    </row>
    <row r="1820" spans="1:2" x14ac:dyDescent="0.35">
      <c r="A1820" s="18">
        <v>1781</v>
      </c>
      <c r="B1820" s="19"/>
    </row>
    <row r="1821" spans="1:2" x14ac:dyDescent="0.35">
      <c r="A1821" s="18">
        <v>1782</v>
      </c>
      <c r="B1821" s="19"/>
    </row>
    <row r="1822" spans="1:2" x14ac:dyDescent="0.35">
      <c r="A1822" s="18">
        <v>1783</v>
      </c>
      <c r="B1822" s="19"/>
    </row>
    <row r="1823" spans="1:2" x14ac:dyDescent="0.35">
      <c r="A1823" s="18">
        <v>1784</v>
      </c>
      <c r="B1823" s="19"/>
    </row>
    <row r="1824" spans="1:2" x14ac:dyDescent="0.35">
      <c r="A1824" s="18">
        <v>1785</v>
      </c>
      <c r="B1824" s="19"/>
    </row>
    <row r="1825" spans="1:2" x14ac:dyDescent="0.35">
      <c r="A1825" s="18">
        <v>1786</v>
      </c>
      <c r="B1825" s="19"/>
    </row>
    <row r="1826" spans="1:2" x14ac:dyDescent="0.35">
      <c r="A1826" s="18">
        <v>1787</v>
      </c>
      <c r="B1826" s="19"/>
    </row>
    <row r="1827" spans="1:2" x14ac:dyDescent="0.35">
      <c r="A1827" s="18">
        <v>1788</v>
      </c>
      <c r="B1827" s="19"/>
    </row>
    <row r="1828" spans="1:2" x14ac:dyDescent="0.35">
      <c r="A1828" s="18">
        <v>1789</v>
      </c>
      <c r="B1828" s="19"/>
    </row>
    <row r="1829" spans="1:2" x14ac:dyDescent="0.35">
      <c r="A1829" s="18">
        <v>1790</v>
      </c>
      <c r="B1829" s="19"/>
    </row>
    <row r="1830" spans="1:2" x14ac:dyDescent="0.35">
      <c r="A1830" s="18">
        <v>1791</v>
      </c>
      <c r="B1830" s="19"/>
    </row>
    <row r="1831" spans="1:2" x14ac:dyDescent="0.35">
      <c r="A1831" s="18">
        <v>1792</v>
      </c>
      <c r="B1831" s="19"/>
    </row>
    <row r="1832" spans="1:2" x14ac:dyDescent="0.35">
      <c r="A1832" s="18">
        <v>1793</v>
      </c>
      <c r="B1832" s="19"/>
    </row>
    <row r="1833" spans="1:2" x14ac:dyDescent="0.35">
      <c r="A1833" s="18">
        <v>1794</v>
      </c>
      <c r="B1833" s="19"/>
    </row>
    <row r="1834" spans="1:2" x14ac:dyDescent="0.35">
      <c r="A1834" s="18">
        <v>1795</v>
      </c>
      <c r="B1834" s="19"/>
    </row>
    <row r="1835" spans="1:2" x14ac:dyDescent="0.35">
      <c r="A1835" s="18">
        <v>1796</v>
      </c>
      <c r="B1835" s="19"/>
    </row>
    <row r="1836" spans="1:2" x14ac:dyDescent="0.35">
      <c r="A1836" s="18">
        <v>1797</v>
      </c>
      <c r="B1836" s="19"/>
    </row>
    <row r="1837" spans="1:2" x14ac:dyDescent="0.35">
      <c r="A1837" s="18">
        <v>1798</v>
      </c>
      <c r="B1837" s="19"/>
    </row>
    <row r="1838" spans="1:2" x14ac:dyDescent="0.35">
      <c r="A1838" s="18">
        <v>1799</v>
      </c>
      <c r="B1838" s="19"/>
    </row>
    <row r="1839" spans="1:2" x14ac:dyDescent="0.35">
      <c r="A1839" s="18">
        <v>1800</v>
      </c>
      <c r="B1839" s="19"/>
    </row>
    <row r="1840" spans="1:2" x14ac:dyDescent="0.35">
      <c r="A1840" s="18">
        <v>1801</v>
      </c>
      <c r="B1840" s="19"/>
    </row>
    <row r="1841" spans="1:2" x14ac:dyDescent="0.35">
      <c r="A1841" s="18">
        <v>1802</v>
      </c>
      <c r="B1841" s="19"/>
    </row>
    <row r="1842" spans="1:2" x14ac:dyDescent="0.35">
      <c r="A1842" s="18">
        <v>1803</v>
      </c>
      <c r="B1842" s="19"/>
    </row>
    <row r="1843" spans="1:2" x14ac:dyDescent="0.35">
      <c r="A1843" s="18">
        <v>1804</v>
      </c>
      <c r="B1843" s="19"/>
    </row>
    <row r="1844" spans="1:2" x14ac:dyDescent="0.35">
      <c r="A1844" s="18">
        <v>1805</v>
      </c>
      <c r="B1844" s="19"/>
    </row>
    <row r="1845" spans="1:2" x14ac:dyDescent="0.35">
      <c r="A1845" s="18">
        <v>1806</v>
      </c>
      <c r="B1845" s="19"/>
    </row>
    <row r="1846" spans="1:2" x14ac:dyDescent="0.35">
      <c r="A1846" s="18">
        <v>1807</v>
      </c>
      <c r="B1846" s="19"/>
    </row>
    <row r="1847" spans="1:2" x14ac:dyDescent="0.35">
      <c r="A1847" s="18">
        <v>1808</v>
      </c>
      <c r="B1847" s="19"/>
    </row>
    <row r="1848" spans="1:2" x14ac:dyDescent="0.35">
      <c r="A1848" s="18">
        <v>1809</v>
      </c>
      <c r="B1848" s="19"/>
    </row>
    <row r="1849" spans="1:2" x14ac:dyDescent="0.35">
      <c r="A1849" s="18">
        <v>1810</v>
      </c>
      <c r="B1849" s="19"/>
    </row>
    <row r="1850" spans="1:2" x14ac:dyDescent="0.35">
      <c r="A1850" s="18">
        <v>1811</v>
      </c>
      <c r="B1850" s="19"/>
    </row>
    <row r="1851" spans="1:2" x14ac:dyDescent="0.35">
      <c r="A1851" s="18">
        <v>1812</v>
      </c>
      <c r="B1851" s="19"/>
    </row>
    <row r="1852" spans="1:2" x14ac:dyDescent="0.35">
      <c r="A1852" s="18">
        <v>1813</v>
      </c>
      <c r="B1852" s="19"/>
    </row>
    <row r="1853" spans="1:2" x14ac:dyDescent="0.35">
      <c r="A1853" s="18">
        <v>1814</v>
      </c>
      <c r="B1853" s="19"/>
    </row>
    <row r="1854" spans="1:2" x14ac:dyDescent="0.35">
      <c r="A1854" s="18">
        <v>1815</v>
      </c>
      <c r="B1854" s="19"/>
    </row>
    <row r="1855" spans="1:2" x14ac:dyDescent="0.35">
      <c r="A1855" s="18">
        <v>1816</v>
      </c>
      <c r="B1855" s="19"/>
    </row>
    <row r="1856" spans="1:2" x14ac:dyDescent="0.35">
      <c r="A1856" s="18">
        <v>1817</v>
      </c>
      <c r="B1856" s="19"/>
    </row>
    <row r="1857" spans="1:2" x14ac:dyDescent="0.35">
      <c r="A1857" s="18">
        <v>1818</v>
      </c>
      <c r="B1857" s="19"/>
    </row>
    <row r="1858" spans="1:2" x14ac:dyDescent="0.35">
      <c r="A1858" s="18">
        <v>1819</v>
      </c>
      <c r="B1858" s="19"/>
    </row>
    <row r="1859" spans="1:2" x14ac:dyDescent="0.35">
      <c r="A1859" s="18">
        <v>1820</v>
      </c>
      <c r="B1859" s="19"/>
    </row>
    <row r="1860" spans="1:2" x14ac:dyDescent="0.35">
      <c r="A1860" s="18">
        <v>1821</v>
      </c>
      <c r="B1860" s="19"/>
    </row>
    <row r="1861" spans="1:2" x14ac:dyDescent="0.35">
      <c r="A1861" s="18">
        <v>1822</v>
      </c>
      <c r="B1861" s="19"/>
    </row>
    <row r="1862" spans="1:2" x14ac:dyDescent="0.35">
      <c r="A1862" s="18">
        <v>1823</v>
      </c>
      <c r="B1862" s="19"/>
    </row>
    <row r="1863" spans="1:2" x14ac:dyDescent="0.35">
      <c r="A1863" s="18">
        <v>1824</v>
      </c>
      <c r="B1863" s="19"/>
    </row>
    <row r="1864" spans="1:2" x14ac:dyDescent="0.35">
      <c r="A1864" s="18">
        <v>1825</v>
      </c>
      <c r="B1864" s="19"/>
    </row>
    <row r="1865" spans="1:2" x14ac:dyDescent="0.35">
      <c r="A1865" s="18">
        <v>1826</v>
      </c>
      <c r="B1865" s="19"/>
    </row>
    <row r="1866" spans="1:2" x14ac:dyDescent="0.35">
      <c r="A1866" s="18">
        <v>1827</v>
      </c>
      <c r="B1866" s="19"/>
    </row>
    <row r="1867" spans="1:2" x14ac:dyDescent="0.35">
      <c r="A1867" s="18">
        <v>1828</v>
      </c>
      <c r="B1867" s="19"/>
    </row>
    <row r="1868" spans="1:2" x14ac:dyDescent="0.35">
      <c r="A1868" s="18">
        <v>1829</v>
      </c>
      <c r="B1868" s="19"/>
    </row>
    <row r="1869" spans="1:2" x14ac:dyDescent="0.35">
      <c r="A1869" s="18">
        <v>1830</v>
      </c>
      <c r="B1869" s="19"/>
    </row>
    <row r="1870" spans="1:2" x14ac:dyDescent="0.35">
      <c r="A1870" s="18">
        <v>1831</v>
      </c>
      <c r="B1870" s="19"/>
    </row>
    <row r="1871" spans="1:2" x14ac:dyDescent="0.35">
      <c r="A1871" s="18">
        <v>1832</v>
      </c>
      <c r="B1871" s="19"/>
    </row>
    <row r="1872" spans="1:2" x14ac:dyDescent="0.35">
      <c r="A1872" s="18">
        <v>1833</v>
      </c>
      <c r="B1872" s="19"/>
    </row>
    <row r="1873" spans="1:2" x14ac:dyDescent="0.35">
      <c r="A1873" s="18">
        <v>1834</v>
      </c>
      <c r="B1873" s="19"/>
    </row>
    <row r="1874" spans="1:2" x14ac:dyDescent="0.35">
      <c r="A1874" s="18">
        <v>1835</v>
      </c>
      <c r="B1874" s="19"/>
    </row>
    <row r="1875" spans="1:2" x14ac:dyDescent="0.35">
      <c r="A1875" s="18">
        <v>1836</v>
      </c>
      <c r="B1875" s="19"/>
    </row>
    <row r="1876" spans="1:2" x14ac:dyDescent="0.35">
      <c r="A1876" s="18">
        <v>1837</v>
      </c>
      <c r="B1876" s="19"/>
    </row>
    <row r="1877" spans="1:2" x14ac:dyDescent="0.35">
      <c r="A1877" s="18">
        <v>1838</v>
      </c>
      <c r="B1877" s="19"/>
    </row>
    <row r="1878" spans="1:2" x14ac:dyDescent="0.35">
      <c r="A1878" s="18">
        <v>1839</v>
      </c>
      <c r="B1878" s="19"/>
    </row>
    <row r="1879" spans="1:2" x14ac:dyDescent="0.35">
      <c r="A1879" s="18">
        <v>1840</v>
      </c>
      <c r="B1879" s="19"/>
    </row>
    <row r="1880" spans="1:2" x14ac:dyDescent="0.35">
      <c r="A1880" s="18">
        <v>1841</v>
      </c>
      <c r="B1880" s="19"/>
    </row>
    <row r="1881" spans="1:2" x14ac:dyDescent="0.35">
      <c r="A1881" s="18">
        <v>1842</v>
      </c>
      <c r="B1881" s="19"/>
    </row>
    <row r="1882" spans="1:2" x14ac:dyDescent="0.35">
      <c r="A1882" s="18">
        <v>1843</v>
      </c>
      <c r="B1882" s="19"/>
    </row>
    <row r="1883" spans="1:2" x14ac:dyDescent="0.35">
      <c r="A1883" s="18">
        <v>1844</v>
      </c>
      <c r="B1883" s="19"/>
    </row>
    <row r="1884" spans="1:2" x14ac:dyDescent="0.35">
      <c r="A1884" s="18">
        <v>1845</v>
      </c>
      <c r="B1884" s="19"/>
    </row>
    <row r="1885" spans="1:2" x14ac:dyDescent="0.35">
      <c r="A1885" s="18">
        <v>1846</v>
      </c>
      <c r="B1885" s="19"/>
    </row>
    <row r="1886" spans="1:2" x14ac:dyDescent="0.35">
      <c r="A1886" s="18">
        <v>1847</v>
      </c>
      <c r="B1886" s="19"/>
    </row>
    <row r="1887" spans="1:2" x14ac:dyDescent="0.35">
      <c r="A1887" s="18">
        <v>1848</v>
      </c>
      <c r="B1887" s="19"/>
    </row>
    <row r="1888" spans="1:2" x14ac:dyDescent="0.35">
      <c r="A1888" s="18">
        <v>1849</v>
      </c>
      <c r="B1888" s="19"/>
    </row>
    <row r="1889" spans="1:2" x14ac:dyDescent="0.35">
      <c r="A1889" s="18">
        <v>1850</v>
      </c>
      <c r="B1889" s="19"/>
    </row>
    <row r="1890" spans="1:2" x14ac:dyDescent="0.35">
      <c r="A1890" s="18">
        <v>1851</v>
      </c>
      <c r="B1890" s="19"/>
    </row>
    <row r="1891" spans="1:2" x14ac:dyDescent="0.35">
      <c r="A1891" s="18">
        <v>1852</v>
      </c>
      <c r="B1891" s="19"/>
    </row>
    <row r="1892" spans="1:2" x14ac:dyDescent="0.35">
      <c r="A1892" s="18">
        <v>1853</v>
      </c>
      <c r="B1892" s="19"/>
    </row>
    <row r="1893" spans="1:2" x14ac:dyDescent="0.35">
      <c r="A1893" s="18">
        <v>1854</v>
      </c>
      <c r="B1893" s="19"/>
    </row>
    <row r="1894" spans="1:2" x14ac:dyDescent="0.35">
      <c r="A1894" s="18">
        <v>1855</v>
      </c>
      <c r="B1894" s="19"/>
    </row>
    <row r="1895" spans="1:2" x14ac:dyDescent="0.35">
      <c r="A1895" s="18">
        <v>1856</v>
      </c>
      <c r="B1895" s="19"/>
    </row>
    <row r="1896" spans="1:2" x14ac:dyDescent="0.35">
      <c r="A1896" s="18">
        <v>1857</v>
      </c>
      <c r="B1896" s="19"/>
    </row>
    <row r="1897" spans="1:2" x14ac:dyDescent="0.35">
      <c r="A1897" s="18">
        <v>1858</v>
      </c>
      <c r="B1897" s="19"/>
    </row>
    <row r="1898" spans="1:2" x14ac:dyDescent="0.35">
      <c r="A1898" s="18">
        <v>1859</v>
      </c>
      <c r="B1898" s="19"/>
    </row>
    <row r="1899" spans="1:2" x14ac:dyDescent="0.35">
      <c r="A1899" s="18">
        <v>1860</v>
      </c>
      <c r="B1899" s="19"/>
    </row>
    <row r="1900" spans="1:2" x14ac:dyDescent="0.35">
      <c r="A1900" s="18">
        <v>1861</v>
      </c>
      <c r="B1900" s="19"/>
    </row>
    <row r="1901" spans="1:2" x14ac:dyDescent="0.35">
      <c r="A1901" s="18">
        <v>1862</v>
      </c>
      <c r="B1901" s="19"/>
    </row>
    <row r="1902" spans="1:2" x14ac:dyDescent="0.35">
      <c r="A1902" s="18">
        <v>1863</v>
      </c>
      <c r="B1902" s="19"/>
    </row>
    <row r="1903" spans="1:2" x14ac:dyDescent="0.35">
      <c r="A1903" s="18">
        <v>1864</v>
      </c>
      <c r="B1903" s="19"/>
    </row>
    <row r="1904" spans="1:2" x14ac:dyDescent="0.35">
      <c r="A1904" s="18">
        <v>1865</v>
      </c>
      <c r="B1904" s="19"/>
    </row>
    <row r="1905" spans="1:2" x14ac:dyDescent="0.35">
      <c r="A1905" s="18">
        <v>1866</v>
      </c>
      <c r="B1905" s="19"/>
    </row>
    <row r="1906" spans="1:2" x14ac:dyDescent="0.35">
      <c r="A1906" s="18">
        <v>1867</v>
      </c>
      <c r="B1906" s="19"/>
    </row>
    <row r="1907" spans="1:2" x14ac:dyDescent="0.35">
      <c r="A1907" s="18">
        <v>1868</v>
      </c>
      <c r="B1907" s="19"/>
    </row>
    <row r="1908" spans="1:2" x14ac:dyDescent="0.35">
      <c r="A1908" s="18">
        <v>1869</v>
      </c>
      <c r="B1908" s="19"/>
    </row>
    <row r="1909" spans="1:2" x14ac:dyDescent="0.35">
      <c r="A1909" s="18">
        <v>1870</v>
      </c>
      <c r="B1909" s="19"/>
    </row>
    <row r="1910" spans="1:2" x14ac:dyDescent="0.35">
      <c r="A1910" s="18">
        <v>1871</v>
      </c>
      <c r="B1910" s="19"/>
    </row>
    <row r="1911" spans="1:2" x14ac:dyDescent="0.35">
      <c r="A1911" s="18">
        <v>1872</v>
      </c>
      <c r="B1911" s="19"/>
    </row>
    <row r="1912" spans="1:2" x14ac:dyDescent="0.35">
      <c r="A1912" s="18">
        <v>1873</v>
      </c>
      <c r="B1912" s="19"/>
    </row>
    <row r="1913" spans="1:2" x14ac:dyDescent="0.35">
      <c r="A1913" s="18">
        <v>1874</v>
      </c>
      <c r="B1913" s="19"/>
    </row>
    <row r="1914" spans="1:2" x14ac:dyDescent="0.35">
      <c r="A1914" s="18">
        <v>1875</v>
      </c>
      <c r="B1914" s="19"/>
    </row>
    <row r="1915" spans="1:2" x14ac:dyDescent="0.35">
      <c r="A1915" s="18">
        <v>1876</v>
      </c>
      <c r="B1915" s="19"/>
    </row>
    <row r="1916" spans="1:2" x14ac:dyDescent="0.35">
      <c r="A1916" s="18">
        <v>1877</v>
      </c>
      <c r="B1916" s="19"/>
    </row>
    <row r="1917" spans="1:2" x14ac:dyDescent="0.35">
      <c r="A1917" s="18">
        <v>1878</v>
      </c>
      <c r="B1917" s="19"/>
    </row>
    <row r="1918" spans="1:2" x14ac:dyDescent="0.35">
      <c r="A1918" s="18">
        <v>1879</v>
      </c>
      <c r="B1918" s="19"/>
    </row>
    <row r="1919" spans="1:2" x14ac:dyDescent="0.35">
      <c r="A1919" s="18">
        <v>1880</v>
      </c>
      <c r="B1919" s="19"/>
    </row>
    <row r="1920" spans="1:2" x14ac:dyDescent="0.35">
      <c r="A1920" s="18">
        <v>1881</v>
      </c>
      <c r="B1920" s="19"/>
    </row>
    <row r="1921" spans="1:2" x14ac:dyDescent="0.35">
      <c r="A1921" s="18">
        <v>1882</v>
      </c>
      <c r="B1921" s="19"/>
    </row>
    <row r="1922" spans="1:2" x14ac:dyDescent="0.35">
      <c r="A1922" s="18">
        <v>1883</v>
      </c>
      <c r="B1922" s="19"/>
    </row>
    <row r="1923" spans="1:2" x14ac:dyDescent="0.35">
      <c r="A1923" s="18">
        <v>1884</v>
      </c>
      <c r="B1923" s="19"/>
    </row>
    <row r="1924" spans="1:2" x14ac:dyDescent="0.35">
      <c r="A1924" s="18">
        <v>1885</v>
      </c>
      <c r="B1924" s="19"/>
    </row>
    <row r="1925" spans="1:2" x14ac:dyDescent="0.35">
      <c r="A1925" s="18">
        <v>1886</v>
      </c>
      <c r="B1925" s="19"/>
    </row>
    <row r="1926" spans="1:2" x14ac:dyDescent="0.35">
      <c r="A1926" s="18">
        <v>1887</v>
      </c>
      <c r="B1926" s="19"/>
    </row>
    <row r="1927" spans="1:2" x14ac:dyDescent="0.35">
      <c r="A1927" s="18">
        <v>1888</v>
      </c>
      <c r="B1927" s="19"/>
    </row>
    <row r="1928" spans="1:2" x14ac:dyDescent="0.35">
      <c r="A1928" s="18">
        <v>1889</v>
      </c>
      <c r="B1928" s="19"/>
    </row>
    <row r="1929" spans="1:2" x14ac:dyDescent="0.35">
      <c r="A1929" s="18">
        <v>1890</v>
      </c>
      <c r="B1929" s="19"/>
    </row>
    <row r="1930" spans="1:2" x14ac:dyDescent="0.35">
      <c r="A1930" s="18">
        <v>1891</v>
      </c>
      <c r="B1930" s="19"/>
    </row>
    <row r="1931" spans="1:2" x14ac:dyDescent="0.35">
      <c r="A1931" s="18">
        <v>1892</v>
      </c>
      <c r="B1931" s="19"/>
    </row>
    <row r="1932" spans="1:2" x14ac:dyDescent="0.35">
      <c r="A1932" s="18">
        <v>1893</v>
      </c>
      <c r="B1932" s="19"/>
    </row>
    <row r="1933" spans="1:2" x14ac:dyDescent="0.35">
      <c r="A1933" s="18">
        <v>1894</v>
      </c>
      <c r="B1933" s="19"/>
    </row>
    <row r="1934" spans="1:2" x14ac:dyDescent="0.35">
      <c r="A1934" s="18">
        <v>1895</v>
      </c>
      <c r="B1934" s="19"/>
    </row>
    <row r="1935" spans="1:2" x14ac:dyDescent="0.35">
      <c r="A1935" s="18">
        <v>1896</v>
      </c>
      <c r="B1935" s="19"/>
    </row>
    <row r="1936" spans="1:2" x14ac:dyDescent="0.35">
      <c r="A1936" s="18">
        <v>1897</v>
      </c>
      <c r="B1936" s="19"/>
    </row>
    <row r="1937" spans="1:2" x14ac:dyDescent="0.35">
      <c r="A1937" s="18">
        <v>1898</v>
      </c>
      <c r="B1937" s="19"/>
    </row>
    <row r="1938" spans="1:2" x14ac:dyDescent="0.35">
      <c r="A1938" s="18">
        <v>1899</v>
      </c>
      <c r="B1938" s="19"/>
    </row>
    <row r="1939" spans="1:2" x14ac:dyDescent="0.35">
      <c r="A1939" s="18">
        <v>1900</v>
      </c>
      <c r="B1939" s="19"/>
    </row>
    <row r="1940" spans="1:2" x14ac:dyDescent="0.35">
      <c r="A1940" s="18">
        <v>1901</v>
      </c>
      <c r="B1940" s="19"/>
    </row>
    <row r="1941" spans="1:2" x14ac:dyDescent="0.35">
      <c r="A1941" s="18">
        <v>1902</v>
      </c>
      <c r="B1941" s="19"/>
    </row>
    <row r="1942" spans="1:2" x14ac:dyDescent="0.35">
      <c r="A1942" s="18">
        <v>1903</v>
      </c>
      <c r="B1942" s="19"/>
    </row>
    <row r="1943" spans="1:2" x14ac:dyDescent="0.35">
      <c r="A1943" s="18">
        <v>1904</v>
      </c>
      <c r="B1943" s="19"/>
    </row>
    <row r="1944" spans="1:2" x14ac:dyDescent="0.35">
      <c r="A1944" s="18">
        <v>1905</v>
      </c>
      <c r="B1944" s="19"/>
    </row>
    <row r="1945" spans="1:2" x14ac:dyDescent="0.35">
      <c r="A1945" s="18">
        <v>1906</v>
      </c>
      <c r="B1945" s="19"/>
    </row>
    <row r="1946" spans="1:2" x14ac:dyDescent="0.35">
      <c r="A1946" s="18">
        <v>1907</v>
      </c>
      <c r="B1946" s="19"/>
    </row>
    <row r="1947" spans="1:2" x14ac:dyDescent="0.35">
      <c r="A1947" s="18">
        <v>1908</v>
      </c>
      <c r="B1947" s="19"/>
    </row>
    <row r="1948" spans="1:2" x14ac:dyDescent="0.35">
      <c r="A1948" s="18">
        <v>1909</v>
      </c>
      <c r="B1948" s="19"/>
    </row>
    <row r="1949" spans="1:2" x14ac:dyDescent="0.35">
      <c r="A1949" s="18">
        <v>1910</v>
      </c>
      <c r="B1949" s="19"/>
    </row>
    <row r="1950" spans="1:2" x14ac:dyDescent="0.35">
      <c r="A1950" s="18">
        <v>1911</v>
      </c>
      <c r="B1950" s="19"/>
    </row>
    <row r="1951" spans="1:2" x14ac:dyDescent="0.35">
      <c r="A1951" s="18">
        <v>1912</v>
      </c>
      <c r="B1951" s="19"/>
    </row>
    <row r="1952" spans="1:2" x14ac:dyDescent="0.35">
      <c r="A1952" s="18">
        <v>1913</v>
      </c>
      <c r="B1952" s="19"/>
    </row>
    <row r="1953" spans="1:2" x14ac:dyDescent="0.35">
      <c r="A1953" s="18">
        <v>1914</v>
      </c>
      <c r="B1953" s="19"/>
    </row>
    <row r="1954" spans="1:2" x14ac:dyDescent="0.35">
      <c r="A1954" s="18">
        <v>1915</v>
      </c>
      <c r="B1954" s="19"/>
    </row>
    <row r="1955" spans="1:2" x14ac:dyDescent="0.35">
      <c r="A1955" s="18">
        <v>1916</v>
      </c>
      <c r="B1955" s="19"/>
    </row>
    <row r="1956" spans="1:2" x14ac:dyDescent="0.35">
      <c r="A1956" s="18">
        <v>1917</v>
      </c>
      <c r="B1956" s="19"/>
    </row>
    <row r="1957" spans="1:2" x14ac:dyDescent="0.35">
      <c r="A1957" s="18">
        <v>1918</v>
      </c>
      <c r="B1957" s="19"/>
    </row>
    <row r="1958" spans="1:2" x14ac:dyDescent="0.35">
      <c r="A1958" s="18">
        <v>1919</v>
      </c>
      <c r="B1958" s="19"/>
    </row>
    <row r="1959" spans="1:2" x14ac:dyDescent="0.35">
      <c r="A1959" s="18">
        <v>1920</v>
      </c>
      <c r="B1959" s="19"/>
    </row>
    <row r="1960" spans="1:2" x14ac:dyDescent="0.35">
      <c r="A1960" s="18">
        <v>1921</v>
      </c>
      <c r="B1960" s="19"/>
    </row>
    <row r="1961" spans="1:2" x14ac:dyDescent="0.35">
      <c r="A1961" s="18">
        <v>1922</v>
      </c>
      <c r="B1961" s="19"/>
    </row>
    <row r="1962" spans="1:2" x14ac:dyDescent="0.35">
      <c r="A1962" s="18">
        <v>1923</v>
      </c>
      <c r="B1962" s="19"/>
    </row>
    <row r="1963" spans="1:2" x14ac:dyDescent="0.35">
      <c r="A1963" s="18">
        <v>1924</v>
      </c>
      <c r="B1963" s="19"/>
    </row>
    <row r="1964" spans="1:2" x14ac:dyDescent="0.35">
      <c r="A1964" s="18">
        <v>1925</v>
      </c>
      <c r="B1964" s="19"/>
    </row>
    <row r="1965" spans="1:2" x14ac:dyDescent="0.35">
      <c r="A1965" s="18">
        <v>1926</v>
      </c>
      <c r="B1965" s="19"/>
    </row>
    <row r="1966" spans="1:2" x14ac:dyDescent="0.35">
      <c r="A1966" s="18">
        <v>1927</v>
      </c>
      <c r="B1966" s="19"/>
    </row>
    <row r="1967" spans="1:2" x14ac:dyDescent="0.35">
      <c r="A1967" s="18">
        <v>1928</v>
      </c>
      <c r="B1967" s="19"/>
    </row>
    <row r="1968" spans="1:2" x14ac:dyDescent="0.35">
      <c r="A1968" s="18">
        <v>1929</v>
      </c>
      <c r="B1968" s="19"/>
    </row>
    <row r="1969" spans="1:2" x14ac:dyDescent="0.35">
      <c r="A1969" s="18">
        <v>1930</v>
      </c>
      <c r="B1969" s="19"/>
    </row>
    <row r="1970" spans="1:2" x14ac:dyDescent="0.35">
      <c r="A1970" s="18">
        <v>1931</v>
      </c>
      <c r="B1970" s="19"/>
    </row>
    <row r="1971" spans="1:2" x14ac:dyDescent="0.35">
      <c r="A1971" s="18">
        <v>1932</v>
      </c>
      <c r="B1971" s="19"/>
    </row>
    <row r="1972" spans="1:2" x14ac:dyDescent="0.35">
      <c r="A1972" s="18">
        <v>1933</v>
      </c>
      <c r="B1972" s="19"/>
    </row>
    <row r="1973" spans="1:2" x14ac:dyDescent="0.35">
      <c r="A1973" s="18">
        <v>1934</v>
      </c>
      <c r="B1973" s="19"/>
    </row>
    <row r="1974" spans="1:2" x14ac:dyDescent="0.35">
      <c r="A1974" s="18">
        <v>1935</v>
      </c>
      <c r="B1974" s="19"/>
    </row>
    <row r="1975" spans="1:2" x14ac:dyDescent="0.35">
      <c r="A1975" s="18">
        <v>1936</v>
      </c>
      <c r="B1975" s="19"/>
    </row>
    <row r="1976" spans="1:2" x14ac:dyDescent="0.35">
      <c r="A1976" s="18">
        <v>1937</v>
      </c>
      <c r="B1976" s="19"/>
    </row>
    <row r="1977" spans="1:2" x14ac:dyDescent="0.35">
      <c r="A1977" s="18">
        <v>1938</v>
      </c>
      <c r="B1977" s="19"/>
    </row>
    <row r="1978" spans="1:2" x14ac:dyDescent="0.35">
      <c r="A1978" s="18">
        <v>1939</v>
      </c>
      <c r="B1978" s="19"/>
    </row>
    <row r="1979" spans="1:2" x14ac:dyDescent="0.35">
      <c r="A1979" s="18">
        <v>1940</v>
      </c>
      <c r="B1979" s="19"/>
    </row>
    <row r="1980" spans="1:2" x14ac:dyDescent="0.35">
      <c r="A1980" s="18">
        <v>1941</v>
      </c>
      <c r="B1980" s="19"/>
    </row>
    <row r="1981" spans="1:2" x14ac:dyDescent="0.35">
      <c r="A1981" s="18">
        <v>1942</v>
      </c>
      <c r="B1981" s="19"/>
    </row>
    <row r="1982" spans="1:2" x14ac:dyDescent="0.35">
      <c r="A1982" s="18">
        <v>1943</v>
      </c>
      <c r="B1982" s="19"/>
    </row>
    <row r="1983" spans="1:2" x14ac:dyDescent="0.35">
      <c r="A1983" s="18">
        <v>1944</v>
      </c>
      <c r="B1983" s="19"/>
    </row>
    <row r="1984" spans="1:2" x14ac:dyDescent="0.35">
      <c r="A1984" s="18">
        <v>1945</v>
      </c>
      <c r="B1984" s="19"/>
    </row>
    <row r="1985" spans="1:2" x14ac:dyDescent="0.35">
      <c r="A1985" s="18">
        <v>1946</v>
      </c>
      <c r="B1985" s="19"/>
    </row>
    <row r="1986" spans="1:2" x14ac:dyDescent="0.35">
      <c r="A1986" s="18">
        <v>1947</v>
      </c>
      <c r="B1986" s="19"/>
    </row>
    <row r="1987" spans="1:2" x14ac:dyDescent="0.35">
      <c r="A1987" s="18">
        <v>1948</v>
      </c>
      <c r="B1987" s="19"/>
    </row>
    <row r="1988" spans="1:2" x14ac:dyDescent="0.35">
      <c r="A1988" s="18">
        <v>1949</v>
      </c>
      <c r="B1988" s="19"/>
    </row>
    <row r="1989" spans="1:2" x14ac:dyDescent="0.35">
      <c r="A1989" s="18">
        <v>1950</v>
      </c>
      <c r="B1989" s="19"/>
    </row>
    <row r="1990" spans="1:2" x14ac:dyDescent="0.35">
      <c r="A1990" s="18">
        <v>1951</v>
      </c>
      <c r="B1990" s="19"/>
    </row>
    <row r="1991" spans="1:2" x14ac:dyDescent="0.35">
      <c r="A1991" s="18">
        <v>1952</v>
      </c>
      <c r="B1991" s="19"/>
    </row>
    <row r="1992" spans="1:2" x14ac:dyDescent="0.35">
      <c r="A1992" s="18">
        <v>1953</v>
      </c>
      <c r="B1992" s="19"/>
    </row>
    <row r="1993" spans="1:2" x14ac:dyDescent="0.35">
      <c r="A1993" s="18">
        <v>1954</v>
      </c>
      <c r="B1993" s="19"/>
    </row>
    <row r="1994" spans="1:2" x14ac:dyDescent="0.35">
      <c r="A1994" s="18">
        <v>1955</v>
      </c>
      <c r="B1994" s="19"/>
    </row>
    <row r="1995" spans="1:2" x14ac:dyDescent="0.35">
      <c r="A1995" s="18">
        <v>1956</v>
      </c>
      <c r="B1995" s="19"/>
    </row>
    <row r="1996" spans="1:2" x14ac:dyDescent="0.35">
      <c r="A1996" s="18">
        <v>1957</v>
      </c>
      <c r="B1996" s="19"/>
    </row>
    <row r="1997" spans="1:2" x14ac:dyDescent="0.35">
      <c r="A1997" s="18">
        <v>1958</v>
      </c>
      <c r="B1997" s="19"/>
    </row>
    <row r="1998" spans="1:2" x14ac:dyDescent="0.35">
      <c r="A1998" s="18">
        <v>1959</v>
      </c>
      <c r="B1998" s="19"/>
    </row>
    <row r="1999" spans="1:2" x14ac:dyDescent="0.35">
      <c r="A1999" s="18">
        <v>1960</v>
      </c>
      <c r="B1999" s="19"/>
    </row>
    <row r="2000" spans="1:2" x14ac:dyDescent="0.35">
      <c r="A2000" s="18">
        <v>1961</v>
      </c>
      <c r="B2000" s="19"/>
    </row>
    <row r="2001" spans="1:2" x14ac:dyDescent="0.35">
      <c r="A2001" s="18">
        <v>1962</v>
      </c>
      <c r="B2001" s="19"/>
    </row>
    <row r="2002" spans="1:2" x14ac:dyDescent="0.35">
      <c r="A2002" s="18">
        <v>1963</v>
      </c>
      <c r="B2002" s="19"/>
    </row>
    <row r="2003" spans="1:2" x14ac:dyDescent="0.35">
      <c r="A2003" s="18">
        <v>1964</v>
      </c>
      <c r="B2003" s="19"/>
    </row>
    <row r="2004" spans="1:2" x14ac:dyDescent="0.35">
      <c r="A2004" s="18">
        <v>1965</v>
      </c>
      <c r="B2004" s="19"/>
    </row>
    <row r="2005" spans="1:2" x14ac:dyDescent="0.35">
      <c r="A2005" s="18">
        <v>1966</v>
      </c>
      <c r="B2005" s="19"/>
    </row>
    <row r="2006" spans="1:2" x14ac:dyDescent="0.35">
      <c r="A2006" s="18">
        <v>1967</v>
      </c>
      <c r="B2006" s="19"/>
    </row>
    <row r="2007" spans="1:2" x14ac:dyDescent="0.35">
      <c r="A2007" s="18">
        <v>1968</v>
      </c>
      <c r="B2007" s="19"/>
    </row>
    <row r="2008" spans="1:2" x14ac:dyDescent="0.35">
      <c r="A2008" s="18">
        <v>1969</v>
      </c>
      <c r="B2008" s="19"/>
    </row>
    <row r="2009" spans="1:2" x14ac:dyDescent="0.35">
      <c r="A2009" s="18">
        <v>1970</v>
      </c>
      <c r="B2009" s="19"/>
    </row>
    <row r="2010" spans="1:2" x14ac:dyDescent="0.35">
      <c r="A2010" s="18">
        <v>1971</v>
      </c>
      <c r="B2010" s="19"/>
    </row>
    <row r="2011" spans="1:2" x14ac:dyDescent="0.35">
      <c r="A2011" s="18">
        <v>1972</v>
      </c>
      <c r="B2011" s="19"/>
    </row>
    <row r="2012" spans="1:2" x14ac:dyDescent="0.35">
      <c r="A2012" s="18">
        <v>1973</v>
      </c>
      <c r="B2012" s="19"/>
    </row>
    <row r="2013" spans="1:2" x14ac:dyDescent="0.35">
      <c r="A2013" s="18">
        <v>1974</v>
      </c>
      <c r="B2013" s="19"/>
    </row>
    <row r="2014" spans="1:2" x14ac:dyDescent="0.35">
      <c r="A2014" s="18">
        <v>1975</v>
      </c>
      <c r="B2014" s="19"/>
    </row>
    <row r="2015" spans="1:2" x14ac:dyDescent="0.35">
      <c r="A2015" s="18">
        <v>1976</v>
      </c>
      <c r="B2015" s="19"/>
    </row>
    <row r="2016" spans="1:2" x14ac:dyDescent="0.35">
      <c r="A2016" s="18">
        <v>1977</v>
      </c>
      <c r="B2016" s="19"/>
    </row>
    <row r="2017" spans="1:2" x14ac:dyDescent="0.35">
      <c r="A2017" s="18">
        <v>1978</v>
      </c>
      <c r="B2017" s="19"/>
    </row>
    <row r="2018" spans="1:2" x14ac:dyDescent="0.35">
      <c r="A2018" s="18">
        <v>1979</v>
      </c>
      <c r="B2018" s="19"/>
    </row>
    <row r="2019" spans="1:2" x14ac:dyDescent="0.35">
      <c r="A2019" s="18">
        <v>1980</v>
      </c>
      <c r="B2019" s="19"/>
    </row>
    <row r="2020" spans="1:2" x14ac:dyDescent="0.35">
      <c r="A2020" s="18">
        <v>1981</v>
      </c>
      <c r="B2020" s="19"/>
    </row>
    <row r="2021" spans="1:2" x14ac:dyDescent="0.35">
      <c r="A2021" s="18">
        <v>1982</v>
      </c>
      <c r="B2021" s="19"/>
    </row>
    <row r="2022" spans="1:2" x14ac:dyDescent="0.35">
      <c r="A2022" s="18">
        <v>1983</v>
      </c>
      <c r="B2022" s="19"/>
    </row>
    <row r="2023" spans="1:2" x14ac:dyDescent="0.35">
      <c r="A2023" s="18">
        <v>1984</v>
      </c>
      <c r="B2023" s="19"/>
    </row>
    <row r="2024" spans="1:2" x14ac:dyDescent="0.35">
      <c r="A2024" s="18">
        <v>1985</v>
      </c>
      <c r="B2024" s="19"/>
    </row>
    <row r="2025" spans="1:2" x14ac:dyDescent="0.35">
      <c r="A2025" s="18">
        <v>1986</v>
      </c>
      <c r="B2025" s="19"/>
    </row>
    <row r="2026" spans="1:2" x14ac:dyDescent="0.35">
      <c r="A2026" s="18">
        <v>1987</v>
      </c>
      <c r="B2026" s="19"/>
    </row>
    <row r="2027" spans="1:2" x14ac:dyDescent="0.35">
      <c r="A2027" s="18">
        <v>1988</v>
      </c>
      <c r="B2027" s="19"/>
    </row>
    <row r="2028" spans="1:2" x14ac:dyDescent="0.35">
      <c r="A2028" s="18">
        <v>1989</v>
      </c>
      <c r="B2028" s="19"/>
    </row>
    <row r="2029" spans="1:2" x14ac:dyDescent="0.35">
      <c r="A2029" s="18">
        <v>1990</v>
      </c>
      <c r="B2029" s="19"/>
    </row>
    <row r="2030" spans="1:2" x14ac:dyDescent="0.35">
      <c r="A2030" s="18">
        <v>1991</v>
      </c>
      <c r="B2030" s="19"/>
    </row>
    <row r="2031" spans="1:2" x14ac:dyDescent="0.35">
      <c r="A2031" s="18">
        <v>1992</v>
      </c>
      <c r="B2031" s="19"/>
    </row>
    <row r="2032" spans="1:2" x14ac:dyDescent="0.35">
      <c r="A2032" s="18">
        <v>1993</v>
      </c>
      <c r="B2032" s="19"/>
    </row>
    <row r="2033" spans="1:2" x14ac:dyDescent="0.35">
      <c r="A2033" s="18">
        <v>1994</v>
      </c>
      <c r="B2033" s="19"/>
    </row>
    <row r="2034" spans="1:2" x14ac:dyDescent="0.35">
      <c r="A2034" s="18">
        <v>1995</v>
      </c>
      <c r="B2034" s="19"/>
    </row>
    <row r="2035" spans="1:2" x14ac:dyDescent="0.35">
      <c r="A2035" s="18">
        <v>1996</v>
      </c>
      <c r="B2035" s="19"/>
    </row>
    <row r="2036" spans="1:2" x14ac:dyDescent="0.35">
      <c r="A2036" s="18">
        <v>1997</v>
      </c>
      <c r="B2036" s="19"/>
    </row>
    <row r="2037" spans="1:2" x14ac:dyDescent="0.35">
      <c r="A2037" s="18">
        <v>1998</v>
      </c>
      <c r="B2037" s="19"/>
    </row>
    <row r="2038" spans="1:2" x14ac:dyDescent="0.35">
      <c r="A2038" s="18">
        <v>1999</v>
      </c>
      <c r="B2038" s="19"/>
    </row>
    <row r="2039" spans="1:2" x14ac:dyDescent="0.35">
      <c r="A2039" s="18">
        <v>2000</v>
      </c>
      <c r="B2039" s="19"/>
    </row>
    <row r="2040" spans="1:2" x14ac:dyDescent="0.35">
      <c r="A2040" s="18">
        <v>2001</v>
      </c>
      <c r="B2040" s="19"/>
    </row>
    <row r="2041" spans="1:2" x14ac:dyDescent="0.35">
      <c r="A2041" s="18">
        <v>2002</v>
      </c>
      <c r="B2041" s="19"/>
    </row>
    <row r="2042" spans="1:2" x14ac:dyDescent="0.35">
      <c r="A2042" s="18">
        <v>2003</v>
      </c>
      <c r="B2042" s="19"/>
    </row>
    <row r="2043" spans="1:2" x14ac:dyDescent="0.35">
      <c r="A2043" s="18">
        <v>2004</v>
      </c>
      <c r="B2043" s="19"/>
    </row>
    <row r="2044" spans="1:2" x14ac:dyDescent="0.35">
      <c r="A2044" s="18">
        <v>2005</v>
      </c>
      <c r="B2044" s="19"/>
    </row>
    <row r="2045" spans="1:2" x14ac:dyDescent="0.35">
      <c r="A2045" s="18">
        <v>2006</v>
      </c>
      <c r="B2045" s="19"/>
    </row>
    <row r="2046" spans="1:2" x14ac:dyDescent="0.35">
      <c r="A2046" s="18">
        <v>2007</v>
      </c>
      <c r="B2046" s="19"/>
    </row>
    <row r="2047" spans="1:2" x14ac:dyDescent="0.35">
      <c r="A2047" s="18">
        <v>2008</v>
      </c>
      <c r="B2047" s="19"/>
    </row>
    <row r="2048" spans="1:2" x14ac:dyDescent="0.35">
      <c r="A2048" s="18">
        <v>2009</v>
      </c>
      <c r="B2048" s="19"/>
    </row>
    <row r="2049" spans="1:2" x14ac:dyDescent="0.35">
      <c r="A2049" s="18">
        <v>2010</v>
      </c>
      <c r="B2049" s="19"/>
    </row>
    <row r="2050" spans="1:2" x14ac:dyDescent="0.35">
      <c r="A2050" s="18">
        <v>2011</v>
      </c>
      <c r="B2050" s="19"/>
    </row>
    <row r="2051" spans="1:2" x14ac:dyDescent="0.35">
      <c r="A2051" s="18">
        <v>2012</v>
      </c>
      <c r="B2051" s="19"/>
    </row>
    <row r="2052" spans="1:2" x14ac:dyDescent="0.35">
      <c r="A2052" s="18">
        <v>2013</v>
      </c>
      <c r="B2052" s="19"/>
    </row>
    <row r="2053" spans="1:2" x14ac:dyDescent="0.35">
      <c r="A2053" s="18">
        <v>2014</v>
      </c>
      <c r="B2053" s="19"/>
    </row>
    <row r="2054" spans="1:2" x14ac:dyDescent="0.35">
      <c r="A2054" s="18">
        <v>2015</v>
      </c>
      <c r="B2054" s="19"/>
    </row>
    <row r="2055" spans="1:2" x14ac:dyDescent="0.35">
      <c r="A2055" s="18">
        <v>2016</v>
      </c>
      <c r="B2055" s="19"/>
    </row>
    <row r="2056" spans="1:2" x14ac:dyDescent="0.35">
      <c r="A2056" s="18">
        <v>2017</v>
      </c>
      <c r="B2056" s="19"/>
    </row>
    <row r="2057" spans="1:2" x14ac:dyDescent="0.35">
      <c r="A2057" s="18">
        <v>2018</v>
      </c>
      <c r="B2057" s="19"/>
    </row>
    <row r="2058" spans="1:2" x14ac:dyDescent="0.35">
      <c r="A2058" s="18">
        <v>2019</v>
      </c>
      <c r="B2058" s="19"/>
    </row>
    <row r="2059" spans="1:2" x14ac:dyDescent="0.35">
      <c r="A2059" s="18">
        <v>2020</v>
      </c>
      <c r="B2059" s="19"/>
    </row>
    <row r="2060" spans="1:2" x14ac:dyDescent="0.35">
      <c r="A2060" s="18">
        <v>2021</v>
      </c>
      <c r="B2060" s="19"/>
    </row>
    <row r="2061" spans="1:2" x14ac:dyDescent="0.35">
      <c r="A2061" s="18">
        <v>2022</v>
      </c>
      <c r="B2061" s="19"/>
    </row>
    <row r="2062" spans="1:2" x14ac:dyDescent="0.35">
      <c r="A2062" s="18">
        <v>2023</v>
      </c>
      <c r="B2062" s="19"/>
    </row>
    <row r="2063" spans="1:2" x14ac:dyDescent="0.35">
      <c r="A2063" s="18">
        <v>2024</v>
      </c>
      <c r="B2063" s="19"/>
    </row>
    <row r="2064" spans="1:2" x14ac:dyDescent="0.35">
      <c r="A2064" s="18">
        <v>2025</v>
      </c>
      <c r="B2064" s="19"/>
    </row>
    <row r="2065" spans="1:2" x14ac:dyDescent="0.35">
      <c r="A2065" s="18">
        <v>2026</v>
      </c>
      <c r="B2065" s="19"/>
    </row>
    <row r="2066" spans="1:2" x14ac:dyDescent="0.35">
      <c r="A2066" s="18">
        <v>2027</v>
      </c>
      <c r="B2066" s="19"/>
    </row>
    <row r="2067" spans="1:2" x14ac:dyDescent="0.35">
      <c r="A2067" s="18">
        <v>2028</v>
      </c>
      <c r="B2067" s="19"/>
    </row>
    <row r="2068" spans="1:2" x14ac:dyDescent="0.35">
      <c r="A2068" s="18">
        <v>2029</v>
      </c>
      <c r="B2068" s="19"/>
    </row>
    <row r="2069" spans="1:2" x14ac:dyDescent="0.35">
      <c r="A2069" s="18">
        <v>2030</v>
      </c>
      <c r="B2069" s="19"/>
    </row>
    <row r="2070" spans="1:2" x14ac:dyDescent="0.35">
      <c r="A2070" s="18">
        <v>2031</v>
      </c>
      <c r="B2070" s="19"/>
    </row>
    <row r="2071" spans="1:2" x14ac:dyDescent="0.35">
      <c r="A2071" s="18">
        <v>2032</v>
      </c>
      <c r="B2071" s="19"/>
    </row>
    <row r="2072" spans="1:2" x14ac:dyDescent="0.35">
      <c r="A2072" s="18">
        <v>2033</v>
      </c>
      <c r="B2072" s="19"/>
    </row>
    <row r="2073" spans="1:2" x14ac:dyDescent="0.35">
      <c r="A2073" s="18">
        <v>2034</v>
      </c>
      <c r="B2073" s="19"/>
    </row>
    <row r="2074" spans="1:2" x14ac:dyDescent="0.35">
      <c r="A2074" s="18">
        <v>2035</v>
      </c>
      <c r="B2074" s="19"/>
    </row>
    <row r="2075" spans="1:2" x14ac:dyDescent="0.35">
      <c r="A2075" s="18">
        <v>2036</v>
      </c>
      <c r="B2075" s="19"/>
    </row>
    <row r="2076" spans="1:2" x14ac:dyDescent="0.35">
      <c r="A2076" s="18">
        <v>2037</v>
      </c>
      <c r="B2076" s="19"/>
    </row>
    <row r="2077" spans="1:2" x14ac:dyDescent="0.35">
      <c r="A2077" s="18">
        <v>2038</v>
      </c>
      <c r="B2077" s="19"/>
    </row>
    <row r="2078" spans="1:2" x14ac:dyDescent="0.35">
      <c r="A2078" s="18">
        <v>2039</v>
      </c>
      <c r="B2078" s="19"/>
    </row>
    <row r="2079" spans="1:2" x14ac:dyDescent="0.35">
      <c r="A2079" s="18">
        <v>2040</v>
      </c>
      <c r="B2079" s="19"/>
    </row>
    <row r="2080" spans="1:2" x14ac:dyDescent="0.35">
      <c r="A2080" s="18">
        <v>2041</v>
      </c>
      <c r="B2080" s="19"/>
    </row>
    <row r="2081" spans="1:2" x14ac:dyDescent="0.35">
      <c r="A2081" s="18">
        <v>2042</v>
      </c>
      <c r="B2081" s="19"/>
    </row>
    <row r="2082" spans="1:2" x14ac:dyDescent="0.35">
      <c r="A2082" s="18">
        <v>2043</v>
      </c>
      <c r="B2082" s="19"/>
    </row>
    <row r="2083" spans="1:2" x14ac:dyDescent="0.35">
      <c r="A2083" s="18">
        <v>2044</v>
      </c>
      <c r="B2083" s="19"/>
    </row>
    <row r="2084" spans="1:2" x14ac:dyDescent="0.35">
      <c r="A2084" s="18">
        <v>2045</v>
      </c>
      <c r="B2084" s="19"/>
    </row>
    <row r="2085" spans="1:2" x14ac:dyDescent="0.35">
      <c r="A2085" s="18">
        <v>2046</v>
      </c>
      <c r="B2085" s="19"/>
    </row>
    <row r="2086" spans="1:2" x14ac:dyDescent="0.35">
      <c r="A2086" s="18">
        <v>2047</v>
      </c>
      <c r="B2086" s="19"/>
    </row>
    <row r="2087" spans="1:2" x14ac:dyDescent="0.35">
      <c r="A2087" s="18">
        <v>2048</v>
      </c>
      <c r="B2087" s="19"/>
    </row>
    <row r="2088" spans="1:2" x14ac:dyDescent="0.35">
      <c r="A2088" s="18">
        <v>2049</v>
      </c>
      <c r="B2088" s="19"/>
    </row>
    <row r="2089" spans="1:2" x14ac:dyDescent="0.35">
      <c r="A2089" s="18">
        <v>2050</v>
      </c>
      <c r="B2089" s="19"/>
    </row>
    <row r="2090" spans="1:2" x14ac:dyDescent="0.35">
      <c r="A2090" s="18">
        <v>2051</v>
      </c>
      <c r="B2090" s="19"/>
    </row>
    <row r="2091" spans="1:2" x14ac:dyDescent="0.35">
      <c r="A2091" s="18">
        <v>2052</v>
      </c>
      <c r="B2091" s="19"/>
    </row>
    <row r="2092" spans="1:2" x14ac:dyDescent="0.35">
      <c r="A2092" s="18">
        <v>2053</v>
      </c>
      <c r="B2092" s="19"/>
    </row>
    <row r="2093" spans="1:2" x14ac:dyDescent="0.35">
      <c r="A2093" s="18">
        <v>2054</v>
      </c>
      <c r="B2093" s="19"/>
    </row>
    <row r="2094" spans="1:2" x14ac:dyDescent="0.35">
      <c r="A2094" s="18">
        <v>2055</v>
      </c>
      <c r="B2094" s="19"/>
    </row>
    <row r="2095" spans="1:2" x14ac:dyDescent="0.35">
      <c r="A2095" s="18">
        <v>2056</v>
      </c>
      <c r="B2095" s="19"/>
    </row>
    <row r="2096" spans="1:2" x14ac:dyDescent="0.35">
      <c r="A2096" s="18">
        <v>2057</v>
      </c>
      <c r="B2096" s="19"/>
    </row>
    <row r="2097" spans="1:2" x14ac:dyDescent="0.35">
      <c r="A2097" s="18">
        <v>2058</v>
      </c>
      <c r="B2097" s="19"/>
    </row>
    <row r="2098" spans="1:2" x14ac:dyDescent="0.35">
      <c r="A2098" s="18">
        <v>2059</v>
      </c>
      <c r="B2098" s="19"/>
    </row>
    <row r="2099" spans="1:2" x14ac:dyDescent="0.35">
      <c r="A2099" s="18">
        <v>2060</v>
      </c>
      <c r="B2099" s="19"/>
    </row>
    <row r="2100" spans="1:2" x14ac:dyDescent="0.35">
      <c r="A2100" s="18">
        <v>2061</v>
      </c>
      <c r="B2100" s="19"/>
    </row>
    <row r="2101" spans="1:2" x14ac:dyDescent="0.35">
      <c r="A2101" s="18">
        <v>2062</v>
      </c>
      <c r="B2101" s="19"/>
    </row>
    <row r="2102" spans="1:2" x14ac:dyDescent="0.35">
      <c r="A2102" s="18">
        <v>2063</v>
      </c>
      <c r="B2102" s="19"/>
    </row>
    <row r="2103" spans="1:2" x14ac:dyDescent="0.35">
      <c r="A2103" s="18">
        <v>2064</v>
      </c>
      <c r="B2103" s="19"/>
    </row>
    <row r="2104" spans="1:2" x14ac:dyDescent="0.35">
      <c r="A2104" s="18">
        <v>2065</v>
      </c>
      <c r="B2104" s="19"/>
    </row>
    <row r="2105" spans="1:2" x14ac:dyDescent="0.35">
      <c r="A2105" s="18">
        <v>2066</v>
      </c>
      <c r="B2105" s="19"/>
    </row>
    <row r="2106" spans="1:2" x14ac:dyDescent="0.35">
      <c r="A2106" s="18">
        <v>2067</v>
      </c>
      <c r="B2106" s="19"/>
    </row>
    <row r="2107" spans="1:2" x14ac:dyDescent="0.35">
      <c r="A2107" s="18">
        <v>2068</v>
      </c>
      <c r="B2107" s="19"/>
    </row>
    <row r="2108" spans="1:2" x14ac:dyDescent="0.35">
      <c r="A2108" s="18">
        <v>2069</v>
      </c>
      <c r="B2108" s="19"/>
    </row>
    <row r="2109" spans="1:2" x14ac:dyDescent="0.35">
      <c r="A2109" s="18">
        <v>2070</v>
      </c>
      <c r="B2109" s="19"/>
    </row>
    <row r="2110" spans="1:2" x14ac:dyDescent="0.35">
      <c r="A2110" s="18">
        <v>2071</v>
      </c>
      <c r="B2110" s="19"/>
    </row>
    <row r="2111" spans="1:2" x14ac:dyDescent="0.35">
      <c r="A2111" s="18">
        <v>2072</v>
      </c>
      <c r="B2111" s="19"/>
    </row>
    <row r="2112" spans="1:2" x14ac:dyDescent="0.35">
      <c r="A2112" s="18">
        <v>2073</v>
      </c>
      <c r="B2112" s="19"/>
    </row>
    <row r="2113" spans="1:2" x14ac:dyDescent="0.35">
      <c r="A2113" s="18">
        <v>2074</v>
      </c>
      <c r="B2113" s="19"/>
    </row>
    <row r="2114" spans="1:2" x14ac:dyDescent="0.35">
      <c r="A2114" s="18">
        <v>2075</v>
      </c>
      <c r="B2114" s="19"/>
    </row>
    <row r="2115" spans="1:2" x14ac:dyDescent="0.35">
      <c r="A2115" s="18">
        <v>2076</v>
      </c>
      <c r="B2115" s="19"/>
    </row>
    <row r="2116" spans="1:2" x14ac:dyDescent="0.35">
      <c r="A2116" s="18">
        <v>2077</v>
      </c>
      <c r="B2116" s="19"/>
    </row>
    <row r="2117" spans="1:2" x14ac:dyDescent="0.35">
      <c r="A2117" s="18">
        <v>2078</v>
      </c>
      <c r="B2117" s="19"/>
    </row>
    <row r="2118" spans="1:2" x14ac:dyDescent="0.35">
      <c r="A2118" s="18">
        <v>2079</v>
      </c>
      <c r="B2118" s="19"/>
    </row>
    <row r="2119" spans="1:2" x14ac:dyDescent="0.35">
      <c r="A2119" s="18">
        <v>2080</v>
      </c>
      <c r="B2119" s="19"/>
    </row>
    <row r="2120" spans="1:2" x14ac:dyDescent="0.35">
      <c r="A2120" s="18">
        <v>2081</v>
      </c>
      <c r="B2120" s="19"/>
    </row>
    <row r="2121" spans="1:2" x14ac:dyDescent="0.35">
      <c r="A2121" s="18">
        <v>2082</v>
      </c>
      <c r="B2121" s="19"/>
    </row>
    <row r="2122" spans="1:2" x14ac:dyDescent="0.35">
      <c r="A2122" s="18">
        <v>2083</v>
      </c>
      <c r="B2122" s="19"/>
    </row>
    <row r="2123" spans="1:2" x14ac:dyDescent="0.35">
      <c r="A2123" s="18">
        <v>2084</v>
      </c>
      <c r="B2123" s="19"/>
    </row>
    <row r="2124" spans="1:2" x14ac:dyDescent="0.35">
      <c r="A2124" s="18">
        <v>2085</v>
      </c>
      <c r="B2124" s="19"/>
    </row>
    <row r="2125" spans="1:2" x14ac:dyDescent="0.35">
      <c r="A2125" s="18">
        <v>2086</v>
      </c>
      <c r="B2125" s="19"/>
    </row>
    <row r="2126" spans="1:2" x14ac:dyDescent="0.35">
      <c r="A2126" s="18">
        <v>2087</v>
      </c>
      <c r="B2126" s="19"/>
    </row>
    <row r="2127" spans="1:2" x14ac:dyDescent="0.35">
      <c r="A2127" s="18">
        <v>2088</v>
      </c>
      <c r="B2127" s="19"/>
    </row>
    <row r="2128" spans="1:2" x14ac:dyDescent="0.35">
      <c r="A2128" s="18">
        <v>2089</v>
      </c>
      <c r="B2128" s="19"/>
    </row>
    <row r="2129" spans="1:2" x14ac:dyDescent="0.35">
      <c r="A2129" s="18">
        <v>2090</v>
      </c>
      <c r="B2129" s="19"/>
    </row>
    <row r="2130" spans="1:2" x14ac:dyDescent="0.35">
      <c r="A2130" s="18">
        <v>2091</v>
      </c>
      <c r="B2130" s="19"/>
    </row>
    <row r="2131" spans="1:2" x14ac:dyDescent="0.35">
      <c r="A2131" s="18">
        <v>2092</v>
      </c>
      <c r="B2131" s="19"/>
    </row>
    <row r="2132" spans="1:2" x14ac:dyDescent="0.35">
      <c r="A2132" s="18">
        <v>2093</v>
      </c>
      <c r="B2132" s="19"/>
    </row>
    <row r="2133" spans="1:2" x14ac:dyDescent="0.35">
      <c r="A2133" s="18">
        <v>2094</v>
      </c>
      <c r="B2133" s="19"/>
    </row>
    <row r="2134" spans="1:2" x14ac:dyDescent="0.35">
      <c r="A2134" s="18">
        <v>2095</v>
      </c>
      <c r="B2134" s="19"/>
    </row>
    <row r="2135" spans="1:2" x14ac:dyDescent="0.35">
      <c r="A2135" s="18">
        <v>2096</v>
      </c>
      <c r="B2135" s="19"/>
    </row>
    <row r="2136" spans="1:2" x14ac:dyDescent="0.35">
      <c r="A2136" s="18">
        <v>2097</v>
      </c>
      <c r="B2136" s="19"/>
    </row>
    <row r="2137" spans="1:2" x14ac:dyDescent="0.35">
      <c r="A2137" s="18">
        <v>2098</v>
      </c>
      <c r="B2137" s="19"/>
    </row>
    <row r="2138" spans="1:2" x14ac:dyDescent="0.35">
      <c r="A2138" s="18">
        <v>2099</v>
      </c>
      <c r="B2138" s="19"/>
    </row>
    <row r="2139" spans="1:2" x14ac:dyDescent="0.35">
      <c r="A2139" s="18">
        <v>2100</v>
      </c>
      <c r="B2139" s="19"/>
    </row>
    <row r="2140" spans="1:2" x14ac:dyDescent="0.35">
      <c r="A2140" s="18">
        <v>2101</v>
      </c>
      <c r="B2140" s="19"/>
    </row>
    <row r="2141" spans="1:2" x14ac:dyDescent="0.35">
      <c r="A2141" s="18">
        <v>2102</v>
      </c>
      <c r="B2141" s="19"/>
    </row>
    <row r="2142" spans="1:2" x14ac:dyDescent="0.35">
      <c r="A2142" s="18">
        <v>2103</v>
      </c>
      <c r="B2142" s="19"/>
    </row>
    <row r="2143" spans="1:2" x14ac:dyDescent="0.35">
      <c r="A2143" s="18">
        <v>2104</v>
      </c>
      <c r="B2143" s="19"/>
    </row>
    <row r="2144" spans="1:2" x14ac:dyDescent="0.35">
      <c r="A2144" s="18">
        <v>2105</v>
      </c>
      <c r="B2144" s="19"/>
    </row>
    <row r="2145" spans="1:2" x14ac:dyDescent="0.35">
      <c r="A2145" s="18">
        <v>2106</v>
      </c>
      <c r="B2145" s="19"/>
    </row>
    <row r="2146" spans="1:2" x14ac:dyDescent="0.35">
      <c r="A2146" s="18">
        <v>2107</v>
      </c>
      <c r="B2146" s="19"/>
    </row>
    <row r="2147" spans="1:2" x14ac:dyDescent="0.35">
      <c r="A2147" s="18">
        <v>2108</v>
      </c>
      <c r="B2147" s="19"/>
    </row>
    <row r="2148" spans="1:2" x14ac:dyDescent="0.35">
      <c r="A2148" s="18">
        <v>2109</v>
      </c>
      <c r="B2148" s="19"/>
    </row>
    <row r="2149" spans="1:2" x14ac:dyDescent="0.35">
      <c r="A2149" s="18">
        <v>2110</v>
      </c>
      <c r="B2149" s="19"/>
    </row>
    <row r="2150" spans="1:2" x14ac:dyDescent="0.35">
      <c r="A2150" s="18">
        <v>2111</v>
      </c>
      <c r="B2150" s="19"/>
    </row>
    <row r="2151" spans="1:2" x14ac:dyDescent="0.35">
      <c r="A2151" s="18">
        <v>2112</v>
      </c>
      <c r="B2151" s="19"/>
    </row>
    <row r="2152" spans="1:2" x14ac:dyDescent="0.35">
      <c r="A2152" s="18">
        <v>2113</v>
      </c>
      <c r="B2152" s="19"/>
    </row>
    <row r="2153" spans="1:2" x14ac:dyDescent="0.35">
      <c r="A2153" s="18">
        <v>2114</v>
      </c>
      <c r="B2153" s="19"/>
    </row>
    <row r="2154" spans="1:2" x14ac:dyDescent="0.35">
      <c r="A2154" s="18">
        <v>2115</v>
      </c>
      <c r="B2154" s="19"/>
    </row>
    <row r="2155" spans="1:2" x14ac:dyDescent="0.35">
      <c r="A2155" s="18">
        <v>2116</v>
      </c>
      <c r="B2155" s="19"/>
    </row>
    <row r="2156" spans="1:2" x14ac:dyDescent="0.35">
      <c r="A2156" s="18">
        <v>2117</v>
      </c>
      <c r="B2156" s="19"/>
    </row>
    <row r="2157" spans="1:2" x14ac:dyDescent="0.35">
      <c r="A2157" s="18">
        <v>2118</v>
      </c>
      <c r="B2157" s="19"/>
    </row>
    <row r="2158" spans="1:2" x14ac:dyDescent="0.35">
      <c r="A2158" s="18">
        <v>2119</v>
      </c>
      <c r="B2158" s="19"/>
    </row>
    <row r="2159" spans="1:2" x14ac:dyDescent="0.35">
      <c r="A2159" s="18">
        <v>2120</v>
      </c>
      <c r="B2159" s="19"/>
    </row>
    <row r="2160" spans="1:2" x14ac:dyDescent="0.35">
      <c r="A2160" s="18">
        <v>2121</v>
      </c>
      <c r="B2160" s="19"/>
    </row>
    <row r="2161" spans="1:2" x14ac:dyDescent="0.35">
      <c r="A2161" s="18">
        <v>2122</v>
      </c>
      <c r="B2161" s="19"/>
    </row>
    <row r="2162" spans="1:2" x14ac:dyDescent="0.35">
      <c r="A2162" s="18">
        <v>2123</v>
      </c>
      <c r="B2162" s="19"/>
    </row>
    <row r="2163" spans="1:2" x14ac:dyDescent="0.35">
      <c r="A2163" s="18">
        <v>2124</v>
      </c>
      <c r="B2163" s="19"/>
    </row>
    <row r="2164" spans="1:2" x14ac:dyDescent="0.35">
      <c r="A2164" s="18">
        <v>2125</v>
      </c>
      <c r="B2164" s="19"/>
    </row>
    <row r="2165" spans="1:2" x14ac:dyDescent="0.35">
      <c r="A2165" s="18">
        <v>2126</v>
      </c>
      <c r="B2165" s="19"/>
    </row>
    <row r="2166" spans="1:2" x14ac:dyDescent="0.35">
      <c r="A2166" s="18">
        <v>2127</v>
      </c>
      <c r="B2166" s="19"/>
    </row>
    <row r="2167" spans="1:2" x14ac:dyDescent="0.35">
      <c r="A2167" s="18">
        <v>2128</v>
      </c>
      <c r="B2167" s="19"/>
    </row>
    <row r="2168" spans="1:2" x14ac:dyDescent="0.35">
      <c r="A2168" s="18">
        <v>2129</v>
      </c>
      <c r="B2168" s="19"/>
    </row>
    <row r="2169" spans="1:2" x14ac:dyDescent="0.35">
      <c r="A2169" s="18">
        <v>2130</v>
      </c>
      <c r="B2169" s="19"/>
    </row>
    <row r="2170" spans="1:2" x14ac:dyDescent="0.35">
      <c r="A2170" s="18">
        <v>2131</v>
      </c>
      <c r="B2170" s="19"/>
    </row>
    <row r="2171" spans="1:2" x14ac:dyDescent="0.35">
      <c r="A2171" s="18">
        <v>2132</v>
      </c>
      <c r="B2171" s="19"/>
    </row>
    <row r="2172" spans="1:2" x14ac:dyDescent="0.35">
      <c r="A2172" s="18">
        <v>2133</v>
      </c>
      <c r="B2172" s="19"/>
    </row>
    <row r="2173" spans="1:2" x14ac:dyDescent="0.35">
      <c r="A2173" s="18">
        <v>2134</v>
      </c>
      <c r="B2173" s="19"/>
    </row>
    <row r="2174" spans="1:2" x14ac:dyDescent="0.35">
      <c r="A2174" s="18">
        <v>2135</v>
      </c>
      <c r="B2174" s="19"/>
    </row>
    <row r="2175" spans="1:2" x14ac:dyDescent="0.35">
      <c r="A2175" s="18">
        <v>2136</v>
      </c>
      <c r="B2175" s="19"/>
    </row>
    <row r="2176" spans="1:2" x14ac:dyDescent="0.35">
      <c r="A2176" s="18">
        <v>2137</v>
      </c>
      <c r="B2176" s="19"/>
    </row>
    <row r="2177" spans="1:2" x14ac:dyDescent="0.35">
      <c r="A2177" s="18">
        <v>2138</v>
      </c>
      <c r="B2177" s="19"/>
    </row>
    <row r="2178" spans="1:2" x14ac:dyDescent="0.35">
      <c r="A2178" s="18">
        <v>2139</v>
      </c>
      <c r="B2178" s="19"/>
    </row>
    <row r="2179" spans="1:2" x14ac:dyDescent="0.35">
      <c r="A2179" s="18">
        <v>2140</v>
      </c>
      <c r="B2179" s="19"/>
    </row>
    <row r="2180" spans="1:2" x14ac:dyDescent="0.35">
      <c r="A2180" s="18">
        <v>2141</v>
      </c>
      <c r="B2180" s="19"/>
    </row>
    <row r="2181" spans="1:2" x14ac:dyDescent="0.35">
      <c r="A2181" s="18">
        <v>2142</v>
      </c>
      <c r="B2181" s="19"/>
    </row>
    <row r="2182" spans="1:2" x14ac:dyDescent="0.35">
      <c r="A2182" s="18">
        <v>2143</v>
      </c>
      <c r="B2182" s="19"/>
    </row>
    <row r="2183" spans="1:2" x14ac:dyDescent="0.35">
      <c r="A2183" s="18">
        <v>2144</v>
      </c>
      <c r="B2183" s="19"/>
    </row>
    <row r="2184" spans="1:2" x14ac:dyDescent="0.35">
      <c r="A2184" s="18">
        <v>2145</v>
      </c>
      <c r="B2184" s="19"/>
    </row>
    <row r="2185" spans="1:2" x14ac:dyDescent="0.35">
      <c r="A2185" s="18">
        <v>2146</v>
      </c>
      <c r="B2185" s="19"/>
    </row>
    <row r="2186" spans="1:2" x14ac:dyDescent="0.35">
      <c r="A2186" s="18">
        <v>2147</v>
      </c>
      <c r="B2186" s="19"/>
    </row>
    <row r="2187" spans="1:2" x14ac:dyDescent="0.35">
      <c r="A2187" s="18">
        <v>2148</v>
      </c>
      <c r="B2187" s="19"/>
    </row>
    <row r="2188" spans="1:2" x14ac:dyDescent="0.35">
      <c r="A2188" s="18">
        <v>2149</v>
      </c>
      <c r="B2188" s="19"/>
    </row>
    <row r="2189" spans="1:2" x14ac:dyDescent="0.35">
      <c r="A2189" s="18">
        <v>2150</v>
      </c>
      <c r="B2189" s="19"/>
    </row>
    <row r="2190" spans="1:2" x14ac:dyDescent="0.35">
      <c r="A2190" s="18">
        <v>2151</v>
      </c>
      <c r="B2190" s="19"/>
    </row>
    <row r="2191" spans="1:2" x14ac:dyDescent="0.35">
      <c r="A2191" s="18">
        <v>2152</v>
      </c>
      <c r="B2191" s="19"/>
    </row>
    <row r="2192" spans="1:2" x14ac:dyDescent="0.35">
      <c r="A2192" s="18">
        <v>2153</v>
      </c>
      <c r="B2192" s="19"/>
    </row>
    <row r="2193" spans="1:2" x14ac:dyDescent="0.35">
      <c r="A2193" s="18">
        <v>2154</v>
      </c>
      <c r="B2193" s="19"/>
    </row>
    <row r="2194" spans="1:2" x14ac:dyDescent="0.35">
      <c r="A2194" s="18">
        <v>2155</v>
      </c>
      <c r="B2194" s="19"/>
    </row>
    <row r="2195" spans="1:2" x14ac:dyDescent="0.35">
      <c r="A2195" s="18">
        <v>2156</v>
      </c>
      <c r="B2195" s="19"/>
    </row>
    <row r="2196" spans="1:2" x14ac:dyDescent="0.35">
      <c r="A2196" s="18">
        <v>2157</v>
      </c>
      <c r="B2196" s="19"/>
    </row>
    <row r="2197" spans="1:2" x14ac:dyDescent="0.35">
      <c r="A2197" s="18">
        <v>2158</v>
      </c>
      <c r="B2197" s="19"/>
    </row>
    <row r="2198" spans="1:2" x14ac:dyDescent="0.35">
      <c r="A2198" s="18">
        <v>2159</v>
      </c>
      <c r="B2198" s="19"/>
    </row>
    <row r="2199" spans="1:2" x14ac:dyDescent="0.35">
      <c r="A2199" s="18">
        <v>2160</v>
      </c>
      <c r="B2199" s="19"/>
    </row>
    <row r="2200" spans="1:2" x14ac:dyDescent="0.35">
      <c r="A2200" s="18">
        <v>2161</v>
      </c>
      <c r="B2200" s="19"/>
    </row>
    <row r="2201" spans="1:2" x14ac:dyDescent="0.35">
      <c r="A2201" s="18">
        <v>2162</v>
      </c>
      <c r="B2201" s="19"/>
    </row>
    <row r="2202" spans="1:2" x14ac:dyDescent="0.35">
      <c r="A2202" s="18">
        <v>2163</v>
      </c>
      <c r="B2202" s="19"/>
    </row>
    <row r="2203" spans="1:2" x14ac:dyDescent="0.35">
      <c r="A2203" s="18">
        <v>2164</v>
      </c>
      <c r="B2203" s="19"/>
    </row>
    <row r="2204" spans="1:2" x14ac:dyDescent="0.35">
      <c r="A2204" s="18">
        <v>2165</v>
      </c>
      <c r="B2204" s="19"/>
    </row>
    <row r="2205" spans="1:2" x14ac:dyDescent="0.35">
      <c r="A2205" s="18">
        <v>2166</v>
      </c>
      <c r="B2205" s="19"/>
    </row>
    <row r="2206" spans="1:2" x14ac:dyDescent="0.35">
      <c r="A2206" s="18">
        <v>2167</v>
      </c>
      <c r="B2206" s="19"/>
    </row>
    <row r="2207" spans="1:2" x14ac:dyDescent="0.35">
      <c r="A2207" s="18">
        <v>2168</v>
      </c>
      <c r="B2207" s="19"/>
    </row>
    <row r="2208" spans="1:2" x14ac:dyDescent="0.35">
      <c r="A2208" s="18">
        <v>2169</v>
      </c>
      <c r="B2208" s="19"/>
    </row>
    <row r="2209" spans="1:2" x14ac:dyDescent="0.35">
      <c r="A2209" s="18">
        <v>2170</v>
      </c>
      <c r="B2209" s="19"/>
    </row>
    <row r="2210" spans="1:2" x14ac:dyDescent="0.35">
      <c r="A2210" s="18">
        <v>2171</v>
      </c>
      <c r="B2210" s="19"/>
    </row>
    <row r="2211" spans="1:2" x14ac:dyDescent="0.35">
      <c r="A2211" s="18">
        <v>2172</v>
      </c>
      <c r="B2211" s="19"/>
    </row>
    <row r="2212" spans="1:2" x14ac:dyDescent="0.35">
      <c r="A2212" s="18">
        <v>2173</v>
      </c>
      <c r="B2212" s="19"/>
    </row>
    <row r="2213" spans="1:2" x14ac:dyDescent="0.35">
      <c r="A2213" s="18">
        <v>2174</v>
      </c>
      <c r="B2213" s="19"/>
    </row>
    <row r="2214" spans="1:2" x14ac:dyDescent="0.35">
      <c r="A2214" s="18">
        <v>2175</v>
      </c>
      <c r="B2214" s="19"/>
    </row>
    <row r="2215" spans="1:2" x14ac:dyDescent="0.35">
      <c r="A2215" s="18">
        <v>2176</v>
      </c>
      <c r="B2215" s="19"/>
    </row>
    <row r="2216" spans="1:2" x14ac:dyDescent="0.35">
      <c r="A2216" s="18">
        <v>2177</v>
      </c>
      <c r="B2216" s="19"/>
    </row>
    <row r="2217" spans="1:2" x14ac:dyDescent="0.35">
      <c r="A2217" s="18">
        <v>2178</v>
      </c>
      <c r="B2217" s="19"/>
    </row>
    <row r="2218" spans="1:2" x14ac:dyDescent="0.35">
      <c r="A2218" s="18">
        <v>2179</v>
      </c>
      <c r="B2218" s="19"/>
    </row>
    <row r="2219" spans="1:2" x14ac:dyDescent="0.35">
      <c r="A2219" s="18">
        <v>2180</v>
      </c>
      <c r="B2219" s="19"/>
    </row>
    <row r="2220" spans="1:2" x14ac:dyDescent="0.35">
      <c r="A2220" s="18">
        <v>2181</v>
      </c>
      <c r="B2220" s="19"/>
    </row>
    <row r="2221" spans="1:2" x14ac:dyDescent="0.35">
      <c r="A2221" s="18">
        <v>2182</v>
      </c>
      <c r="B2221" s="19"/>
    </row>
    <row r="2222" spans="1:2" x14ac:dyDescent="0.35">
      <c r="A2222" s="18">
        <v>2183</v>
      </c>
      <c r="B2222" s="19"/>
    </row>
    <row r="2223" spans="1:2" x14ac:dyDescent="0.35">
      <c r="A2223" s="18">
        <v>2184</v>
      </c>
      <c r="B2223" s="19"/>
    </row>
    <row r="2224" spans="1:2" x14ac:dyDescent="0.35">
      <c r="A2224" s="18">
        <v>2185</v>
      </c>
      <c r="B2224" s="19"/>
    </row>
    <row r="2225" spans="1:2" x14ac:dyDescent="0.35">
      <c r="A2225" s="18">
        <v>2186</v>
      </c>
      <c r="B2225" s="19"/>
    </row>
    <row r="2226" spans="1:2" x14ac:dyDescent="0.35">
      <c r="A2226" s="18">
        <v>2187</v>
      </c>
      <c r="B2226" s="19"/>
    </row>
    <row r="2227" spans="1:2" x14ac:dyDescent="0.35">
      <c r="A2227" s="18">
        <v>2188</v>
      </c>
      <c r="B2227" s="19"/>
    </row>
    <row r="2228" spans="1:2" x14ac:dyDescent="0.35">
      <c r="A2228" s="18">
        <v>2189</v>
      </c>
      <c r="B2228" s="19"/>
    </row>
    <row r="2229" spans="1:2" x14ac:dyDescent="0.35">
      <c r="A2229" s="18">
        <v>2190</v>
      </c>
      <c r="B2229" s="19"/>
    </row>
    <row r="2230" spans="1:2" x14ac:dyDescent="0.35">
      <c r="A2230" s="18">
        <v>2191</v>
      </c>
      <c r="B2230" s="19"/>
    </row>
    <row r="2231" spans="1:2" x14ac:dyDescent="0.35">
      <c r="A2231" s="18">
        <v>2192</v>
      </c>
      <c r="B2231" s="19"/>
    </row>
    <row r="2232" spans="1:2" x14ac:dyDescent="0.35">
      <c r="A2232" s="18">
        <v>2193</v>
      </c>
      <c r="B2232" s="19"/>
    </row>
    <row r="2233" spans="1:2" x14ac:dyDescent="0.35">
      <c r="A2233" s="18">
        <v>2194</v>
      </c>
      <c r="B2233" s="19"/>
    </row>
    <row r="2234" spans="1:2" x14ac:dyDescent="0.35">
      <c r="A2234" s="18">
        <v>2195</v>
      </c>
      <c r="B2234" s="19"/>
    </row>
    <row r="2235" spans="1:2" x14ac:dyDescent="0.35">
      <c r="A2235" s="18">
        <v>2196</v>
      </c>
      <c r="B2235" s="19"/>
    </row>
    <row r="2236" spans="1:2" x14ac:dyDescent="0.35">
      <c r="A2236" s="18">
        <v>2197</v>
      </c>
      <c r="B2236" s="19"/>
    </row>
    <row r="2237" spans="1:2" x14ac:dyDescent="0.35">
      <c r="A2237" s="18">
        <v>2198</v>
      </c>
      <c r="B2237" s="19"/>
    </row>
    <row r="2238" spans="1:2" x14ac:dyDescent="0.35">
      <c r="A2238" s="18">
        <v>2199</v>
      </c>
      <c r="B2238" s="19"/>
    </row>
    <row r="2239" spans="1:2" x14ac:dyDescent="0.35">
      <c r="A2239" s="18">
        <v>2200</v>
      </c>
      <c r="B2239" s="19"/>
    </row>
    <row r="2240" spans="1:2" x14ac:dyDescent="0.35">
      <c r="A2240" s="18">
        <v>2201</v>
      </c>
      <c r="B2240" s="19"/>
    </row>
    <row r="2241" spans="1:2" x14ac:dyDescent="0.35">
      <c r="A2241" s="18">
        <v>2202</v>
      </c>
      <c r="B2241" s="19"/>
    </row>
    <row r="2242" spans="1:2" x14ac:dyDescent="0.35">
      <c r="A2242" s="18">
        <v>2203</v>
      </c>
      <c r="B2242" s="19"/>
    </row>
    <row r="2243" spans="1:2" x14ac:dyDescent="0.35">
      <c r="A2243" s="18">
        <v>2204</v>
      </c>
      <c r="B2243" s="19"/>
    </row>
    <row r="2244" spans="1:2" x14ac:dyDescent="0.35">
      <c r="A2244" s="18">
        <v>2205</v>
      </c>
      <c r="B2244" s="19"/>
    </row>
    <row r="2245" spans="1:2" x14ac:dyDescent="0.35">
      <c r="A2245" s="18">
        <v>2206</v>
      </c>
      <c r="B2245" s="19"/>
    </row>
    <row r="2246" spans="1:2" x14ac:dyDescent="0.35">
      <c r="A2246" s="18">
        <v>2207</v>
      </c>
      <c r="B2246" s="19"/>
    </row>
    <row r="2247" spans="1:2" x14ac:dyDescent="0.35">
      <c r="A2247" s="18">
        <v>2208</v>
      </c>
      <c r="B2247" s="19"/>
    </row>
    <row r="2248" spans="1:2" x14ac:dyDescent="0.35">
      <c r="A2248" s="18">
        <v>2209</v>
      </c>
      <c r="B2248" s="19"/>
    </row>
    <row r="2249" spans="1:2" x14ac:dyDescent="0.35">
      <c r="A2249" s="18">
        <v>2210</v>
      </c>
      <c r="B2249" s="19"/>
    </row>
    <row r="2250" spans="1:2" x14ac:dyDescent="0.35">
      <c r="A2250" s="18">
        <v>2211</v>
      </c>
      <c r="B2250" s="19"/>
    </row>
    <row r="2251" spans="1:2" x14ac:dyDescent="0.35">
      <c r="A2251" s="18">
        <v>2212</v>
      </c>
      <c r="B2251" s="19"/>
    </row>
    <row r="2252" spans="1:2" x14ac:dyDescent="0.35">
      <c r="A2252" s="18">
        <v>2213</v>
      </c>
      <c r="B2252" s="19"/>
    </row>
    <row r="2253" spans="1:2" x14ac:dyDescent="0.35">
      <c r="A2253" s="18">
        <v>2214</v>
      </c>
      <c r="B2253" s="19"/>
    </row>
    <row r="2254" spans="1:2" x14ac:dyDescent="0.35">
      <c r="A2254" s="18">
        <v>2215</v>
      </c>
      <c r="B2254" s="19"/>
    </row>
    <row r="2255" spans="1:2" x14ac:dyDescent="0.35">
      <c r="A2255" s="18">
        <v>2216</v>
      </c>
      <c r="B2255" s="19"/>
    </row>
    <row r="2256" spans="1:2" x14ac:dyDescent="0.35">
      <c r="A2256" s="18">
        <v>2217</v>
      </c>
      <c r="B2256" s="19"/>
    </row>
    <row r="2257" spans="1:2" x14ac:dyDescent="0.35">
      <c r="A2257" s="18">
        <v>2218</v>
      </c>
      <c r="B2257" s="19"/>
    </row>
    <row r="2258" spans="1:2" x14ac:dyDescent="0.35">
      <c r="A2258" s="18">
        <v>2219</v>
      </c>
      <c r="B2258" s="19"/>
    </row>
    <row r="2259" spans="1:2" x14ac:dyDescent="0.35">
      <c r="A2259" s="18">
        <v>2220</v>
      </c>
      <c r="B2259" s="19"/>
    </row>
    <row r="2260" spans="1:2" x14ac:dyDescent="0.35">
      <c r="A2260" s="18">
        <v>2221</v>
      </c>
      <c r="B2260" s="19"/>
    </row>
    <row r="2261" spans="1:2" x14ac:dyDescent="0.35">
      <c r="A2261" s="18">
        <v>2222</v>
      </c>
      <c r="B2261" s="19"/>
    </row>
    <row r="2262" spans="1:2" x14ac:dyDescent="0.35">
      <c r="A2262" s="18">
        <v>2223</v>
      </c>
      <c r="B2262" s="19"/>
    </row>
    <row r="2263" spans="1:2" x14ac:dyDescent="0.35">
      <c r="A2263" s="18">
        <v>2224</v>
      </c>
      <c r="B2263" s="19"/>
    </row>
    <row r="2264" spans="1:2" x14ac:dyDescent="0.35">
      <c r="A2264" s="18">
        <v>2225</v>
      </c>
      <c r="B2264" s="19"/>
    </row>
    <row r="2265" spans="1:2" x14ac:dyDescent="0.35">
      <c r="A2265" s="18">
        <v>2226</v>
      </c>
      <c r="B2265" s="19"/>
    </row>
    <row r="2266" spans="1:2" x14ac:dyDescent="0.35">
      <c r="A2266" s="18">
        <v>2227</v>
      </c>
      <c r="B2266" s="19"/>
    </row>
    <row r="2267" spans="1:2" x14ac:dyDescent="0.35">
      <c r="A2267" s="18">
        <v>2228</v>
      </c>
      <c r="B2267" s="19"/>
    </row>
    <row r="2268" spans="1:2" x14ac:dyDescent="0.35">
      <c r="A2268" s="18">
        <v>2229</v>
      </c>
      <c r="B2268" s="19"/>
    </row>
    <row r="2269" spans="1:2" x14ac:dyDescent="0.35">
      <c r="A2269" s="18">
        <v>2230</v>
      </c>
      <c r="B2269" s="19"/>
    </row>
    <row r="2270" spans="1:2" x14ac:dyDescent="0.35">
      <c r="A2270" s="18">
        <v>2231</v>
      </c>
      <c r="B2270" s="19"/>
    </row>
    <row r="2271" spans="1:2" x14ac:dyDescent="0.35">
      <c r="A2271" s="18">
        <v>2232</v>
      </c>
      <c r="B2271" s="19"/>
    </row>
    <row r="2272" spans="1:2" x14ac:dyDescent="0.35">
      <c r="A2272" s="18">
        <v>2233</v>
      </c>
      <c r="B2272" s="19"/>
    </row>
    <row r="2273" spans="1:2" x14ac:dyDescent="0.35">
      <c r="A2273" s="18">
        <v>2234</v>
      </c>
      <c r="B2273" s="19"/>
    </row>
    <row r="2274" spans="1:2" x14ac:dyDescent="0.35">
      <c r="A2274" s="18">
        <v>2235</v>
      </c>
      <c r="B2274" s="19"/>
    </row>
    <row r="2275" spans="1:2" x14ac:dyDescent="0.35">
      <c r="A2275" s="18">
        <v>2236</v>
      </c>
      <c r="B2275" s="19"/>
    </row>
    <row r="2276" spans="1:2" x14ac:dyDescent="0.35">
      <c r="A2276" s="18">
        <v>2237</v>
      </c>
      <c r="B2276" s="19"/>
    </row>
    <row r="2277" spans="1:2" x14ac:dyDescent="0.35">
      <c r="A2277" s="18">
        <v>2238</v>
      </c>
      <c r="B2277" s="19"/>
    </row>
    <row r="2278" spans="1:2" x14ac:dyDescent="0.35">
      <c r="A2278" s="18">
        <v>2239</v>
      </c>
      <c r="B2278" s="19"/>
    </row>
    <row r="2279" spans="1:2" x14ac:dyDescent="0.35">
      <c r="A2279" s="18">
        <v>2240</v>
      </c>
      <c r="B2279" s="19"/>
    </row>
    <row r="2280" spans="1:2" x14ac:dyDescent="0.35">
      <c r="A2280" s="18">
        <v>2241</v>
      </c>
      <c r="B2280" s="19"/>
    </row>
    <row r="2281" spans="1:2" x14ac:dyDescent="0.35">
      <c r="A2281" s="18">
        <v>2242</v>
      </c>
      <c r="B2281" s="19"/>
    </row>
    <row r="2282" spans="1:2" x14ac:dyDescent="0.35">
      <c r="A2282" s="18">
        <v>2243</v>
      </c>
      <c r="B2282" s="19"/>
    </row>
    <row r="2283" spans="1:2" x14ac:dyDescent="0.35">
      <c r="A2283" s="18">
        <v>2244</v>
      </c>
      <c r="B2283" s="19"/>
    </row>
    <row r="2284" spans="1:2" x14ac:dyDescent="0.35">
      <c r="A2284" s="18">
        <v>2245</v>
      </c>
      <c r="B2284" s="19"/>
    </row>
    <row r="2285" spans="1:2" x14ac:dyDescent="0.35">
      <c r="A2285" s="18">
        <v>2246</v>
      </c>
      <c r="B2285" s="19"/>
    </row>
    <row r="2286" spans="1:2" x14ac:dyDescent="0.35">
      <c r="A2286" s="18">
        <v>2247</v>
      </c>
      <c r="B2286" s="19"/>
    </row>
    <row r="2287" spans="1:2" x14ac:dyDescent="0.35">
      <c r="A2287" s="18">
        <v>2248</v>
      </c>
      <c r="B2287" s="19"/>
    </row>
    <row r="2288" spans="1:2" x14ac:dyDescent="0.35">
      <c r="A2288" s="18">
        <v>2249</v>
      </c>
      <c r="B2288" s="19"/>
    </row>
    <row r="2289" spans="1:2" x14ac:dyDescent="0.35">
      <c r="A2289" s="18">
        <v>2250</v>
      </c>
      <c r="B2289" s="19"/>
    </row>
    <row r="2290" spans="1:2" x14ac:dyDescent="0.35">
      <c r="A2290" s="18">
        <v>2251</v>
      </c>
      <c r="B2290" s="19"/>
    </row>
    <row r="2291" spans="1:2" x14ac:dyDescent="0.35">
      <c r="A2291" s="18">
        <v>2252</v>
      </c>
      <c r="B2291" s="19"/>
    </row>
    <row r="2292" spans="1:2" x14ac:dyDescent="0.35">
      <c r="A2292" s="18">
        <v>2253</v>
      </c>
      <c r="B2292" s="19"/>
    </row>
    <row r="2293" spans="1:2" x14ac:dyDescent="0.35">
      <c r="A2293" s="18">
        <v>2254</v>
      </c>
      <c r="B2293" s="19"/>
    </row>
    <row r="2294" spans="1:2" x14ac:dyDescent="0.35">
      <c r="A2294" s="18">
        <v>2255</v>
      </c>
      <c r="B2294" s="19"/>
    </row>
    <row r="2295" spans="1:2" x14ac:dyDescent="0.35">
      <c r="A2295" s="18">
        <v>2256</v>
      </c>
      <c r="B2295" s="19"/>
    </row>
    <row r="2296" spans="1:2" x14ac:dyDescent="0.35">
      <c r="A2296" s="18">
        <v>2257</v>
      </c>
      <c r="B2296" s="19"/>
    </row>
    <row r="2297" spans="1:2" x14ac:dyDescent="0.35">
      <c r="A2297" s="18">
        <v>2258</v>
      </c>
      <c r="B2297" s="19"/>
    </row>
    <row r="2298" spans="1:2" x14ac:dyDescent="0.35">
      <c r="A2298" s="18">
        <v>2259</v>
      </c>
      <c r="B2298" s="19"/>
    </row>
    <row r="2299" spans="1:2" x14ac:dyDescent="0.35">
      <c r="A2299" s="18">
        <v>2260</v>
      </c>
      <c r="B2299" s="19"/>
    </row>
    <row r="2300" spans="1:2" x14ac:dyDescent="0.35">
      <c r="A2300" s="18">
        <v>2261</v>
      </c>
      <c r="B2300" s="19"/>
    </row>
    <row r="2301" spans="1:2" x14ac:dyDescent="0.35">
      <c r="A2301" s="18">
        <v>2262</v>
      </c>
      <c r="B2301" s="19"/>
    </row>
    <row r="2302" spans="1:2" x14ac:dyDescent="0.35">
      <c r="A2302" s="18">
        <v>2263</v>
      </c>
      <c r="B2302" s="19"/>
    </row>
    <row r="2303" spans="1:2" x14ac:dyDescent="0.35">
      <c r="A2303" s="18">
        <v>2264</v>
      </c>
      <c r="B2303" s="19"/>
    </row>
    <row r="2304" spans="1:2" x14ac:dyDescent="0.35">
      <c r="A2304" s="18">
        <v>2265</v>
      </c>
      <c r="B2304" s="19"/>
    </row>
    <row r="2305" spans="1:2" x14ac:dyDescent="0.35">
      <c r="A2305" s="18">
        <v>2266</v>
      </c>
      <c r="B2305" s="19"/>
    </row>
    <row r="2306" spans="1:2" x14ac:dyDescent="0.35">
      <c r="A2306" s="18">
        <v>2267</v>
      </c>
      <c r="B2306" s="19"/>
    </row>
    <row r="2307" spans="1:2" x14ac:dyDescent="0.35">
      <c r="A2307" s="18">
        <v>2268</v>
      </c>
      <c r="B2307" s="19"/>
    </row>
    <row r="2308" spans="1:2" x14ac:dyDescent="0.35">
      <c r="A2308" s="18">
        <v>2269</v>
      </c>
      <c r="B2308" s="19"/>
    </row>
    <row r="2309" spans="1:2" x14ac:dyDescent="0.35">
      <c r="A2309" s="18">
        <v>2270</v>
      </c>
      <c r="B2309" s="19"/>
    </row>
    <row r="2310" spans="1:2" x14ac:dyDescent="0.35">
      <c r="A2310" s="18">
        <v>2271</v>
      </c>
      <c r="B2310" s="19"/>
    </row>
    <row r="2311" spans="1:2" x14ac:dyDescent="0.35">
      <c r="A2311" s="18">
        <v>2272</v>
      </c>
      <c r="B2311" s="19"/>
    </row>
    <row r="2312" spans="1:2" x14ac:dyDescent="0.35">
      <c r="A2312" s="18">
        <v>2273</v>
      </c>
      <c r="B2312" s="19"/>
    </row>
    <row r="2313" spans="1:2" x14ac:dyDescent="0.35">
      <c r="A2313" s="18">
        <v>2274</v>
      </c>
      <c r="B2313" s="19"/>
    </row>
    <row r="2314" spans="1:2" x14ac:dyDescent="0.35">
      <c r="A2314" s="18">
        <v>2275</v>
      </c>
      <c r="B2314" s="19"/>
    </row>
    <row r="2315" spans="1:2" x14ac:dyDescent="0.35">
      <c r="A2315" s="18">
        <v>2276</v>
      </c>
      <c r="B2315" s="19"/>
    </row>
    <row r="2316" spans="1:2" x14ac:dyDescent="0.35">
      <c r="A2316" s="18">
        <v>2277</v>
      </c>
      <c r="B2316" s="19"/>
    </row>
    <row r="2317" spans="1:2" x14ac:dyDescent="0.35">
      <c r="A2317" s="18">
        <v>2278</v>
      </c>
      <c r="B2317" s="19"/>
    </row>
    <row r="2318" spans="1:2" x14ac:dyDescent="0.35">
      <c r="A2318" s="18">
        <v>2279</v>
      </c>
      <c r="B2318" s="19"/>
    </row>
    <row r="2319" spans="1:2" x14ac:dyDescent="0.35">
      <c r="A2319" s="18">
        <v>2280</v>
      </c>
      <c r="B2319" s="19"/>
    </row>
    <row r="2320" spans="1:2" x14ac:dyDescent="0.35">
      <c r="A2320" s="18">
        <v>2281</v>
      </c>
      <c r="B2320" s="19"/>
    </row>
    <row r="2321" spans="1:2" x14ac:dyDescent="0.35">
      <c r="A2321" s="18">
        <v>2282</v>
      </c>
      <c r="B2321" s="19"/>
    </row>
    <row r="2322" spans="1:2" x14ac:dyDescent="0.35">
      <c r="A2322" s="18">
        <v>2283</v>
      </c>
      <c r="B2322" s="19"/>
    </row>
    <row r="2323" spans="1:2" x14ac:dyDescent="0.35">
      <c r="A2323" s="18">
        <v>2284</v>
      </c>
      <c r="B2323" s="19"/>
    </row>
    <row r="2324" spans="1:2" x14ac:dyDescent="0.35">
      <c r="A2324" s="18">
        <v>2285</v>
      </c>
      <c r="B2324" s="19"/>
    </row>
    <row r="2325" spans="1:2" x14ac:dyDescent="0.35">
      <c r="A2325" s="18">
        <v>2286</v>
      </c>
      <c r="B2325" s="19"/>
    </row>
    <row r="2326" spans="1:2" x14ac:dyDescent="0.35">
      <c r="A2326" s="18">
        <v>2287</v>
      </c>
      <c r="B2326" s="19"/>
    </row>
    <row r="2327" spans="1:2" x14ac:dyDescent="0.35">
      <c r="A2327" s="18">
        <v>2288</v>
      </c>
      <c r="B2327" s="19"/>
    </row>
    <row r="2328" spans="1:2" x14ac:dyDescent="0.35">
      <c r="A2328" s="18">
        <v>2289</v>
      </c>
      <c r="B2328" s="19"/>
    </row>
    <row r="2329" spans="1:2" x14ac:dyDescent="0.35">
      <c r="A2329" s="18">
        <v>2290</v>
      </c>
      <c r="B2329" s="19"/>
    </row>
    <row r="2330" spans="1:2" x14ac:dyDescent="0.35">
      <c r="A2330" s="18">
        <v>2291</v>
      </c>
      <c r="B2330" s="19"/>
    </row>
    <row r="2331" spans="1:2" x14ac:dyDescent="0.35">
      <c r="A2331" s="18">
        <v>2292</v>
      </c>
      <c r="B2331" s="19"/>
    </row>
    <row r="2332" spans="1:2" x14ac:dyDescent="0.35">
      <c r="A2332" s="18">
        <v>2293</v>
      </c>
      <c r="B2332" s="19"/>
    </row>
    <row r="2333" spans="1:2" x14ac:dyDescent="0.35">
      <c r="A2333" s="18">
        <v>2294</v>
      </c>
      <c r="B2333" s="19"/>
    </row>
    <row r="2334" spans="1:2" x14ac:dyDescent="0.35">
      <c r="A2334" s="18">
        <v>2295</v>
      </c>
      <c r="B2334" s="19"/>
    </row>
    <row r="2335" spans="1:2" x14ac:dyDescent="0.35">
      <c r="A2335" s="18">
        <v>2296</v>
      </c>
      <c r="B2335" s="19"/>
    </row>
    <row r="2336" spans="1:2" x14ac:dyDescent="0.35">
      <c r="A2336" s="18">
        <v>2297</v>
      </c>
      <c r="B2336" s="19"/>
    </row>
    <row r="2337" spans="1:2" x14ac:dyDescent="0.35">
      <c r="A2337" s="18">
        <v>2298</v>
      </c>
      <c r="B2337" s="19"/>
    </row>
    <row r="2338" spans="1:2" x14ac:dyDescent="0.35">
      <c r="A2338" s="18">
        <v>2299</v>
      </c>
      <c r="B2338" s="19"/>
    </row>
    <row r="2339" spans="1:2" x14ac:dyDescent="0.35">
      <c r="A2339" s="18">
        <v>2300</v>
      </c>
      <c r="B2339" s="19"/>
    </row>
    <row r="2340" spans="1:2" x14ac:dyDescent="0.35">
      <c r="A2340" s="18">
        <v>2301</v>
      </c>
      <c r="B2340" s="19"/>
    </row>
    <row r="2341" spans="1:2" x14ac:dyDescent="0.35">
      <c r="A2341" s="18">
        <v>2302</v>
      </c>
      <c r="B2341" s="19"/>
    </row>
    <row r="2342" spans="1:2" x14ac:dyDescent="0.35">
      <c r="A2342" s="18">
        <v>2303</v>
      </c>
      <c r="B2342" s="19"/>
    </row>
    <row r="2343" spans="1:2" x14ac:dyDescent="0.35">
      <c r="A2343" s="18">
        <v>2304</v>
      </c>
      <c r="B2343" s="19"/>
    </row>
    <row r="2344" spans="1:2" x14ac:dyDescent="0.35">
      <c r="A2344" s="18">
        <v>2305</v>
      </c>
      <c r="B2344" s="19"/>
    </row>
    <row r="2345" spans="1:2" x14ac:dyDescent="0.35">
      <c r="A2345" s="18">
        <v>2306</v>
      </c>
      <c r="B2345" s="19"/>
    </row>
    <row r="2346" spans="1:2" x14ac:dyDescent="0.35">
      <c r="A2346" s="18">
        <v>2307</v>
      </c>
      <c r="B2346" s="19"/>
    </row>
    <row r="2347" spans="1:2" x14ac:dyDescent="0.35">
      <c r="A2347" s="18">
        <v>2308</v>
      </c>
      <c r="B2347" s="19"/>
    </row>
    <row r="2348" spans="1:2" x14ac:dyDescent="0.35">
      <c r="A2348" s="18">
        <v>2309</v>
      </c>
      <c r="B2348" s="19"/>
    </row>
    <row r="2349" spans="1:2" x14ac:dyDescent="0.35">
      <c r="A2349" s="18">
        <v>2310</v>
      </c>
      <c r="B2349" s="19"/>
    </row>
    <row r="2350" spans="1:2" x14ac:dyDescent="0.35">
      <c r="A2350" s="18">
        <v>2311</v>
      </c>
      <c r="B2350" s="19"/>
    </row>
    <row r="2351" spans="1:2" x14ac:dyDescent="0.35">
      <c r="A2351" s="18">
        <v>2312</v>
      </c>
      <c r="B2351" s="19"/>
    </row>
    <row r="2352" spans="1:2" x14ac:dyDescent="0.35">
      <c r="A2352" s="18">
        <v>2313</v>
      </c>
      <c r="B2352" s="19"/>
    </row>
    <row r="2353" spans="1:2" x14ac:dyDescent="0.35">
      <c r="A2353" s="18">
        <v>2314</v>
      </c>
      <c r="B2353" s="19"/>
    </row>
    <row r="2354" spans="1:2" x14ac:dyDescent="0.35">
      <c r="A2354" s="18">
        <v>2315</v>
      </c>
      <c r="B2354" s="19"/>
    </row>
    <row r="2355" spans="1:2" x14ac:dyDescent="0.35">
      <c r="A2355" s="18">
        <v>2316</v>
      </c>
      <c r="B2355" s="19"/>
    </row>
    <row r="2356" spans="1:2" x14ac:dyDescent="0.35">
      <c r="A2356" s="18">
        <v>2317</v>
      </c>
      <c r="B2356" s="19"/>
    </row>
    <row r="2357" spans="1:2" x14ac:dyDescent="0.35">
      <c r="A2357" s="18">
        <v>2318</v>
      </c>
      <c r="B2357" s="19"/>
    </row>
    <row r="2358" spans="1:2" x14ac:dyDescent="0.35">
      <c r="A2358" s="18">
        <v>2319</v>
      </c>
      <c r="B2358" s="19"/>
    </row>
    <row r="2359" spans="1:2" x14ac:dyDescent="0.35">
      <c r="A2359" s="18">
        <v>2320</v>
      </c>
      <c r="B2359" s="19"/>
    </row>
    <row r="2360" spans="1:2" x14ac:dyDescent="0.35">
      <c r="A2360" s="18">
        <v>2321</v>
      </c>
      <c r="B2360" s="19"/>
    </row>
    <row r="2361" spans="1:2" x14ac:dyDescent="0.35">
      <c r="A2361" s="18">
        <v>2322</v>
      </c>
      <c r="B2361" s="19"/>
    </row>
    <row r="2362" spans="1:2" x14ac:dyDescent="0.35">
      <c r="A2362" s="18">
        <v>2323</v>
      </c>
      <c r="B2362" s="19"/>
    </row>
    <row r="2363" spans="1:2" x14ac:dyDescent="0.35">
      <c r="A2363" s="18">
        <v>2324</v>
      </c>
      <c r="B2363" s="19"/>
    </row>
    <row r="2364" spans="1:2" x14ac:dyDescent="0.35">
      <c r="A2364" s="18">
        <v>2325</v>
      </c>
      <c r="B2364" s="19"/>
    </row>
    <row r="2365" spans="1:2" x14ac:dyDescent="0.35">
      <c r="A2365" s="18">
        <v>2326</v>
      </c>
      <c r="B2365" s="19"/>
    </row>
    <row r="2366" spans="1:2" x14ac:dyDescent="0.35">
      <c r="A2366" s="18">
        <v>2327</v>
      </c>
      <c r="B2366" s="19"/>
    </row>
    <row r="2367" spans="1:2" x14ac:dyDescent="0.35">
      <c r="A2367" s="18">
        <v>2328</v>
      </c>
      <c r="B2367" s="19"/>
    </row>
    <row r="2368" spans="1:2" x14ac:dyDescent="0.35">
      <c r="A2368" s="18">
        <v>2329</v>
      </c>
      <c r="B2368" s="19"/>
    </row>
    <row r="2369" spans="1:2" x14ac:dyDescent="0.35">
      <c r="A2369" s="18">
        <v>2330</v>
      </c>
      <c r="B2369" s="19"/>
    </row>
    <row r="2370" spans="1:2" x14ac:dyDescent="0.35">
      <c r="A2370" s="18">
        <v>2331</v>
      </c>
      <c r="B2370" s="19"/>
    </row>
    <row r="2371" spans="1:2" x14ac:dyDescent="0.35">
      <c r="A2371" s="18">
        <v>2332</v>
      </c>
      <c r="B2371" s="19"/>
    </row>
    <row r="2372" spans="1:2" x14ac:dyDescent="0.35">
      <c r="A2372" s="18">
        <v>2333</v>
      </c>
      <c r="B2372" s="19"/>
    </row>
    <row r="2373" spans="1:2" x14ac:dyDescent="0.35">
      <c r="A2373" s="18">
        <v>2334</v>
      </c>
      <c r="B2373" s="19"/>
    </row>
    <row r="2374" spans="1:2" x14ac:dyDescent="0.35">
      <c r="A2374" s="18">
        <v>2335</v>
      </c>
      <c r="B2374" s="19"/>
    </row>
    <row r="2375" spans="1:2" x14ac:dyDescent="0.35">
      <c r="A2375" s="18">
        <v>2336</v>
      </c>
      <c r="B2375" s="19"/>
    </row>
    <row r="2376" spans="1:2" x14ac:dyDescent="0.35">
      <c r="A2376" s="18">
        <v>2337</v>
      </c>
      <c r="B2376" s="19"/>
    </row>
    <row r="2377" spans="1:2" x14ac:dyDescent="0.35">
      <c r="A2377" s="18">
        <v>2338</v>
      </c>
      <c r="B2377" s="19"/>
    </row>
    <row r="2378" spans="1:2" x14ac:dyDescent="0.35">
      <c r="A2378" s="18">
        <v>2339</v>
      </c>
      <c r="B2378" s="19"/>
    </row>
    <row r="2379" spans="1:2" x14ac:dyDescent="0.35">
      <c r="A2379" s="18">
        <v>2340</v>
      </c>
      <c r="B2379" s="19"/>
    </row>
    <row r="2380" spans="1:2" x14ac:dyDescent="0.35">
      <c r="A2380" s="18">
        <v>2341</v>
      </c>
      <c r="B2380" s="19"/>
    </row>
    <row r="2381" spans="1:2" x14ac:dyDescent="0.35">
      <c r="A2381" s="18">
        <v>2342</v>
      </c>
      <c r="B2381" s="19"/>
    </row>
    <row r="2382" spans="1:2" x14ac:dyDescent="0.35">
      <c r="A2382" s="18">
        <v>2343</v>
      </c>
      <c r="B2382" s="19"/>
    </row>
    <row r="2383" spans="1:2" x14ac:dyDescent="0.35">
      <c r="A2383" s="18">
        <v>2344</v>
      </c>
      <c r="B2383" s="19"/>
    </row>
    <row r="2384" spans="1:2" x14ac:dyDescent="0.35">
      <c r="A2384" s="18">
        <v>2345</v>
      </c>
      <c r="B2384" s="19"/>
    </row>
    <row r="2385" spans="1:2" x14ac:dyDescent="0.35">
      <c r="A2385" s="18">
        <v>2346</v>
      </c>
      <c r="B2385" s="19"/>
    </row>
    <row r="2386" spans="1:2" x14ac:dyDescent="0.35">
      <c r="A2386" s="18">
        <v>2347</v>
      </c>
      <c r="B2386" s="19"/>
    </row>
    <row r="2387" spans="1:2" x14ac:dyDescent="0.35">
      <c r="A2387" s="18">
        <v>2348</v>
      </c>
      <c r="B2387" s="19"/>
    </row>
    <row r="2388" spans="1:2" x14ac:dyDescent="0.35">
      <c r="A2388" s="18">
        <v>2349</v>
      </c>
      <c r="B2388" s="19"/>
    </row>
    <row r="2389" spans="1:2" x14ac:dyDescent="0.35">
      <c r="A2389" s="18">
        <v>2350</v>
      </c>
      <c r="B2389" s="19"/>
    </row>
    <row r="2390" spans="1:2" x14ac:dyDescent="0.35">
      <c r="A2390" s="18">
        <v>2351</v>
      </c>
      <c r="B2390" s="19"/>
    </row>
    <row r="2391" spans="1:2" x14ac:dyDescent="0.35">
      <c r="A2391" s="18">
        <v>2352</v>
      </c>
      <c r="B2391" s="19"/>
    </row>
    <row r="2392" spans="1:2" x14ac:dyDescent="0.35">
      <c r="A2392" s="18">
        <v>2353</v>
      </c>
      <c r="B2392" s="19"/>
    </row>
    <row r="2393" spans="1:2" x14ac:dyDescent="0.35">
      <c r="A2393" s="18">
        <v>2354</v>
      </c>
      <c r="B2393" s="19"/>
    </row>
    <row r="2394" spans="1:2" x14ac:dyDescent="0.35">
      <c r="A2394" s="18">
        <v>2355</v>
      </c>
      <c r="B2394" s="19"/>
    </row>
    <row r="2395" spans="1:2" x14ac:dyDescent="0.35">
      <c r="A2395" s="18">
        <v>2356</v>
      </c>
      <c r="B2395" s="19"/>
    </row>
    <row r="2396" spans="1:2" x14ac:dyDescent="0.35">
      <c r="A2396" s="18">
        <v>2357</v>
      </c>
      <c r="B2396" s="19"/>
    </row>
    <row r="2397" spans="1:2" x14ac:dyDescent="0.35">
      <c r="A2397" s="18">
        <v>2358</v>
      </c>
      <c r="B2397" s="19"/>
    </row>
    <row r="2398" spans="1:2" x14ac:dyDescent="0.35">
      <c r="A2398" s="18">
        <v>2359</v>
      </c>
      <c r="B2398" s="19"/>
    </row>
    <row r="2399" spans="1:2" x14ac:dyDescent="0.35">
      <c r="A2399" s="18">
        <v>2360</v>
      </c>
      <c r="B2399" s="19"/>
    </row>
    <row r="2400" spans="1:2" x14ac:dyDescent="0.35">
      <c r="A2400" s="18">
        <v>2361</v>
      </c>
      <c r="B2400" s="19"/>
    </row>
    <row r="2401" spans="1:2" x14ac:dyDescent="0.35">
      <c r="A2401" s="18">
        <v>2362</v>
      </c>
      <c r="B2401" s="19"/>
    </row>
    <row r="2402" spans="1:2" x14ac:dyDescent="0.35">
      <c r="A2402" s="18">
        <v>2363</v>
      </c>
      <c r="B2402" s="19"/>
    </row>
    <row r="2403" spans="1:2" x14ac:dyDescent="0.35">
      <c r="A2403" s="18">
        <v>2364</v>
      </c>
      <c r="B2403" s="19"/>
    </row>
    <row r="2404" spans="1:2" x14ac:dyDescent="0.35">
      <c r="A2404" s="18">
        <v>2365</v>
      </c>
      <c r="B2404" s="19"/>
    </row>
    <row r="2405" spans="1:2" x14ac:dyDescent="0.35">
      <c r="A2405" s="18">
        <v>2366</v>
      </c>
      <c r="B2405" s="19"/>
    </row>
    <row r="2406" spans="1:2" x14ac:dyDescent="0.35">
      <c r="A2406" s="18">
        <v>2367</v>
      </c>
      <c r="B2406" s="19"/>
    </row>
    <row r="2407" spans="1:2" x14ac:dyDescent="0.35">
      <c r="A2407" s="18">
        <v>2368</v>
      </c>
      <c r="B2407" s="19"/>
    </row>
    <row r="2408" spans="1:2" x14ac:dyDescent="0.35">
      <c r="A2408" s="18">
        <v>2369</v>
      </c>
      <c r="B2408" s="19"/>
    </row>
    <row r="2409" spans="1:2" x14ac:dyDescent="0.35">
      <c r="A2409" s="18">
        <v>2370</v>
      </c>
      <c r="B2409" s="19"/>
    </row>
    <row r="2410" spans="1:2" x14ac:dyDescent="0.35">
      <c r="A2410" s="18">
        <v>2371</v>
      </c>
      <c r="B2410" s="19"/>
    </row>
    <row r="2411" spans="1:2" x14ac:dyDescent="0.35">
      <c r="A2411" s="18">
        <v>2372</v>
      </c>
      <c r="B2411" s="19"/>
    </row>
    <row r="2412" spans="1:2" x14ac:dyDescent="0.35">
      <c r="A2412" s="18">
        <v>2373</v>
      </c>
      <c r="B2412" s="19"/>
    </row>
    <row r="2413" spans="1:2" x14ac:dyDescent="0.35">
      <c r="A2413" s="18">
        <v>2374</v>
      </c>
      <c r="B2413" s="19"/>
    </row>
    <row r="2414" spans="1:2" x14ac:dyDescent="0.35">
      <c r="A2414" s="18">
        <v>2375</v>
      </c>
      <c r="B2414" s="19"/>
    </row>
    <row r="2415" spans="1:2" x14ac:dyDescent="0.35">
      <c r="A2415" s="18">
        <v>2376</v>
      </c>
      <c r="B2415" s="19"/>
    </row>
    <row r="2416" spans="1:2" x14ac:dyDescent="0.35">
      <c r="A2416" s="18">
        <v>2377</v>
      </c>
      <c r="B2416" s="19"/>
    </row>
    <row r="2417" spans="1:2" x14ac:dyDescent="0.35">
      <c r="A2417" s="18">
        <v>2378</v>
      </c>
      <c r="B2417" s="19"/>
    </row>
    <row r="2418" spans="1:2" x14ac:dyDescent="0.35">
      <c r="A2418" s="18">
        <v>2379</v>
      </c>
      <c r="B2418" s="19"/>
    </row>
    <row r="2419" spans="1:2" x14ac:dyDescent="0.35">
      <c r="A2419" s="18">
        <v>2380</v>
      </c>
      <c r="B2419" s="19"/>
    </row>
    <row r="2420" spans="1:2" x14ac:dyDescent="0.35">
      <c r="A2420" s="18">
        <v>2381</v>
      </c>
      <c r="B2420" s="19"/>
    </row>
    <row r="2421" spans="1:2" x14ac:dyDescent="0.35">
      <c r="A2421" s="18">
        <v>2382</v>
      </c>
      <c r="B2421" s="19"/>
    </row>
    <row r="2422" spans="1:2" x14ac:dyDescent="0.35">
      <c r="A2422" s="18">
        <v>2383</v>
      </c>
      <c r="B2422" s="19"/>
    </row>
    <row r="2423" spans="1:2" x14ac:dyDescent="0.35">
      <c r="A2423" s="18">
        <v>2384</v>
      </c>
      <c r="B2423" s="19"/>
    </row>
    <row r="2424" spans="1:2" x14ac:dyDescent="0.35">
      <c r="A2424" s="18">
        <v>2385</v>
      </c>
      <c r="B2424" s="19"/>
    </row>
    <row r="2425" spans="1:2" x14ac:dyDescent="0.35">
      <c r="A2425" s="18">
        <v>2386</v>
      </c>
      <c r="B2425" s="19"/>
    </row>
    <row r="2426" spans="1:2" x14ac:dyDescent="0.35">
      <c r="A2426" s="18">
        <v>2387</v>
      </c>
      <c r="B2426" s="19"/>
    </row>
    <row r="2427" spans="1:2" x14ac:dyDescent="0.35">
      <c r="A2427" s="18">
        <v>2388</v>
      </c>
      <c r="B2427" s="19"/>
    </row>
    <row r="2428" spans="1:2" x14ac:dyDescent="0.35">
      <c r="A2428" s="18">
        <v>2389</v>
      </c>
      <c r="B2428" s="19"/>
    </row>
    <row r="2429" spans="1:2" x14ac:dyDescent="0.35">
      <c r="A2429" s="18">
        <v>2390</v>
      </c>
      <c r="B2429" s="19"/>
    </row>
    <row r="2430" spans="1:2" x14ac:dyDescent="0.35">
      <c r="A2430" s="18">
        <v>2391</v>
      </c>
      <c r="B2430" s="19"/>
    </row>
    <row r="2431" spans="1:2" x14ac:dyDescent="0.35">
      <c r="A2431" s="18">
        <v>2392</v>
      </c>
      <c r="B2431" s="19"/>
    </row>
    <row r="2432" spans="1:2" x14ac:dyDescent="0.35">
      <c r="A2432" s="18">
        <v>2393</v>
      </c>
      <c r="B2432" s="19"/>
    </row>
    <row r="2433" spans="1:2" x14ac:dyDescent="0.35">
      <c r="A2433" s="18">
        <v>2394</v>
      </c>
      <c r="B2433" s="19"/>
    </row>
    <row r="2434" spans="1:2" x14ac:dyDescent="0.35">
      <c r="A2434" s="18">
        <v>2395</v>
      </c>
      <c r="B2434" s="19"/>
    </row>
    <row r="2435" spans="1:2" x14ac:dyDescent="0.35">
      <c r="A2435" s="18">
        <v>2396</v>
      </c>
      <c r="B2435" s="19"/>
    </row>
    <row r="2436" spans="1:2" x14ac:dyDescent="0.35">
      <c r="A2436" s="18">
        <v>2397</v>
      </c>
      <c r="B2436" s="19"/>
    </row>
    <row r="2437" spans="1:2" x14ac:dyDescent="0.35">
      <c r="A2437" s="18">
        <v>2398</v>
      </c>
      <c r="B2437" s="19"/>
    </row>
    <row r="2438" spans="1:2" x14ac:dyDescent="0.35">
      <c r="A2438" s="18">
        <v>2399</v>
      </c>
      <c r="B2438" s="19"/>
    </row>
    <row r="2439" spans="1:2" x14ac:dyDescent="0.35">
      <c r="A2439" s="18">
        <v>2400</v>
      </c>
      <c r="B2439" s="19"/>
    </row>
    <row r="2440" spans="1:2" x14ac:dyDescent="0.35">
      <c r="A2440" s="18">
        <v>2401</v>
      </c>
      <c r="B2440" s="19"/>
    </row>
    <row r="2441" spans="1:2" x14ac:dyDescent="0.35">
      <c r="A2441" s="18">
        <v>2402</v>
      </c>
      <c r="B2441" s="19"/>
    </row>
    <row r="2442" spans="1:2" x14ac:dyDescent="0.35">
      <c r="A2442" s="18">
        <v>2403</v>
      </c>
      <c r="B2442" s="19"/>
    </row>
    <row r="2443" spans="1:2" x14ac:dyDescent="0.35">
      <c r="A2443" s="18">
        <v>2404</v>
      </c>
      <c r="B2443" s="19"/>
    </row>
    <row r="2444" spans="1:2" x14ac:dyDescent="0.35">
      <c r="A2444" s="18">
        <v>2405</v>
      </c>
      <c r="B2444" s="19"/>
    </row>
    <row r="2445" spans="1:2" x14ac:dyDescent="0.35">
      <c r="A2445" s="18">
        <v>2406</v>
      </c>
      <c r="B2445" s="19"/>
    </row>
    <row r="2446" spans="1:2" x14ac:dyDescent="0.35">
      <c r="A2446" s="18">
        <v>2407</v>
      </c>
      <c r="B2446" s="19"/>
    </row>
    <row r="2447" spans="1:2" x14ac:dyDescent="0.35">
      <c r="A2447" s="18">
        <v>2408</v>
      </c>
      <c r="B2447" s="19"/>
    </row>
    <row r="2448" spans="1:2" x14ac:dyDescent="0.35">
      <c r="A2448" s="18">
        <v>2409</v>
      </c>
      <c r="B2448" s="19"/>
    </row>
    <row r="2449" spans="1:2" x14ac:dyDescent="0.35">
      <c r="A2449" s="18">
        <v>2410</v>
      </c>
      <c r="B2449" s="19"/>
    </row>
    <row r="2450" spans="1:2" x14ac:dyDescent="0.35">
      <c r="A2450" s="18">
        <v>2411</v>
      </c>
      <c r="B2450" s="19"/>
    </row>
    <row r="2451" spans="1:2" x14ac:dyDescent="0.35">
      <c r="A2451" s="18">
        <v>2412</v>
      </c>
      <c r="B2451" s="19"/>
    </row>
    <row r="2452" spans="1:2" x14ac:dyDescent="0.35">
      <c r="A2452" s="18">
        <v>2413</v>
      </c>
      <c r="B2452" s="19"/>
    </row>
    <row r="2453" spans="1:2" x14ac:dyDescent="0.35">
      <c r="A2453" s="18">
        <v>2414</v>
      </c>
      <c r="B2453" s="19"/>
    </row>
    <row r="2454" spans="1:2" x14ac:dyDescent="0.35">
      <c r="A2454" s="18">
        <v>2415</v>
      </c>
      <c r="B2454" s="19"/>
    </row>
    <row r="2455" spans="1:2" x14ac:dyDescent="0.35">
      <c r="A2455" s="18">
        <v>2416</v>
      </c>
      <c r="B2455" s="19"/>
    </row>
    <row r="2456" spans="1:2" x14ac:dyDescent="0.35">
      <c r="A2456" s="18">
        <v>2417</v>
      </c>
      <c r="B2456" s="19"/>
    </row>
    <row r="2457" spans="1:2" x14ac:dyDescent="0.35">
      <c r="A2457" s="18">
        <v>2418</v>
      </c>
      <c r="B2457" s="19"/>
    </row>
    <row r="2458" spans="1:2" x14ac:dyDescent="0.35">
      <c r="A2458" s="18">
        <v>2419</v>
      </c>
      <c r="B2458" s="19"/>
    </row>
    <row r="2459" spans="1:2" x14ac:dyDescent="0.35">
      <c r="A2459" s="18">
        <v>2420</v>
      </c>
      <c r="B2459" s="19"/>
    </row>
    <row r="2460" spans="1:2" x14ac:dyDescent="0.35">
      <c r="A2460" s="18">
        <v>2421</v>
      </c>
      <c r="B2460" s="19"/>
    </row>
    <row r="2461" spans="1:2" x14ac:dyDescent="0.35">
      <c r="A2461" s="18">
        <v>2422</v>
      </c>
      <c r="B2461" s="19"/>
    </row>
    <row r="2462" spans="1:2" x14ac:dyDescent="0.35">
      <c r="A2462" s="18">
        <v>2423</v>
      </c>
      <c r="B2462" s="19"/>
    </row>
    <row r="2463" spans="1:2" x14ac:dyDescent="0.35">
      <c r="A2463" s="18">
        <v>2424</v>
      </c>
      <c r="B2463" s="19"/>
    </row>
    <row r="2464" spans="1:2" x14ac:dyDescent="0.35">
      <c r="A2464" s="18">
        <v>2425</v>
      </c>
      <c r="B2464" s="19"/>
    </row>
    <row r="2465" spans="1:2" x14ac:dyDescent="0.35">
      <c r="A2465" s="18">
        <v>2426</v>
      </c>
      <c r="B2465" s="19"/>
    </row>
    <row r="2466" spans="1:2" x14ac:dyDescent="0.35">
      <c r="A2466" s="18">
        <v>2427</v>
      </c>
      <c r="B2466" s="19"/>
    </row>
    <row r="2467" spans="1:2" x14ac:dyDescent="0.35">
      <c r="A2467" s="18">
        <v>2428</v>
      </c>
      <c r="B2467" s="19"/>
    </row>
    <row r="2468" spans="1:2" x14ac:dyDescent="0.35">
      <c r="A2468" s="18">
        <v>2429</v>
      </c>
      <c r="B2468" s="19"/>
    </row>
    <row r="2469" spans="1:2" x14ac:dyDescent="0.35">
      <c r="A2469" s="18">
        <v>2430</v>
      </c>
      <c r="B2469" s="19"/>
    </row>
    <row r="2470" spans="1:2" x14ac:dyDescent="0.35">
      <c r="A2470" s="18">
        <v>2431</v>
      </c>
      <c r="B2470" s="19"/>
    </row>
    <row r="2471" spans="1:2" x14ac:dyDescent="0.35">
      <c r="A2471" s="18">
        <v>2432</v>
      </c>
      <c r="B2471" s="19"/>
    </row>
    <row r="2472" spans="1:2" x14ac:dyDescent="0.35">
      <c r="A2472" s="18">
        <v>2433</v>
      </c>
      <c r="B2472" s="19"/>
    </row>
    <row r="2473" spans="1:2" x14ac:dyDescent="0.35">
      <c r="A2473" s="18">
        <v>2434</v>
      </c>
      <c r="B2473" s="19"/>
    </row>
    <row r="2474" spans="1:2" x14ac:dyDescent="0.35">
      <c r="A2474" s="18">
        <v>2435</v>
      </c>
      <c r="B2474" s="19"/>
    </row>
    <row r="2475" spans="1:2" x14ac:dyDescent="0.35">
      <c r="A2475" s="18">
        <v>2436</v>
      </c>
      <c r="B2475" s="19"/>
    </row>
    <row r="2476" spans="1:2" x14ac:dyDescent="0.35">
      <c r="A2476" s="18">
        <v>2437</v>
      </c>
      <c r="B2476" s="19"/>
    </row>
    <row r="2477" spans="1:2" x14ac:dyDescent="0.35">
      <c r="A2477" s="18">
        <v>2438</v>
      </c>
      <c r="B2477" s="19"/>
    </row>
    <row r="2478" spans="1:2" x14ac:dyDescent="0.35">
      <c r="A2478" s="18">
        <v>2439</v>
      </c>
      <c r="B2478" s="19"/>
    </row>
    <row r="2479" spans="1:2" x14ac:dyDescent="0.35">
      <c r="A2479" s="18">
        <v>2440</v>
      </c>
      <c r="B2479" s="19"/>
    </row>
    <row r="2480" spans="1:2" x14ac:dyDescent="0.35">
      <c r="A2480" s="18">
        <v>2441</v>
      </c>
      <c r="B2480" s="19"/>
    </row>
    <row r="2481" spans="1:2" x14ac:dyDescent="0.35">
      <c r="A2481" s="18">
        <v>2442</v>
      </c>
      <c r="B2481" s="19"/>
    </row>
    <row r="2482" spans="1:2" x14ac:dyDescent="0.35">
      <c r="A2482" s="18">
        <v>2443</v>
      </c>
      <c r="B2482" s="19"/>
    </row>
    <row r="2483" spans="1:2" x14ac:dyDescent="0.35">
      <c r="A2483" s="18">
        <v>2444</v>
      </c>
      <c r="B2483" s="19"/>
    </row>
    <row r="2484" spans="1:2" x14ac:dyDescent="0.35">
      <c r="A2484" s="18">
        <v>2445</v>
      </c>
      <c r="B2484" s="19"/>
    </row>
    <row r="2485" spans="1:2" x14ac:dyDescent="0.35">
      <c r="A2485" s="18">
        <v>2446</v>
      </c>
      <c r="B2485" s="19"/>
    </row>
    <row r="2486" spans="1:2" x14ac:dyDescent="0.35">
      <c r="A2486" s="18">
        <v>2447</v>
      </c>
      <c r="B2486" s="19"/>
    </row>
    <row r="2487" spans="1:2" x14ac:dyDescent="0.35">
      <c r="A2487" s="18">
        <v>2448</v>
      </c>
      <c r="B2487" s="19"/>
    </row>
    <row r="2488" spans="1:2" x14ac:dyDescent="0.35">
      <c r="A2488" s="18">
        <v>2449</v>
      </c>
      <c r="B2488" s="19"/>
    </row>
    <row r="2489" spans="1:2" x14ac:dyDescent="0.35">
      <c r="A2489" s="18">
        <v>2450</v>
      </c>
      <c r="B2489" s="19"/>
    </row>
    <row r="2490" spans="1:2" x14ac:dyDescent="0.35">
      <c r="A2490" s="18">
        <v>2451</v>
      </c>
      <c r="B2490" s="19"/>
    </row>
    <row r="2491" spans="1:2" x14ac:dyDescent="0.35">
      <c r="A2491" s="18">
        <v>2452</v>
      </c>
      <c r="B2491" s="19"/>
    </row>
    <row r="2492" spans="1:2" x14ac:dyDescent="0.35">
      <c r="A2492" s="18">
        <v>2453</v>
      </c>
      <c r="B2492" s="19"/>
    </row>
    <row r="2493" spans="1:2" x14ac:dyDescent="0.35">
      <c r="A2493" s="18">
        <v>2454</v>
      </c>
      <c r="B2493" s="19"/>
    </row>
    <row r="2494" spans="1:2" x14ac:dyDescent="0.35">
      <c r="A2494" s="18">
        <v>2455</v>
      </c>
      <c r="B2494" s="19"/>
    </row>
    <row r="2495" spans="1:2" x14ac:dyDescent="0.35">
      <c r="A2495" s="18">
        <v>2456</v>
      </c>
      <c r="B2495" s="19"/>
    </row>
    <row r="2496" spans="1:2" x14ac:dyDescent="0.35">
      <c r="A2496" s="18">
        <v>2457</v>
      </c>
      <c r="B2496" s="19"/>
    </row>
    <row r="2497" spans="1:2" x14ac:dyDescent="0.35">
      <c r="A2497" s="18">
        <v>2458</v>
      </c>
      <c r="B2497" s="19"/>
    </row>
    <row r="2498" spans="1:2" x14ac:dyDescent="0.35">
      <c r="A2498" s="18">
        <v>2459</v>
      </c>
      <c r="B2498" s="19"/>
    </row>
    <row r="2499" spans="1:2" x14ac:dyDescent="0.35">
      <c r="A2499" s="18">
        <v>2460</v>
      </c>
      <c r="B2499" s="19"/>
    </row>
    <row r="2500" spans="1:2" x14ac:dyDescent="0.35">
      <c r="A2500" s="18">
        <v>2461</v>
      </c>
      <c r="B2500" s="19"/>
    </row>
    <row r="2501" spans="1:2" x14ac:dyDescent="0.35">
      <c r="A2501" s="18">
        <v>2462</v>
      </c>
      <c r="B2501" s="19"/>
    </row>
    <row r="2502" spans="1:2" x14ac:dyDescent="0.35">
      <c r="A2502" s="18">
        <v>2463</v>
      </c>
      <c r="B2502" s="19"/>
    </row>
    <row r="2503" spans="1:2" x14ac:dyDescent="0.35">
      <c r="A2503" s="18">
        <v>2464</v>
      </c>
      <c r="B2503" s="19"/>
    </row>
    <row r="2504" spans="1:2" x14ac:dyDescent="0.35">
      <c r="A2504" s="18">
        <v>2465</v>
      </c>
      <c r="B2504" s="19"/>
    </row>
    <row r="2505" spans="1:2" x14ac:dyDescent="0.35">
      <c r="A2505" s="18">
        <v>2466</v>
      </c>
      <c r="B2505" s="19"/>
    </row>
    <row r="2506" spans="1:2" x14ac:dyDescent="0.35">
      <c r="A2506" s="18">
        <v>2467</v>
      </c>
      <c r="B2506" s="19"/>
    </row>
    <row r="2507" spans="1:2" x14ac:dyDescent="0.35">
      <c r="A2507" s="18">
        <v>2468</v>
      </c>
      <c r="B2507" s="19"/>
    </row>
    <row r="2508" spans="1:2" x14ac:dyDescent="0.35">
      <c r="A2508" s="18">
        <v>2469</v>
      </c>
      <c r="B2508" s="19"/>
    </row>
    <row r="2509" spans="1:2" x14ac:dyDescent="0.35">
      <c r="A2509" s="18">
        <v>2470</v>
      </c>
      <c r="B2509" s="19"/>
    </row>
    <row r="2510" spans="1:2" x14ac:dyDescent="0.35">
      <c r="A2510" s="18">
        <v>2471</v>
      </c>
      <c r="B2510" s="19"/>
    </row>
    <row r="2511" spans="1:2" x14ac:dyDescent="0.35">
      <c r="A2511" s="18">
        <v>2472</v>
      </c>
      <c r="B2511" s="19"/>
    </row>
    <row r="2512" spans="1:2" x14ac:dyDescent="0.35">
      <c r="A2512" s="18">
        <v>2473</v>
      </c>
      <c r="B2512" s="19"/>
    </row>
    <row r="2513" spans="1:2" x14ac:dyDescent="0.35">
      <c r="A2513" s="18">
        <v>2474</v>
      </c>
      <c r="B2513" s="19"/>
    </row>
    <row r="2514" spans="1:2" x14ac:dyDescent="0.35">
      <c r="A2514" s="18">
        <v>2475</v>
      </c>
      <c r="B2514" s="19"/>
    </row>
    <row r="2515" spans="1:2" x14ac:dyDescent="0.35">
      <c r="A2515" s="18">
        <v>2476</v>
      </c>
      <c r="B2515" s="19"/>
    </row>
    <row r="2516" spans="1:2" x14ac:dyDescent="0.35">
      <c r="A2516" s="18">
        <v>2477</v>
      </c>
      <c r="B2516" s="19"/>
    </row>
    <row r="2517" spans="1:2" x14ac:dyDescent="0.35">
      <c r="A2517" s="18">
        <v>2478</v>
      </c>
      <c r="B2517" s="19"/>
    </row>
    <row r="2518" spans="1:2" x14ac:dyDescent="0.35">
      <c r="A2518" s="18">
        <v>2479</v>
      </c>
      <c r="B2518" s="19"/>
    </row>
    <row r="2519" spans="1:2" x14ac:dyDescent="0.35">
      <c r="A2519" s="18">
        <v>2480</v>
      </c>
      <c r="B2519" s="19"/>
    </row>
    <row r="2520" spans="1:2" x14ac:dyDescent="0.35">
      <c r="A2520" s="18">
        <v>2481</v>
      </c>
      <c r="B2520" s="19"/>
    </row>
    <row r="2521" spans="1:2" x14ac:dyDescent="0.35">
      <c r="A2521" s="18">
        <v>2482</v>
      </c>
      <c r="B2521" s="19"/>
    </row>
    <row r="2522" spans="1:2" x14ac:dyDescent="0.35">
      <c r="A2522" s="18">
        <v>2483</v>
      </c>
      <c r="B2522" s="19"/>
    </row>
    <row r="2523" spans="1:2" x14ac:dyDescent="0.35">
      <c r="A2523" s="18">
        <v>2484</v>
      </c>
      <c r="B2523" s="19"/>
    </row>
    <row r="2524" spans="1:2" x14ac:dyDescent="0.35">
      <c r="A2524" s="18">
        <v>2485</v>
      </c>
      <c r="B2524" s="19"/>
    </row>
    <row r="2525" spans="1:2" x14ac:dyDescent="0.35">
      <c r="A2525" s="18">
        <v>2486</v>
      </c>
      <c r="B2525" s="19"/>
    </row>
    <row r="2526" spans="1:2" x14ac:dyDescent="0.35">
      <c r="A2526" s="18">
        <v>2487</v>
      </c>
      <c r="B2526" s="19"/>
    </row>
    <row r="2527" spans="1:2" x14ac:dyDescent="0.35">
      <c r="A2527" s="18">
        <v>2488</v>
      </c>
      <c r="B2527" s="19"/>
    </row>
    <row r="2528" spans="1:2" x14ac:dyDescent="0.35">
      <c r="A2528" s="18">
        <v>2489</v>
      </c>
      <c r="B2528" s="19"/>
    </row>
    <row r="2529" spans="1:2" x14ac:dyDescent="0.35">
      <c r="A2529" s="18">
        <v>2490</v>
      </c>
      <c r="B2529" s="19"/>
    </row>
    <row r="2530" spans="1:2" x14ac:dyDescent="0.35">
      <c r="A2530" s="18">
        <v>2491</v>
      </c>
      <c r="B2530" s="19"/>
    </row>
    <row r="2531" spans="1:2" x14ac:dyDescent="0.35">
      <c r="A2531" s="18">
        <v>2492</v>
      </c>
      <c r="B2531" s="19"/>
    </row>
    <row r="2532" spans="1:2" x14ac:dyDescent="0.35">
      <c r="A2532" s="18">
        <v>2493</v>
      </c>
      <c r="B2532" s="19"/>
    </row>
    <row r="2533" spans="1:2" x14ac:dyDescent="0.35">
      <c r="A2533" s="18">
        <v>2494</v>
      </c>
      <c r="B2533" s="19"/>
    </row>
    <row r="2534" spans="1:2" x14ac:dyDescent="0.35">
      <c r="A2534" s="18">
        <v>2495</v>
      </c>
      <c r="B2534" s="19"/>
    </row>
    <row r="2535" spans="1:2" x14ac:dyDescent="0.35">
      <c r="A2535" s="18">
        <v>2496</v>
      </c>
      <c r="B2535" s="19"/>
    </row>
    <row r="2536" spans="1:2" x14ac:dyDescent="0.35">
      <c r="A2536" s="18">
        <v>2497</v>
      </c>
      <c r="B2536" s="19"/>
    </row>
    <row r="2537" spans="1:2" x14ac:dyDescent="0.35">
      <c r="A2537" s="18">
        <v>2498</v>
      </c>
      <c r="B2537" s="19"/>
    </row>
    <row r="2538" spans="1:2" x14ac:dyDescent="0.35">
      <c r="A2538" s="18">
        <v>2499</v>
      </c>
      <c r="B2538" s="19"/>
    </row>
    <row r="2539" spans="1:2" x14ac:dyDescent="0.35">
      <c r="A2539" s="18">
        <v>2500</v>
      </c>
      <c r="B2539" s="19"/>
    </row>
    <row r="2540" spans="1:2" x14ac:dyDescent="0.35">
      <c r="A2540" s="18">
        <v>2501</v>
      </c>
      <c r="B2540" s="19"/>
    </row>
    <row r="2541" spans="1:2" x14ac:dyDescent="0.35">
      <c r="A2541" s="18">
        <v>2502</v>
      </c>
      <c r="B2541" s="19"/>
    </row>
    <row r="2542" spans="1:2" x14ac:dyDescent="0.35">
      <c r="A2542" s="18">
        <v>2503</v>
      </c>
      <c r="B2542" s="19"/>
    </row>
    <row r="2543" spans="1:2" x14ac:dyDescent="0.35">
      <c r="A2543" s="18">
        <v>2504</v>
      </c>
      <c r="B2543" s="19"/>
    </row>
    <row r="2544" spans="1:2" x14ac:dyDescent="0.35">
      <c r="A2544" s="18">
        <v>2505</v>
      </c>
      <c r="B2544" s="19"/>
    </row>
    <row r="2545" spans="1:2" x14ac:dyDescent="0.35">
      <c r="A2545" s="18">
        <v>2506</v>
      </c>
      <c r="B2545" s="19"/>
    </row>
    <row r="2546" spans="1:2" x14ac:dyDescent="0.35">
      <c r="A2546" s="18">
        <v>2507</v>
      </c>
      <c r="B2546" s="19"/>
    </row>
    <row r="2547" spans="1:2" x14ac:dyDescent="0.35">
      <c r="A2547" s="18">
        <v>2508</v>
      </c>
      <c r="B2547" s="19"/>
    </row>
    <row r="2548" spans="1:2" x14ac:dyDescent="0.35">
      <c r="A2548" s="18">
        <v>2509</v>
      </c>
      <c r="B2548" s="19"/>
    </row>
    <row r="2549" spans="1:2" x14ac:dyDescent="0.35">
      <c r="A2549" s="18">
        <v>2510</v>
      </c>
      <c r="B2549" s="19"/>
    </row>
    <row r="2550" spans="1:2" x14ac:dyDescent="0.35">
      <c r="A2550" s="18">
        <v>2511</v>
      </c>
      <c r="B2550" s="19"/>
    </row>
    <row r="2551" spans="1:2" x14ac:dyDescent="0.35">
      <c r="A2551" s="18">
        <v>2512</v>
      </c>
      <c r="B2551" s="19"/>
    </row>
    <row r="2552" spans="1:2" x14ac:dyDescent="0.35">
      <c r="A2552" s="18">
        <v>2513</v>
      </c>
      <c r="B2552" s="19"/>
    </row>
    <row r="2553" spans="1:2" x14ac:dyDescent="0.35">
      <c r="A2553" s="18">
        <v>2514</v>
      </c>
      <c r="B2553" s="19"/>
    </row>
    <row r="2554" spans="1:2" x14ac:dyDescent="0.35">
      <c r="A2554" s="18">
        <v>2515</v>
      </c>
      <c r="B2554" s="19"/>
    </row>
    <row r="2555" spans="1:2" x14ac:dyDescent="0.35">
      <c r="A2555" s="18">
        <v>2516</v>
      </c>
      <c r="B2555" s="19"/>
    </row>
    <row r="2556" spans="1:2" x14ac:dyDescent="0.35">
      <c r="A2556" s="18">
        <v>2517</v>
      </c>
      <c r="B2556" s="19"/>
    </row>
    <row r="2557" spans="1:2" x14ac:dyDescent="0.35">
      <c r="A2557" s="18">
        <v>2518</v>
      </c>
      <c r="B2557" s="19"/>
    </row>
    <row r="2558" spans="1:2" x14ac:dyDescent="0.35">
      <c r="A2558" s="18">
        <v>2519</v>
      </c>
      <c r="B2558" s="19"/>
    </row>
    <row r="2559" spans="1:2" x14ac:dyDescent="0.35">
      <c r="A2559" s="18">
        <v>2520</v>
      </c>
      <c r="B2559" s="19"/>
    </row>
    <row r="2560" spans="1:2" x14ac:dyDescent="0.35">
      <c r="A2560" s="18">
        <v>2521</v>
      </c>
      <c r="B2560" s="19"/>
    </row>
    <row r="2561" spans="1:2" x14ac:dyDescent="0.35">
      <c r="A2561" s="18">
        <v>2522</v>
      </c>
      <c r="B2561" s="19"/>
    </row>
    <row r="2562" spans="1:2" x14ac:dyDescent="0.35">
      <c r="A2562" s="18">
        <v>2523</v>
      </c>
      <c r="B2562" s="19"/>
    </row>
    <row r="2563" spans="1:2" x14ac:dyDescent="0.35">
      <c r="A2563" s="18">
        <v>2524</v>
      </c>
      <c r="B2563" s="19"/>
    </row>
    <row r="2564" spans="1:2" x14ac:dyDescent="0.35">
      <c r="A2564" s="18">
        <v>2525</v>
      </c>
      <c r="B2564" s="19"/>
    </row>
    <row r="2565" spans="1:2" x14ac:dyDescent="0.35">
      <c r="A2565" s="18">
        <v>2526</v>
      </c>
      <c r="B2565" s="19"/>
    </row>
    <row r="2566" spans="1:2" x14ac:dyDescent="0.35">
      <c r="A2566" s="18">
        <v>2527</v>
      </c>
      <c r="B2566" s="19"/>
    </row>
    <row r="2567" spans="1:2" x14ac:dyDescent="0.35">
      <c r="A2567" s="18">
        <v>2528</v>
      </c>
      <c r="B2567" s="19"/>
    </row>
    <row r="2568" spans="1:2" x14ac:dyDescent="0.35">
      <c r="A2568" s="18">
        <v>2529</v>
      </c>
      <c r="B2568" s="19"/>
    </row>
    <row r="2569" spans="1:2" x14ac:dyDescent="0.35">
      <c r="A2569" s="18">
        <v>2530</v>
      </c>
      <c r="B2569" s="19"/>
    </row>
    <row r="2570" spans="1:2" x14ac:dyDescent="0.35">
      <c r="A2570" s="18">
        <v>2531</v>
      </c>
      <c r="B2570" s="19"/>
    </row>
    <row r="2571" spans="1:2" x14ac:dyDescent="0.35">
      <c r="A2571" s="18">
        <v>2532</v>
      </c>
      <c r="B2571" s="19"/>
    </row>
    <row r="2572" spans="1:2" x14ac:dyDescent="0.35">
      <c r="A2572" s="18">
        <v>2533</v>
      </c>
      <c r="B2572" s="19"/>
    </row>
    <row r="2573" spans="1:2" x14ac:dyDescent="0.35">
      <c r="A2573" s="18">
        <v>2534</v>
      </c>
      <c r="B2573" s="19"/>
    </row>
    <row r="2574" spans="1:2" x14ac:dyDescent="0.35">
      <c r="A2574" s="18">
        <v>2535</v>
      </c>
      <c r="B2574" s="19"/>
    </row>
    <row r="2575" spans="1:2" x14ac:dyDescent="0.35">
      <c r="A2575" s="18">
        <v>2536</v>
      </c>
      <c r="B2575" s="19"/>
    </row>
    <row r="2576" spans="1:2" x14ac:dyDescent="0.35">
      <c r="A2576" s="18">
        <v>2537</v>
      </c>
      <c r="B2576" s="19"/>
    </row>
    <row r="2577" spans="1:2" x14ac:dyDescent="0.35">
      <c r="A2577" s="18">
        <v>2538</v>
      </c>
      <c r="B2577" s="19"/>
    </row>
    <row r="2578" spans="1:2" x14ac:dyDescent="0.35">
      <c r="A2578" s="18">
        <v>2539</v>
      </c>
      <c r="B2578" s="19"/>
    </row>
    <row r="2579" spans="1:2" x14ac:dyDescent="0.35">
      <c r="A2579" s="18">
        <v>2540</v>
      </c>
      <c r="B2579" s="19"/>
    </row>
    <row r="2580" spans="1:2" x14ac:dyDescent="0.35">
      <c r="A2580" s="18">
        <v>2541</v>
      </c>
      <c r="B2580" s="19"/>
    </row>
    <row r="2581" spans="1:2" x14ac:dyDescent="0.35">
      <c r="A2581" s="18">
        <v>2542</v>
      </c>
      <c r="B2581" s="19"/>
    </row>
    <row r="2582" spans="1:2" x14ac:dyDescent="0.35">
      <c r="A2582" s="18">
        <v>2543</v>
      </c>
      <c r="B2582" s="19"/>
    </row>
    <row r="2583" spans="1:2" x14ac:dyDescent="0.35">
      <c r="A2583" s="18">
        <v>2544</v>
      </c>
      <c r="B2583" s="19"/>
    </row>
    <row r="2584" spans="1:2" x14ac:dyDescent="0.35">
      <c r="A2584" s="18">
        <v>2545</v>
      </c>
      <c r="B2584" s="19"/>
    </row>
    <row r="2585" spans="1:2" x14ac:dyDescent="0.35">
      <c r="A2585" s="18">
        <v>2546</v>
      </c>
      <c r="B2585" s="19"/>
    </row>
    <row r="2586" spans="1:2" x14ac:dyDescent="0.35">
      <c r="A2586" s="18">
        <v>2547</v>
      </c>
      <c r="B2586" s="19"/>
    </row>
    <row r="2587" spans="1:2" x14ac:dyDescent="0.35">
      <c r="A2587" s="18">
        <v>2548</v>
      </c>
      <c r="B2587" s="19"/>
    </row>
    <row r="2588" spans="1:2" x14ac:dyDescent="0.35">
      <c r="A2588" s="18">
        <v>2549</v>
      </c>
      <c r="B2588" s="19"/>
    </row>
    <row r="2589" spans="1:2" x14ac:dyDescent="0.35">
      <c r="A2589" s="18">
        <v>2550</v>
      </c>
      <c r="B2589" s="19"/>
    </row>
    <row r="2590" spans="1:2" x14ac:dyDescent="0.35">
      <c r="A2590" s="18">
        <v>2551</v>
      </c>
      <c r="B2590" s="19"/>
    </row>
    <row r="2591" spans="1:2" x14ac:dyDescent="0.35">
      <c r="A2591" s="18">
        <v>2552</v>
      </c>
      <c r="B2591" s="19"/>
    </row>
    <row r="2592" spans="1:2" x14ac:dyDescent="0.35">
      <c r="A2592" s="18">
        <v>2553</v>
      </c>
      <c r="B2592" s="19"/>
    </row>
    <row r="2593" spans="1:2" x14ac:dyDescent="0.35">
      <c r="A2593" s="18">
        <v>2554</v>
      </c>
      <c r="B2593" s="19"/>
    </row>
    <row r="2594" spans="1:2" x14ac:dyDescent="0.35">
      <c r="A2594" s="18">
        <v>2555</v>
      </c>
      <c r="B2594" s="19"/>
    </row>
    <row r="2595" spans="1:2" x14ac:dyDescent="0.35">
      <c r="A2595" s="18">
        <v>2556</v>
      </c>
      <c r="B2595" s="19"/>
    </row>
    <row r="2596" spans="1:2" x14ac:dyDescent="0.35">
      <c r="A2596" s="18">
        <v>2557</v>
      </c>
      <c r="B2596" s="19"/>
    </row>
    <row r="2597" spans="1:2" x14ac:dyDescent="0.35">
      <c r="A2597" s="18">
        <v>2558</v>
      </c>
      <c r="B2597" s="19"/>
    </row>
    <row r="2598" spans="1:2" x14ac:dyDescent="0.35">
      <c r="A2598" s="18">
        <v>2559</v>
      </c>
      <c r="B2598" s="19"/>
    </row>
    <row r="2599" spans="1:2" x14ac:dyDescent="0.35">
      <c r="A2599" s="18">
        <v>2560</v>
      </c>
      <c r="B2599" s="19"/>
    </row>
    <row r="2600" spans="1:2" x14ac:dyDescent="0.35">
      <c r="A2600" s="18">
        <v>2561</v>
      </c>
      <c r="B2600" s="19"/>
    </row>
    <row r="2601" spans="1:2" x14ac:dyDescent="0.35">
      <c r="A2601" s="18">
        <v>2562</v>
      </c>
      <c r="B2601" s="19"/>
    </row>
    <row r="2602" spans="1:2" x14ac:dyDescent="0.35">
      <c r="A2602" s="18">
        <v>2563</v>
      </c>
      <c r="B2602" s="19"/>
    </row>
    <row r="2603" spans="1:2" x14ac:dyDescent="0.35">
      <c r="A2603" s="18">
        <v>2564</v>
      </c>
      <c r="B2603" s="19"/>
    </row>
    <row r="2604" spans="1:2" x14ac:dyDescent="0.35">
      <c r="A2604" s="18">
        <v>2565</v>
      </c>
      <c r="B2604" s="19"/>
    </row>
    <row r="2605" spans="1:2" x14ac:dyDescent="0.35">
      <c r="A2605" s="18">
        <v>2566</v>
      </c>
      <c r="B2605" s="19"/>
    </row>
    <row r="2606" spans="1:2" x14ac:dyDescent="0.35">
      <c r="A2606" s="18">
        <v>2567</v>
      </c>
      <c r="B2606" s="19"/>
    </row>
    <row r="2607" spans="1:2" x14ac:dyDescent="0.35">
      <c r="A2607" s="18">
        <v>2568</v>
      </c>
      <c r="B2607" s="19"/>
    </row>
    <row r="2608" spans="1:2" x14ac:dyDescent="0.35">
      <c r="A2608" s="18">
        <v>2569</v>
      </c>
      <c r="B2608" s="19"/>
    </row>
    <row r="2609" spans="1:2" x14ac:dyDescent="0.35">
      <c r="A2609" s="18">
        <v>2570</v>
      </c>
      <c r="B2609" s="19"/>
    </row>
    <row r="2610" spans="1:2" x14ac:dyDescent="0.35">
      <c r="A2610" s="18">
        <v>2571</v>
      </c>
      <c r="B2610" s="19"/>
    </row>
    <row r="2611" spans="1:2" x14ac:dyDescent="0.35">
      <c r="A2611" s="18">
        <v>2572</v>
      </c>
      <c r="B2611" s="19"/>
    </row>
    <row r="2612" spans="1:2" x14ac:dyDescent="0.35">
      <c r="A2612" s="18">
        <v>2573</v>
      </c>
      <c r="B2612" s="19"/>
    </row>
    <row r="2613" spans="1:2" x14ac:dyDescent="0.35">
      <c r="A2613" s="18">
        <v>2574</v>
      </c>
      <c r="B2613" s="19"/>
    </row>
    <row r="2614" spans="1:2" x14ac:dyDescent="0.35">
      <c r="A2614" s="18">
        <v>2575</v>
      </c>
      <c r="B2614" s="19"/>
    </row>
    <row r="2615" spans="1:2" x14ac:dyDescent="0.35">
      <c r="A2615" s="18">
        <v>2576</v>
      </c>
      <c r="B2615" s="19"/>
    </row>
    <row r="2616" spans="1:2" x14ac:dyDescent="0.35">
      <c r="A2616" s="18">
        <v>2577</v>
      </c>
      <c r="B2616" s="19"/>
    </row>
    <row r="2617" spans="1:2" x14ac:dyDescent="0.35">
      <c r="A2617" s="18">
        <v>2578</v>
      </c>
      <c r="B2617" s="19"/>
    </row>
    <row r="2618" spans="1:2" x14ac:dyDescent="0.35">
      <c r="A2618" s="18">
        <v>2579</v>
      </c>
      <c r="B2618" s="19"/>
    </row>
    <row r="2619" spans="1:2" x14ac:dyDescent="0.35">
      <c r="A2619" s="18">
        <v>2580</v>
      </c>
      <c r="B2619" s="19"/>
    </row>
    <row r="2620" spans="1:2" x14ac:dyDescent="0.35">
      <c r="A2620" s="18">
        <v>2581</v>
      </c>
      <c r="B2620" s="19"/>
    </row>
    <row r="2621" spans="1:2" x14ac:dyDescent="0.35">
      <c r="A2621" s="18">
        <v>2582</v>
      </c>
      <c r="B2621" s="19"/>
    </row>
    <row r="2622" spans="1:2" x14ac:dyDescent="0.35">
      <c r="A2622" s="18">
        <v>2583</v>
      </c>
      <c r="B2622" s="19"/>
    </row>
    <row r="2623" spans="1:2" x14ac:dyDescent="0.35">
      <c r="A2623" s="18">
        <v>2584</v>
      </c>
      <c r="B2623" s="19"/>
    </row>
    <row r="2624" spans="1:2" x14ac:dyDescent="0.35">
      <c r="A2624" s="18">
        <v>2585</v>
      </c>
      <c r="B2624" s="19"/>
    </row>
    <row r="2625" spans="1:2" x14ac:dyDescent="0.35">
      <c r="A2625" s="18">
        <v>2586</v>
      </c>
      <c r="B2625" s="19"/>
    </row>
    <row r="2626" spans="1:2" x14ac:dyDescent="0.35">
      <c r="A2626" s="18">
        <v>2587</v>
      </c>
      <c r="B2626" s="19"/>
    </row>
    <row r="2627" spans="1:2" x14ac:dyDescent="0.35">
      <c r="A2627" s="18">
        <v>2588</v>
      </c>
      <c r="B2627" s="19"/>
    </row>
    <row r="2628" spans="1:2" x14ac:dyDescent="0.35">
      <c r="A2628" s="18">
        <v>2589</v>
      </c>
      <c r="B2628" s="19"/>
    </row>
    <row r="2629" spans="1:2" x14ac:dyDescent="0.35">
      <c r="A2629" s="18">
        <v>2590</v>
      </c>
      <c r="B2629" s="19"/>
    </row>
    <row r="2630" spans="1:2" x14ac:dyDescent="0.35">
      <c r="A2630" s="18">
        <v>2591</v>
      </c>
      <c r="B2630" s="19"/>
    </row>
    <row r="2631" spans="1:2" x14ac:dyDescent="0.35">
      <c r="A2631" s="18">
        <v>2592</v>
      </c>
      <c r="B2631" s="19"/>
    </row>
    <row r="2632" spans="1:2" x14ac:dyDescent="0.35">
      <c r="A2632" s="18">
        <v>2593</v>
      </c>
      <c r="B2632" s="19"/>
    </row>
    <row r="2633" spans="1:2" x14ac:dyDescent="0.35">
      <c r="A2633" s="18">
        <v>2594</v>
      </c>
      <c r="B2633" s="19"/>
    </row>
    <row r="2634" spans="1:2" x14ac:dyDescent="0.35">
      <c r="A2634" s="18">
        <v>2595</v>
      </c>
      <c r="B2634" s="19"/>
    </row>
    <row r="2635" spans="1:2" x14ac:dyDescent="0.35">
      <c r="A2635" s="18">
        <v>2596</v>
      </c>
      <c r="B2635" s="19"/>
    </row>
    <row r="2636" spans="1:2" x14ac:dyDescent="0.35">
      <c r="A2636" s="18">
        <v>2597</v>
      </c>
      <c r="B2636" s="19"/>
    </row>
    <row r="2637" spans="1:2" x14ac:dyDescent="0.35">
      <c r="A2637" s="18">
        <v>2598</v>
      </c>
      <c r="B2637" s="19"/>
    </row>
    <row r="2638" spans="1:2" x14ac:dyDescent="0.35">
      <c r="A2638" s="18">
        <v>2599</v>
      </c>
      <c r="B2638" s="19"/>
    </row>
    <row r="2639" spans="1:2" x14ac:dyDescent="0.35">
      <c r="A2639" s="18">
        <v>2600</v>
      </c>
      <c r="B2639" s="19"/>
    </row>
    <row r="2640" spans="1:2" x14ac:dyDescent="0.35">
      <c r="A2640" s="18">
        <v>2601</v>
      </c>
      <c r="B2640" s="19"/>
    </row>
    <row r="2641" spans="1:2" x14ac:dyDescent="0.35">
      <c r="A2641" s="18">
        <v>2602</v>
      </c>
      <c r="B2641" s="19"/>
    </row>
    <row r="2642" spans="1:2" x14ac:dyDescent="0.35">
      <c r="A2642" s="18">
        <v>2603</v>
      </c>
      <c r="B2642" s="19"/>
    </row>
    <row r="2643" spans="1:2" x14ac:dyDescent="0.35">
      <c r="A2643" s="18">
        <v>2604</v>
      </c>
      <c r="B2643" s="19"/>
    </row>
    <row r="2644" spans="1:2" x14ac:dyDescent="0.35">
      <c r="A2644" s="18">
        <v>2605</v>
      </c>
      <c r="B2644" s="19"/>
    </row>
    <row r="2645" spans="1:2" x14ac:dyDescent="0.35">
      <c r="A2645" s="18">
        <v>2606</v>
      </c>
      <c r="B2645" s="19"/>
    </row>
    <row r="2646" spans="1:2" x14ac:dyDescent="0.35">
      <c r="A2646" s="18">
        <v>2607</v>
      </c>
      <c r="B2646" s="19"/>
    </row>
    <row r="2647" spans="1:2" x14ac:dyDescent="0.35">
      <c r="A2647" s="18">
        <v>2608</v>
      </c>
      <c r="B2647" s="19"/>
    </row>
    <row r="2648" spans="1:2" x14ac:dyDescent="0.35">
      <c r="A2648" s="18">
        <v>2609</v>
      </c>
      <c r="B2648" s="19"/>
    </row>
    <row r="2649" spans="1:2" x14ac:dyDescent="0.35">
      <c r="A2649" s="18">
        <v>2610</v>
      </c>
      <c r="B2649" s="19"/>
    </row>
    <row r="2650" spans="1:2" x14ac:dyDescent="0.35">
      <c r="A2650" s="18">
        <v>2611</v>
      </c>
      <c r="B2650" s="19"/>
    </row>
    <row r="2651" spans="1:2" x14ac:dyDescent="0.35">
      <c r="A2651" s="18">
        <v>2612</v>
      </c>
      <c r="B2651" s="19"/>
    </row>
    <row r="2652" spans="1:2" x14ac:dyDescent="0.35">
      <c r="A2652" s="18">
        <v>2613</v>
      </c>
      <c r="B2652" s="19"/>
    </row>
    <row r="2653" spans="1:2" x14ac:dyDescent="0.35">
      <c r="A2653" s="18">
        <v>2614</v>
      </c>
      <c r="B2653" s="19"/>
    </row>
    <row r="2654" spans="1:2" x14ac:dyDescent="0.35">
      <c r="A2654" s="18">
        <v>2615</v>
      </c>
      <c r="B2654" s="19"/>
    </row>
    <row r="2655" spans="1:2" x14ac:dyDescent="0.35">
      <c r="A2655" s="18">
        <v>2616</v>
      </c>
      <c r="B2655" s="19"/>
    </row>
    <row r="2656" spans="1:2" x14ac:dyDescent="0.35">
      <c r="A2656" s="18">
        <v>2617</v>
      </c>
      <c r="B2656" s="19"/>
    </row>
    <row r="2657" spans="1:2" x14ac:dyDescent="0.35">
      <c r="A2657" s="18">
        <v>2618</v>
      </c>
      <c r="B2657" s="19"/>
    </row>
    <row r="2658" spans="1:2" x14ac:dyDescent="0.35">
      <c r="A2658" s="18">
        <v>2619</v>
      </c>
      <c r="B2658" s="19"/>
    </row>
    <row r="2659" spans="1:2" x14ac:dyDescent="0.35">
      <c r="A2659" s="18">
        <v>2620</v>
      </c>
      <c r="B2659" s="19"/>
    </row>
    <row r="2660" spans="1:2" x14ac:dyDescent="0.35">
      <c r="A2660" s="18">
        <v>2621</v>
      </c>
      <c r="B2660" s="19"/>
    </row>
    <row r="2661" spans="1:2" x14ac:dyDescent="0.35">
      <c r="A2661" s="18">
        <v>2622</v>
      </c>
      <c r="B2661" s="19"/>
    </row>
    <row r="2662" spans="1:2" x14ac:dyDescent="0.35">
      <c r="A2662" s="18">
        <v>2623</v>
      </c>
      <c r="B2662" s="19"/>
    </row>
    <row r="2663" spans="1:2" x14ac:dyDescent="0.35">
      <c r="A2663" s="18">
        <v>2624</v>
      </c>
      <c r="B2663" s="19"/>
    </row>
    <row r="2664" spans="1:2" x14ac:dyDescent="0.35">
      <c r="A2664" s="18">
        <v>2625</v>
      </c>
      <c r="B2664" s="19"/>
    </row>
    <row r="2665" spans="1:2" x14ac:dyDescent="0.35">
      <c r="A2665" s="18">
        <v>2626</v>
      </c>
      <c r="B2665" s="19"/>
    </row>
    <row r="2666" spans="1:2" x14ac:dyDescent="0.35">
      <c r="A2666" s="18">
        <v>2627</v>
      </c>
      <c r="B2666" s="19"/>
    </row>
    <row r="2667" spans="1:2" x14ac:dyDescent="0.35">
      <c r="A2667" s="18">
        <v>2628</v>
      </c>
      <c r="B2667" s="19"/>
    </row>
    <row r="2668" spans="1:2" x14ac:dyDescent="0.35">
      <c r="A2668" s="18">
        <v>2629</v>
      </c>
      <c r="B2668" s="19"/>
    </row>
    <row r="2669" spans="1:2" x14ac:dyDescent="0.35">
      <c r="A2669" s="18">
        <v>2630</v>
      </c>
      <c r="B2669" s="19"/>
    </row>
    <row r="2670" spans="1:2" x14ac:dyDescent="0.35">
      <c r="A2670" s="18">
        <v>2631</v>
      </c>
      <c r="B2670" s="19"/>
    </row>
    <row r="2671" spans="1:2" x14ac:dyDescent="0.35">
      <c r="A2671" s="18">
        <v>2632</v>
      </c>
      <c r="B2671" s="19"/>
    </row>
    <row r="2672" spans="1:2" x14ac:dyDescent="0.35">
      <c r="A2672" s="18">
        <v>2633</v>
      </c>
      <c r="B2672" s="19"/>
    </row>
    <row r="2673" spans="1:2" x14ac:dyDescent="0.35">
      <c r="A2673" s="18">
        <v>2634</v>
      </c>
      <c r="B2673" s="19"/>
    </row>
    <row r="2674" spans="1:2" x14ac:dyDescent="0.35">
      <c r="A2674" s="18">
        <v>2635</v>
      </c>
      <c r="B2674" s="19"/>
    </row>
    <row r="2675" spans="1:2" x14ac:dyDescent="0.35">
      <c r="A2675" s="18">
        <v>2636</v>
      </c>
      <c r="B2675" s="19"/>
    </row>
    <row r="2676" spans="1:2" x14ac:dyDescent="0.35">
      <c r="A2676" s="18">
        <v>2637</v>
      </c>
      <c r="B2676" s="19"/>
    </row>
    <row r="2677" spans="1:2" x14ac:dyDescent="0.35">
      <c r="A2677" s="18">
        <v>2638</v>
      </c>
      <c r="B2677" s="19"/>
    </row>
    <row r="2678" spans="1:2" x14ac:dyDescent="0.35">
      <c r="A2678" s="18">
        <v>2639</v>
      </c>
      <c r="B2678" s="19"/>
    </row>
    <row r="2679" spans="1:2" x14ac:dyDescent="0.35">
      <c r="A2679" s="18">
        <v>2640</v>
      </c>
      <c r="B2679" s="19"/>
    </row>
    <row r="2680" spans="1:2" x14ac:dyDescent="0.35">
      <c r="A2680" s="18">
        <v>2641</v>
      </c>
      <c r="B2680" s="19"/>
    </row>
    <row r="2681" spans="1:2" x14ac:dyDescent="0.35">
      <c r="A2681" s="18">
        <v>2642</v>
      </c>
      <c r="B2681" s="19"/>
    </row>
    <row r="2682" spans="1:2" x14ac:dyDescent="0.35">
      <c r="A2682" s="18">
        <v>2643</v>
      </c>
      <c r="B2682" s="19"/>
    </row>
    <row r="2683" spans="1:2" x14ac:dyDescent="0.35">
      <c r="A2683" s="18">
        <v>2644</v>
      </c>
      <c r="B2683" s="19"/>
    </row>
    <row r="2684" spans="1:2" x14ac:dyDescent="0.35">
      <c r="A2684" s="18">
        <v>2645</v>
      </c>
      <c r="B2684" s="19"/>
    </row>
    <row r="2685" spans="1:2" x14ac:dyDescent="0.35">
      <c r="A2685" s="18">
        <v>2646</v>
      </c>
      <c r="B2685" s="19"/>
    </row>
    <row r="2686" spans="1:2" x14ac:dyDescent="0.35">
      <c r="A2686" s="18">
        <v>2647</v>
      </c>
      <c r="B2686" s="19"/>
    </row>
    <row r="2687" spans="1:2" x14ac:dyDescent="0.35">
      <c r="A2687" s="18">
        <v>2648</v>
      </c>
      <c r="B2687" s="19"/>
    </row>
    <row r="2688" spans="1:2" x14ac:dyDescent="0.35">
      <c r="A2688" s="18">
        <v>2649</v>
      </c>
      <c r="B2688" s="19"/>
    </row>
    <row r="2689" spans="1:2" x14ac:dyDescent="0.35">
      <c r="A2689" s="18">
        <v>2650</v>
      </c>
      <c r="B2689" s="19"/>
    </row>
    <row r="2690" spans="1:2" x14ac:dyDescent="0.35">
      <c r="A2690" s="18">
        <v>2651</v>
      </c>
      <c r="B2690" s="19"/>
    </row>
    <row r="2691" spans="1:2" x14ac:dyDescent="0.35">
      <c r="A2691" s="18">
        <v>2652</v>
      </c>
      <c r="B2691" s="19"/>
    </row>
    <row r="2692" spans="1:2" x14ac:dyDescent="0.35">
      <c r="A2692" s="18">
        <v>2653</v>
      </c>
      <c r="B2692" s="19"/>
    </row>
    <row r="2693" spans="1:2" x14ac:dyDescent="0.35">
      <c r="A2693" s="18">
        <v>2654</v>
      </c>
      <c r="B2693" s="19"/>
    </row>
    <row r="2694" spans="1:2" x14ac:dyDescent="0.35">
      <c r="A2694" s="18">
        <v>2655</v>
      </c>
      <c r="B2694" s="19"/>
    </row>
    <row r="2695" spans="1:2" x14ac:dyDescent="0.35">
      <c r="A2695" s="18">
        <v>2656</v>
      </c>
      <c r="B2695" s="19"/>
    </row>
    <row r="2696" spans="1:2" x14ac:dyDescent="0.35">
      <c r="A2696" s="18">
        <v>2657</v>
      </c>
      <c r="B2696" s="19"/>
    </row>
    <row r="2697" spans="1:2" x14ac:dyDescent="0.35">
      <c r="A2697" s="18">
        <v>2658</v>
      </c>
      <c r="B2697" s="19"/>
    </row>
    <row r="2698" spans="1:2" x14ac:dyDescent="0.35">
      <c r="A2698" s="18">
        <v>2659</v>
      </c>
      <c r="B2698" s="19"/>
    </row>
    <row r="2699" spans="1:2" x14ac:dyDescent="0.35">
      <c r="A2699" s="18">
        <v>2660</v>
      </c>
      <c r="B2699" s="19"/>
    </row>
    <row r="2700" spans="1:2" x14ac:dyDescent="0.35">
      <c r="A2700" s="18">
        <v>2661</v>
      </c>
      <c r="B2700" s="19"/>
    </row>
    <row r="2701" spans="1:2" x14ac:dyDescent="0.35">
      <c r="A2701" s="18">
        <v>2662</v>
      </c>
      <c r="B2701" s="19"/>
    </row>
    <row r="2702" spans="1:2" x14ac:dyDescent="0.35">
      <c r="A2702" s="18">
        <v>2663</v>
      </c>
      <c r="B2702" s="19"/>
    </row>
    <row r="2703" spans="1:2" x14ac:dyDescent="0.35">
      <c r="A2703" s="18">
        <v>2664</v>
      </c>
      <c r="B2703" s="19"/>
    </row>
    <row r="2704" spans="1:2" x14ac:dyDescent="0.35">
      <c r="A2704" s="18">
        <v>2665</v>
      </c>
      <c r="B2704" s="19"/>
    </row>
    <row r="2705" spans="1:2" x14ac:dyDescent="0.35">
      <c r="A2705" s="18">
        <v>2666</v>
      </c>
      <c r="B2705" s="19"/>
    </row>
    <row r="2706" spans="1:2" x14ac:dyDescent="0.35">
      <c r="A2706" s="18">
        <v>2667</v>
      </c>
      <c r="B2706" s="19"/>
    </row>
    <row r="2707" spans="1:2" x14ac:dyDescent="0.35">
      <c r="A2707" s="18">
        <v>2668</v>
      </c>
      <c r="B2707" s="19"/>
    </row>
    <row r="2708" spans="1:2" x14ac:dyDescent="0.35">
      <c r="A2708" s="18">
        <v>2669</v>
      </c>
      <c r="B2708" s="19"/>
    </row>
    <row r="2709" spans="1:2" x14ac:dyDescent="0.35">
      <c r="A2709" s="18">
        <v>2670</v>
      </c>
      <c r="B2709" s="19"/>
    </row>
    <row r="2710" spans="1:2" x14ac:dyDescent="0.35">
      <c r="A2710" s="18">
        <v>2671</v>
      </c>
      <c r="B2710" s="19"/>
    </row>
    <row r="2711" spans="1:2" x14ac:dyDescent="0.35">
      <c r="A2711" s="18">
        <v>2672</v>
      </c>
      <c r="B2711" s="19"/>
    </row>
    <row r="2712" spans="1:2" x14ac:dyDescent="0.35">
      <c r="A2712" s="18">
        <v>2673</v>
      </c>
      <c r="B2712" s="19"/>
    </row>
    <row r="2713" spans="1:2" x14ac:dyDescent="0.35">
      <c r="A2713" s="18">
        <v>2674</v>
      </c>
      <c r="B2713" s="19"/>
    </row>
    <row r="2714" spans="1:2" x14ac:dyDescent="0.35">
      <c r="A2714" s="18">
        <v>2675</v>
      </c>
      <c r="B2714" s="19"/>
    </row>
    <row r="2715" spans="1:2" x14ac:dyDescent="0.35">
      <c r="A2715" s="18">
        <v>2676</v>
      </c>
      <c r="B2715" s="19"/>
    </row>
    <row r="2716" spans="1:2" x14ac:dyDescent="0.35">
      <c r="A2716" s="18">
        <v>2677</v>
      </c>
      <c r="B2716" s="19"/>
    </row>
    <row r="2717" spans="1:2" x14ac:dyDescent="0.35">
      <c r="A2717" s="18">
        <v>2678</v>
      </c>
      <c r="B2717" s="19"/>
    </row>
    <row r="2718" spans="1:2" x14ac:dyDescent="0.35">
      <c r="A2718" s="18">
        <v>2679</v>
      </c>
      <c r="B2718" s="19"/>
    </row>
    <row r="2719" spans="1:2" x14ac:dyDescent="0.35">
      <c r="A2719" s="18">
        <v>2680</v>
      </c>
      <c r="B2719" s="19"/>
    </row>
    <row r="2720" spans="1:2" x14ac:dyDescent="0.35">
      <c r="A2720" s="18">
        <v>2681</v>
      </c>
      <c r="B2720" s="19"/>
    </row>
    <row r="2721" spans="1:2" x14ac:dyDescent="0.35">
      <c r="A2721" s="18">
        <v>2682</v>
      </c>
      <c r="B2721" s="19"/>
    </row>
    <row r="2722" spans="1:2" x14ac:dyDescent="0.35">
      <c r="A2722" s="18">
        <v>2683</v>
      </c>
      <c r="B2722" s="19"/>
    </row>
    <row r="2723" spans="1:2" x14ac:dyDescent="0.35">
      <c r="A2723" s="18">
        <v>2684</v>
      </c>
      <c r="B2723" s="19"/>
    </row>
    <row r="2724" spans="1:2" x14ac:dyDescent="0.35">
      <c r="A2724" s="18">
        <v>2685</v>
      </c>
      <c r="B2724" s="19"/>
    </row>
    <row r="2725" spans="1:2" x14ac:dyDescent="0.35">
      <c r="A2725" s="18">
        <v>2686</v>
      </c>
      <c r="B2725" s="19"/>
    </row>
    <row r="2726" spans="1:2" x14ac:dyDescent="0.35">
      <c r="A2726" s="18">
        <v>2687</v>
      </c>
      <c r="B2726" s="19"/>
    </row>
    <row r="2727" spans="1:2" x14ac:dyDescent="0.35">
      <c r="A2727" s="18">
        <v>2688</v>
      </c>
      <c r="B2727" s="19"/>
    </row>
    <row r="2728" spans="1:2" x14ac:dyDescent="0.35">
      <c r="A2728" s="18">
        <v>2689</v>
      </c>
      <c r="B2728" s="19"/>
    </row>
    <row r="2729" spans="1:2" x14ac:dyDescent="0.35">
      <c r="A2729" s="18">
        <v>2690</v>
      </c>
      <c r="B2729" s="19"/>
    </row>
    <row r="2730" spans="1:2" x14ac:dyDescent="0.35">
      <c r="A2730" s="18">
        <v>2691</v>
      </c>
      <c r="B2730" s="19"/>
    </row>
    <row r="2731" spans="1:2" x14ac:dyDescent="0.35">
      <c r="A2731" s="18">
        <v>2692</v>
      </c>
      <c r="B2731" s="19"/>
    </row>
    <row r="2732" spans="1:2" x14ac:dyDescent="0.35">
      <c r="A2732" s="18">
        <v>2693</v>
      </c>
      <c r="B2732" s="19"/>
    </row>
    <row r="2733" spans="1:2" x14ac:dyDescent="0.35">
      <c r="A2733" s="18">
        <v>2694</v>
      </c>
      <c r="B2733" s="19"/>
    </row>
    <row r="2734" spans="1:2" x14ac:dyDescent="0.35">
      <c r="A2734" s="18">
        <v>2695</v>
      </c>
      <c r="B2734" s="19"/>
    </row>
    <row r="2735" spans="1:2" x14ac:dyDescent="0.35">
      <c r="A2735" s="18">
        <v>2696</v>
      </c>
      <c r="B2735" s="19"/>
    </row>
    <row r="2736" spans="1:2" x14ac:dyDescent="0.35">
      <c r="A2736" s="18">
        <v>2697</v>
      </c>
      <c r="B2736" s="19"/>
    </row>
    <row r="2737" spans="1:2" x14ac:dyDescent="0.35">
      <c r="A2737" s="18">
        <v>2698</v>
      </c>
      <c r="B2737" s="19"/>
    </row>
    <row r="2738" spans="1:2" x14ac:dyDescent="0.35">
      <c r="A2738" s="18">
        <v>2699</v>
      </c>
      <c r="B2738" s="19"/>
    </row>
    <row r="2739" spans="1:2" x14ac:dyDescent="0.35">
      <c r="A2739" s="18">
        <v>2700</v>
      </c>
      <c r="B2739" s="19"/>
    </row>
    <row r="2740" spans="1:2" x14ac:dyDescent="0.35">
      <c r="A2740" s="18">
        <v>2701</v>
      </c>
      <c r="B2740" s="19"/>
    </row>
    <row r="2741" spans="1:2" x14ac:dyDescent="0.35">
      <c r="A2741" s="18">
        <v>2702</v>
      </c>
      <c r="B2741" s="19"/>
    </row>
    <row r="2742" spans="1:2" x14ac:dyDescent="0.35">
      <c r="A2742" s="18">
        <v>2703</v>
      </c>
      <c r="B2742" s="19"/>
    </row>
    <row r="2743" spans="1:2" x14ac:dyDescent="0.35">
      <c r="A2743" s="18">
        <v>2704</v>
      </c>
      <c r="B2743" s="19"/>
    </row>
    <row r="2744" spans="1:2" x14ac:dyDescent="0.35">
      <c r="A2744" s="18">
        <v>2705</v>
      </c>
      <c r="B2744" s="19"/>
    </row>
    <row r="2745" spans="1:2" x14ac:dyDescent="0.35">
      <c r="A2745" s="18">
        <v>2706</v>
      </c>
      <c r="B2745" s="19"/>
    </row>
    <row r="2746" spans="1:2" x14ac:dyDescent="0.35">
      <c r="A2746" s="18">
        <v>2707</v>
      </c>
      <c r="B2746" s="19"/>
    </row>
    <row r="2747" spans="1:2" x14ac:dyDescent="0.35">
      <c r="A2747" s="18">
        <v>2708</v>
      </c>
      <c r="B2747" s="19"/>
    </row>
    <row r="2748" spans="1:2" x14ac:dyDescent="0.35">
      <c r="A2748" s="18">
        <v>2709</v>
      </c>
      <c r="B2748" s="19"/>
    </row>
    <row r="2749" spans="1:2" x14ac:dyDescent="0.35">
      <c r="A2749" s="18">
        <v>2710</v>
      </c>
      <c r="B2749" s="19"/>
    </row>
    <row r="2750" spans="1:2" x14ac:dyDescent="0.35">
      <c r="A2750" s="18">
        <v>2711</v>
      </c>
      <c r="B2750" s="19"/>
    </row>
    <row r="2751" spans="1:2" x14ac:dyDescent="0.35">
      <c r="A2751" s="18">
        <v>2712</v>
      </c>
      <c r="B2751" s="19"/>
    </row>
    <row r="2752" spans="1:2" x14ac:dyDescent="0.35">
      <c r="A2752" s="18">
        <v>2713</v>
      </c>
      <c r="B2752" s="19"/>
    </row>
    <row r="2753" spans="1:2" x14ac:dyDescent="0.35">
      <c r="A2753" s="18">
        <v>2714</v>
      </c>
      <c r="B2753" s="19"/>
    </row>
    <row r="2754" spans="1:2" x14ac:dyDescent="0.35">
      <c r="A2754" s="18">
        <v>2715</v>
      </c>
      <c r="B2754" s="19"/>
    </row>
    <row r="2755" spans="1:2" x14ac:dyDescent="0.35">
      <c r="A2755" s="18">
        <v>2716</v>
      </c>
      <c r="B2755" s="19"/>
    </row>
    <row r="2756" spans="1:2" x14ac:dyDescent="0.35">
      <c r="A2756" s="18">
        <v>2717</v>
      </c>
      <c r="B2756" s="19"/>
    </row>
    <row r="2757" spans="1:2" x14ac:dyDescent="0.35">
      <c r="A2757" s="18">
        <v>2718</v>
      </c>
      <c r="B2757" s="19"/>
    </row>
    <row r="2758" spans="1:2" x14ac:dyDescent="0.35">
      <c r="A2758" s="18">
        <v>2719</v>
      </c>
      <c r="B2758" s="19"/>
    </row>
    <row r="2759" spans="1:2" x14ac:dyDescent="0.35">
      <c r="A2759" s="18">
        <v>2720</v>
      </c>
      <c r="B2759" s="19"/>
    </row>
    <row r="2760" spans="1:2" x14ac:dyDescent="0.35">
      <c r="A2760" s="18">
        <v>2721</v>
      </c>
      <c r="B2760" s="19"/>
    </row>
    <row r="2761" spans="1:2" x14ac:dyDescent="0.35">
      <c r="A2761" s="18">
        <v>2722</v>
      </c>
      <c r="B2761" s="19"/>
    </row>
    <row r="2762" spans="1:2" x14ac:dyDescent="0.35">
      <c r="A2762" s="18">
        <v>2723</v>
      </c>
      <c r="B2762" s="19"/>
    </row>
    <row r="2763" spans="1:2" x14ac:dyDescent="0.35">
      <c r="A2763" s="18">
        <v>2724</v>
      </c>
      <c r="B2763" s="19"/>
    </row>
    <row r="2764" spans="1:2" x14ac:dyDescent="0.35">
      <c r="A2764" s="18">
        <v>2725</v>
      </c>
      <c r="B2764" s="19"/>
    </row>
    <row r="2765" spans="1:2" x14ac:dyDescent="0.35">
      <c r="A2765" s="18">
        <v>2726</v>
      </c>
      <c r="B2765" s="19"/>
    </row>
    <row r="2766" spans="1:2" x14ac:dyDescent="0.35">
      <c r="A2766" s="18">
        <v>2727</v>
      </c>
      <c r="B2766" s="19"/>
    </row>
    <row r="2767" spans="1:2" x14ac:dyDescent="0.35">
      <c r="A2767" s="18">
        <v>2728</v>
      </c>
      <c r="B2767" s="19"/>
    </row>
    <row r="2768" spans="1:2" x14ac:dyDescent="0.35">
      <c r="A2768" s="18">
        <v>2729</v>
      </c>
      <c r="B2768" s="19"/>
    </row>
    <row r="2769" spans="1:2" x14ac:dyDescent="0.35">
      <c r="A2769" s="18">
        <v>2730</v>
      </c>
      <c r="B2769" s="19"/>
    </row>
    <row r="2770" spans="1:2" x14ac:dyDescent="0.35">
      <c r="A2770" s="18">
        <v>2731</v>
      </c>
      <c r="B2770" s="19"/>
    </row>
    <row r="2771" spans="1:2" x14ac:dyDescent="0.35">
      <c r="A2771" s="18">
        <v>2732</v>
      </c>
      <c r="B2771" s="19"/>
    </row>
    <row r="2772" spans="1:2" x14ac:dyDescent="0.35">
      <c r="A2772" s="18">
        <v>2733</v>
      </c>
      <c r="B2772" s="19"/>
    </row>
    <row r="2773" spans="1:2" x14ac:dyDescent="0.35">
      <c r="A2773" s="18">
        <v>2734</v>
      </c>
      <c r="B2773" s="19"/>
    </row>
    <row r="2774" spans="1:2" x14ac:dyDescent="0.35">
      <c r="A2774" s="18">
        <v>2735</v>
      </c>
      <c r="B2774" s="19"/>
    </row>
    <row r="2775" spans="1:2" x14ac:dyDescent="0.35">
      <c r="A2775" s="18">
        <v>2736</v>
      </c>
      <c r="B2775" s="19"/>
    </row>
    <row r="2776" spans="1:2" x14ac:dyDescent="0.35">
      <c r="A2776" s="18">
        <v>2737</v>
      </c>
      <c r="B2776" s="19"/>
    </row>
    <row r="2777" spans="1:2" x14ac:dyDescent="0.35">
      <c r="A2777" s="18">
        <v>2738</v>
      </c>
      <c r="B2777" s="19"/>
    </row>
    <row r="2778" spans="1:2" x14ac:dyDescent="0.35">
      <c r="A2778" s="18">
        <v>2739</v>
      </c>
      <c r="B2778" s="19"/>
    </row>
    <row r="2779" spans="1:2" x14ac:dyDescent="0.35">
      <c r="A2779" s="18">
        <v>2740</v>
      </c>
      <c r="B2779" s="19"/>
    </row>
    <row r="2780" spans="1:2" x14ac:dyDescent="0.35">
      <c r="A2780" s="18">
        <v>2741</v>
      </c>
      <c r="B2780" s="19"/>
    </row>
    <row r="2781" spans="1:2" x14ac:dyDescent="0.35">
      <c r="A2781" s="18">
        <v>2742</v>
      </c>
      <c r="B2781" s="19"/>
    </row>
    <row r="2782" spans="1:2" x14ac:dyDescent="0.35">
      <c r="A2782" s="18">
        <v>2743</v>
      </c>
      <c r="B2782" s="19"/>
    </row>
    <row r="2783" spans="1:2" x14ac:dyDescent="0.35">
      <c r="A2783" s="18">
        <v>2744</v>
      </c>
      <c r="B2783" s="19"/>
    </row>
    <row r="2784" spans="1:2" x14ac:dyDescent="0.35">
      <c r="A2784" s="18">
        <v>2745</v>
      </c>
      <c r="B2784" s="19"/>
    </row>
    <row r="2785" spans="1:2" x14ac:dyDescent="0.35">
      <c r="A2785" s="18">
        <v>2746</v>
      </c>
      <c r="B2785" s="19"/>
    </row>
    <row r="2786" spans="1:2" x14ac:dyDescent="0.35">
      <c r="A2786" s="18">
        <v>2747</v>
      </c>
      <c r="B2786" s="19"/>
    </row>
    <row r="2787" spans="1:2" x14ac:dyDescent="0.35">
      <c r="A2787" s="18">
        <v>2748</v>
      </c>
      <c r="B2787" s="19"/>
    </row>
    <row r="2788" spans="1:2" x14ac:dyDescent="0.35">
      <c r="A2788" s="18">
        <v>2749</v>
      </c>
      <c r="B2788" s="19"/>
    </row>
    <row r="2789" spans="1:2" x14ac:dyDescent="0.35">
      <c r="A2789" s="18">
        <v>2750</v>
      </c>
      <c r="B2789" s="19"/>
    </row>
    <row r="2790" spans="1:2" x14ac:dyDescent="0.35">
      <c r="A2790" s="18">
        <v>2751</v>
      </c>
      <c r="B2790" s="19"/>
    </row>
    <row r="2791" spans="1:2" x14ac:dyDescent="0.35">
      <c r="A2791" s="18">
        <v>2752</v>
      </c>
      <c r="B2791" s="19"/>
    </row>
    <row r="2792" spans="1:2" x14ac:dyDescent="0.35">
      <c r="A2792" s="18">
        <v>2753</v>
      </c>
      <c r="B2792" s="19"/>
    </row>
    <row r="2793" spans="1:2" x14ac:dyDescent="0.35">
      <c r="A2793" s="18">
        <v>2754</v>
      </c>
      <c r="B2793" s="19"/>
    </row>
    <row r="2794" spans="1:2" x14ac:dyDescent="0.35">
      <c r="A2794" s="18">
        <v>2755</v>
      </c>
      <c r="B2794" s="19"/>
    </row>
    <row r="2795" spans="1:2" x14ac:dyDescent="0.35">
      <c r="A2795" s="18">
        <v>2756</v>
      </c>
      <c r="B2795" s="19"/>
    </row>
    <row r="2796" spans="1:2" x14ac:dyDescent="0.35">
      <c r="A2796" s="18">
        <v>2757</v>
      </c>
      <c r="B2796" s="19"/>
    </row>
    <row r="2797" spans="1:2" x14ac:dyDescent="0.35">
      <c r="A2797" s="18">
        <v>2758</v>
      </c>
      <c r="B2797" s="19"/>
    </row>
    <row r="2798" spans="1:2" x14ac:dyDescent="0.35">
      <c r="A2798" s="18">
        <v>2759</v>
      </c>
      <c r="B2798" s="19"/>
    </row>
    <row r="2799" spans="1:2" x14ac:dyDescent="0.35">
      <c r="A2799" s="18">
        <v>2760</v>
      </c>
      <c r="B2799" s="19"/>
    </row>
    <row r="2800" spans="1:2" x14ac:dyDescent="0.35">
      <c r="A2800" s="18">
        <v>2761</v>
      </c>
      <c r="B2800" s="19"/>
    </row>
    <row r="2801" spans="1:2" x14ac:dyDescent="0.35">
      <c r="A2801" s="18">
        <v>2762</v>
      </c>
      <c r="B2801" s="19"/>
    </row>
    <row r="2802" spans="1:2" x14ac:dyDescent="0.35">
      <c r="A2802" s="18">
        <v>2763</v>
      </c>
      <c r="B2802" s="19"/>
    </row>
    <row r="2803" spans="1:2" x14ac:dyDescent="0.35">
      <c r="A2803" s="18">
        <v>2764</v>
      </c>
      <c r="B2803" s="19"/>
    </row>
    <row r="2804" spans="1:2" x14ac:dyDescent="0.35">
      <c r="A2804" s="18">
        <v>2765</v>
      </c>
      <c r="B2804" s="19"/>
    </row>
    <row r="2805" spans="1:2" x14ac:dyDescent="0.35">
      <c r="A2805" s="18">
        <v>2766</v>
      </c>
      <c r="B2805" s="19"/>
    </row>
    <row r="2806" spans="1:2" x14ac:dyDescent="0.35">
      <c r="A2806" s="18">
        <v>2767</v>
      </c>
      <c r="B2806" s="19"/>
    </row>
    <row r="2807" spans="1:2" x14ac:dyDescent="0.35">
      <c r="A2807" s="18">
        <v>2768</v>
      </c>
      <c r="B2807" s="19"/>
    </row>
    <row r="2808" spans="1:2" x14ac:dyDescent="0.35">
      <c r="A2808" s="18">
        <v>2769</v>
      </c>
      <c r="B2808" s="19"/>
    </row>
    <row r="2809" spans="1:2" x14ac:dyDescent="0.35">
      <c r="A2809" s="18">
        <v>2770</v>
      </c>
      <c r="B2809" s="19"/>
    </row>
    <row r="2810" spans="1:2" x14ac:dyDescent="0.35">
      <c r="A2810" s="18">
        <v>2771</v>
      </c>
      <c r="B2810" s="19"/>
    </row>
    <row r="2811" spans="1:2" x14ac:dyDescent="0.35">
      <c r="A2811" s="18">
        <v>2772</v>
      </c>
      <c r="B2811" s="19"/>
    </row>
    <row r="2812" spans="1:2" x14ac:dyDescent="0.35">
      <c r="A2812" s="18">
        <v>2773</v>
      </c>
      <c r="B2812" s="19"/>
    </row>
    <row r="2813" spans="1:2" x14ac:dyDescent="0.35">
      <c r="A2813" s="18">
        <v>2774</v>
      </c>
      <c r="B2813" s="19"/>
    </row>
    <row r="2814" spans="1:2" x14ac:dyDescent="0.35">
      <c r="A2814" s="18">
        <v>2775</v>
      </c>
      <c r="B2814" s="19"/>
    </row>
    <row r="2815" spans="1:2" x14ac:dyDescent="0.35">
      <c r="A2815" s="18">
        <v>2776</v>
      </c>
      <c r="B2815" s="19"/>
    </row>
    <row r="2816" spans="1:2" x14ac:dyDescent="0.35">
      <c r="A2816" s="18">
        <v>2777</v>
      </c>
      <c r="B2816" s="19"/>
    </row>
    <row r="2817" spans="1:2" x14ac:dyDescent="0.35">
      <c r="A2817" s="18">
        <v>2778</v>
      </c>
      <c r="B2817" s="19"/>
    </row>
    <row r="2818" spans="1:2" x14ac:dyDescent="0.35">
      <c r="A2818" s="18">
        <v>2779</v>
      </c>
      <c r="B2818" s="19"/>
    </row>
    <row r="2819" spans="1:2" x14ac:dyDescent="0.35">
      <c r="A2819" s="18">
        <v>2780</v>
      </c>
      <c r="B2819" s="19"/>
    </row>
    <row r="2820" spans="1:2" x14ac:dyDescent="0.35">
      <c r="A2820" s="18">
        <v>2781</v>
      </c>
      <c r="B2820" s="19"/>
    </row>
    <row r="2821" spans="1:2" x14ac:dyDescent="0.35">
      <c r="A2821" s="18">
        <v>2782</v>
      </c>
      <c r="B2821" s="19"/>
    </row>
    <row r="2822" spans="1:2" x14ac:dyDescent="0.35">
      <c r="A2822" s="18">
        <v>2783</v>
      </c>
      <c r="B2822" s="19"/>
    </row>
    <row r="2823" spans="1:2" x14ac:dyDescent="0.35">
      <c r="A2823" s="18">
        <v>2784</v>
      </c>
      <c r="B2823" s="19"/>
    </row>
    <row r="2824" spans="1:2" x14ac:dyDescent="0.35">
      <c r="A2824" s="18">
        <v>2785</v>
      </c>
      <c r="B2824" s="19"/>
    </row>
    <row r="2825" spans="1:2" x14ac:dyDescent="0.35">
      <c r="A2825" s="18">
        <v>2786</v>
      </c>
      <c r="B2825" s="19"/>
    </row>
    <row r="2826" spans="1:2" x14ac:dyDescent="0.35">
      <c r="A2826" s="18">
        <v>2787</v>
      </c>
      <c r="B2826" s="19"/>
    </row>
    <row r="2827" spans="1:2" x14ac:dyDescent="0.35">
      <c r="A2827" s="18">
        <v>2788</v>
      </c>
      <c r="B2827" s="19"/>
    </row>
    <row r="2828" spans="1:2" x14ac:dyDescent="0.35">
      <c r="A2828" s="18">
        <v>2789</v>
      </c>
      <c r="B2828" s="19"/>
    </row>
    <row r="2829" spans="1:2" x14ac:dyDescent="0.35">
      <c r="A2829" s="18">
        <v>2790</v>
      </c>
      <c r="B2829" s="19"/>
    </row>
    <row r="2830" spans="1:2" x14ac:dyDescent="0.35">
      <c r="A2830" s="18">
        <v>2791</v>
      </c>
      <c r="B2830" s="19"/>
    </row>
    <row r="2831" spans="1:2" x14ac:dyDescent="0.35">
      <c r="A2831" s="18">
        <v>2792</v>
      </c>
      <c r="B2831" s="19"/>
    </row>
    <row r="2832" spans="1:2" x14ac:dyDescent="0.35">
      <c r="A2832" s="18">
        <v>2793</v>
      </c>
      <c r="B2832" s="19"/>
    </row>
    <row r="2833" spans="1:2" x14ac:dyDescent="0.35">
      <c r="A2833" s="18">
        <v>2794</v>
      </c>
      <c r="B2833" s="19"/>
    </row>
    <row r="2834" spans="1:2" x14ac:dyDescent="0.35">
      <c r="A2834" s="18">
        <v>2795</v>
      </c>
      <c r="B2834" s="19"/>
    </row>
    <row r="2835" spans="1:2" x14ac:dyDescent="0.35">
      <c r="A2835" s="18">
        <v>2796</v>
      </c>
      <c r="B2835" s="19"/>
    </row>
    <row r="2836" spans="1:2" x14ac:dyDescent="0.35">
      <c r="A2836" s="18">
        <v>2797</v>
      </c>
      <c r="B2836" s="19"/>
    </row>
    <row r="2837" spans="1:2" x14ac:dyDescent="0.35">
      <c r="A2837" s="18">
        <v>2798</v>
      </c>
      <c r="B2837" s="19"/>
    </row>
    <row r="2838" spans="1:2" x14ac:dyDescent="0.35">
      <c r="A2838" s="18">
        <v>2799</v>
      </c>
      <c r="B2838" s="19"/>
    </row>
    <row r="2839" spans="1:2" x14ac:dyDescent="0.35">
      <c r="A2839" s="18">
        <v>2800</v>
      </c>
      <c r="B2839" s="19"/>
    </row>
    <row r="2840" spans="1:2" x14ac:dyDescent="0.35">
      <c r="A2840" s="18">
        <v>2801</v>
      </c>
      <c r="B2840" s="19"/>
    </row>
    <row r="2841" spans="1:2" x14ac:dyDescent="0.35">
      <c r="A2841" s="18">
        <v>2802</v>
      </c>
      <c r="B2841" s="19"/>
    </row>
    <row r="2842" spans="1:2" x14ac:dyDescent="0.35">
      <c r="A2842" s="18">
        <v>2803</v>
      </c>
      <c r="B2842" s="19"/>
    </row>
    <row r="2843" spans="1:2" x14ac:dyDescent="0.35">
      <c r="A2843" s="18">
        <v>2804</v>
      </c>
      <c r="B2843" s="19"/>
    </row>
    <row r="2844" spans="1:2" x14ac:dyDescent="0.35">
      <c r="A2844" s="18">
        <v>2805</v>
      </c>
      <c r="B2844" s="19"/>
    </row>
    <row r="2845" spans="1:2" x14ac:dyDescent="0.35">
      <c r="A2845" s="18">
        <v>2806</v>
      </c>
      <c r="B2845" s="19"/>
    </row>
    <row r="2846" spans="1:2" x14ac:dyDescent="0.35">
      <c r="A2846" s="18">
        <v>2807</v>
      </c>
      <c r="B2846" s="19"/>
    </row>
    <row r="2847" spans="1:2" x14ac:dyDescent="0.35">
      <c r="A2847" s="18">
        <v>2808</v>
      </c>
      <c r="B2847" s="19"/>
    </row>
    <row r="2848" spans="1:2" x14ac:dyDescent="0.35">
      <c r="A2848" s="18">
        <v>2809</v>
      </c>
      <c r="B2848" s="19"/>
    </row>
    <row r="2849" spans="1:2" x14ac:dyDescent="0.35">
      <c r="A2849" s="18">
        <v>2810</v>
      </c>
      <c r="B2849" s="19"/>
    </row>
    <row r="2850" spans="1:2" x14ac:dyDescent="0.35">
      <c r="A2850" s="18">
        <v>2811</v>
      </c>
      <c r="B2850" s="19"/>
    </row>
    <row r="2851" spans="1:2" x14ac:dyDescent="0.35">
      <c r="A2851" s="18">
        <v>2812</v>
      </c>
      <c r="B2851" s="19"/>
    </row>
    <row r="2852" spans="1:2" x14ac:dyDescent="0.35">
      <c r="A2852" s="18">
        <v>2813</v>
      </c>
      <c r="B2852" s="19"/>
    </row>
    <row r="2853" spans="1:2" x14ac:dyDescent="0.35">
      <c r="A2853" s="18">
        <v>2814</v>
      </c>
      <c r="B2853" s="19"/>
    </row>
    <row r="2854" spans="1:2" x14ac:dyDescent="0.35">
      <c r="A2854" s="18">
        <v>2815</v>
      </c>
      <c r="B2854" s="19"/>
    </row>
    <row r="2855" spans="1:2" x14ac:dyDescent="0.35">
      <c r="A2855" s="18">
        <v>2816</v>
      </c>
      <c r="B2855" s="19"/>
    </row>
    <row r="2856" spans="1:2" x14ac:dyDescent="0.35">
      <c r="A2856" s="18">
        <v>2817</v>
      </c>
      <c r="B2856" s="19"/>
    </row>
    <row r="2857" spans="1:2" x14ac:dyDescent="0.35">
      <c r="A2857" s="18">
        <v>2818</v>
      </c>
      <c r="B2857" s="19"/>
    </row>
    <row r="2858" spans="1:2" x14ac:dyDescent="0.35">
      <c r="A2858" s="18">
        <v>2819</v>
      </c>
      <c r="B2858" s="19"/>
    </row>
    <row r="2859" spans="1:2" x14ac:dyDescent="0.35">
      <c r="A2859" s="18">
        <v>2820</v>
      </c>
      <c r="B2859" s="19"/>
    </row>
    <row r="2860" spans="1:2" x14ac:dyDescent="0.35">
      <c r="A2860" s="18">
        <v>2821</v>
      </c>
      <c r="B2860" s="19"/>
    </row>
    <row r="2861" spans="1:2" x14ac:dyDescent="0.35">
      <c r="A2861" s="18">
        <v>2822</v>
      </c>
      <c r="B2861" s="19"/>
    </row>
    <row r="2862" spans="1:2" x14ac:dyDescent="0.35">
      <c r="A2862" s="18">
        <v>2823</v>
      </c>
      <c r="B2862" s="19"/>
    </row>
    <row r="2863" spans="1:2" x14ac:dyDescent="0.35">
      <c r="A2863" s="18">
        <v>2824</v>
      </c>
      <c r="B2863" s="19"/>
    </row>
    <row r="2864" spans="1:2" x14ac:dyDescent="0.35">
      <c r="A2864" s="18">
        <v>2825</v>
      </c>
      <c r="B2864" s="19"/>
    </row>
    <row r="2865" spans="1:2" x14ac:dyDescent="0.35">
      <c r="A2865" s="18">
        <v>2826</v>
      </c>
      <c r="B2865" s="19"/>
    </row>
    <row r="2866" spans="1:2" x14ac:dyDescent="0.35">
      <c r="A2866" s="18">
        <v>2827</v>
      </c>
      <c r="B2866" s="19"/>
    </row>
    <row r="2867" spans="1:2" x14ac:dyDescent="0.35">
      <c r="A2867" s="18">
        <v>2828</v>
      </c>
      <c r="B2867" s="19"/>
    </row>
    <row r="2868" spans="1:2" x14ac:dyDescent="0.35">
      <c r="A2868" s="18">
        <v>2829</v>
      </c>
      <c r="B2868" s="19"/>
    </row>
    <row r="2869" spans="1:2" x14ac:dyDescent="0.35">
      <c r="A2869" s="18">
        <v>2830</v>
      </c>
      <c r="B2869" s="19"/>
    </row>
    <row r="2870" spans="1:2" x14ac:dyDescent="0.35">
      <c r="A2870" s="18">
        <v>2831</v>
      </c>
      <c r="B2870" s="19"/>
    </row>
    <row r="2871" spans="1:2" x14ac:dyDescent="0.35">
      <c r="A2871" s="18">
        <v>2832</v>
      </c>
      <c r="B2871" s="19"/>
    </row>
    <row r="2872" spans="1:2" x14ac:dyDescent="0.35">
      <c r="A2872" s="18">
        <v>2833</v>
      </c>
      <c r="B2872" s="19"/>
    </row>
    <row r="2873" spans="1:2" x14ac:dyDescent="0.35">
      <c r="A2873" s="18">
        <v>2834</v>
      </c>
      <c r="B2873" s="19"/>
    </row>
    <row r="2874" spans="1:2" x14ac:dyDescent="0.35">
      <c r="A2874" s="18">
        <v>2835</v>
      </c>
      <c r="B2874" s="19"/>
    </row>
    <row r="2875" spans="1:2" x14ac:dyDescent="0.35">
      <c r="A2875" s="18">
        <v>2836</v>
      </c>
      <c r="B2875" s="19"/>
    </row>
    <row r="2876" spans="1:2" x14ac:dyDescent="0.35">
      <c r="A2876" s="18">
        <v>2837</v>
      </c>
      <c r="B2876" s="19"/>
    </row>
    <row r="2877" spans="1:2" x14ac:dyDescent="0.35">
      <c r="A2877" s="18">
        <v>2838</v>
      </c>
      <c r="B2877" s="19"/>
    </row>
    <row r="2878" spans="1:2" x14ac:dyDescent="0.35">
      <c r="A2878" s="18">
        <v>2839</v>
      </c>
      <c r="B2878" s="19"/>
    </row>
    <row r="2879" spans="1:2" x14ac:dyDescent="0.35">
      <c r="A2879" s="18">
        <v>2840</v>
      </c>
      <c r="B2879" s="19"/>
    </row>
    <row r="2880" spans="1:2" x14ac:dyDescent="0.35">
      <c r="A2880" s="18">
        <v>2841</v>
      </c>
      <c r="B2880" s="19"/>
    </row>
    <row r="2881" spans="1:2" x14ac:dyDescent="0.35">
      <c r="A2881" s="18">
        <v>2842</v>
      </c>
      <c r="B2881" s="19"/>
    </row>
    <row r="2882" spans="1:2" x14ac:dyDescent="0.35">
      <c r="A2882" s="18">
        <v>2843</v>
      </c>
      <c r="B2882" s="19"/>
    </row>
    <row r="2883" spans="1:2" x14ac:dyDescent="0.35">
      <c r="A2883" s="18">
        <v>2844</v>
      </c>
      <c r="B2883" s="19"/>
    </row>
    <row r="2884" spans="1:2" x14ac:dyDescent="0.35">
      <c r="A2884" s="18">
        <v>2845</v>
      </c>
      <c r="B2884" s="19"/>
    </row>
    <row r="2885" spans="1:2" x14ac:dyDescent="0.35">
      <c r="A2885" s="18">
        <v>2846</v>
      </c>
      <c r="B2885" s="19"/>
    </row>
    <row r="2886" spans="1:2" x14ac:dyDescent="0.35">
      <c r="A2886" s="18">
        <v>2847</v>
      </c>
      <c r="B2886" s="19"/>
    </row>
    <row r="2887" spans="1:2" x14ac:dyDescent="0.35">
      <c r="A2887" s="18">
        <v>2848</v>
      </c>
      <c r="B2887" s="19"/>
    </row>
    <row r="2888" spans="1:2" x14ac:dyDescent="0.35">
      <c r="A2888" s="18">
        <v>2849</v>
      </c>
      <c r="B2888" s="19"/>
    </row>
    <row r="2889" spans="1:2" x14ac:dyDescent="0.35">
      <c r="A2889" s="18">
        <v>2850</v>
      </c>
      <c r="B2889" s="19"/>
    </row>
    <row r="2890" spans="1:2" x14ac:dyDescent="0.35">
      <c r="A2890" s="18">
        <v>2851</v>
      </c>
      <c r="B2890" s="19"/>
    </row>
    <row r="2891" spans="1:2" x14ac:dyDescent="0.35">
      <c r="A2891" s="18">
        <v>2852</v>
      </c>
      <c r="B2891" s="19"/>
    </row>
    <row r="2892" spans="1:2" x14ac:dyDescent="0.35">
      <c r="A2892" s="18">
        <v>2853</v>
      </c>
      <c r="B2892" s="19"/>
    </row>
    <row r="2893" spans="1:2" x14ac:dyDescent="0.35">
      <c r="A2893" s="18">
        <v>2854</v>
      </c>
      <c r="B2893" s="19"/>
    </row>
    <row r="2894" spans="1:2" x14ac:dyDescent="0.35">
      <c r="A2894" s="18">
        <v>2855</v>
      </c>
      <c r="B2894" s="19"/>
    </row>
    <row r="2895" spans="1:2" x14ac:dyDescent="0.35">
      <c r="A2895" s="18">
        <v>2856</v>
      </c>
      <c r="B2895" s="19"/>
    </row>
    <row r="2896" spans="1:2" x14ac:dyDescent="0.35">
      <c r="A2896" s="18">
        <v>2857</v>
      </c>
      <c r="B2896" s="19"/>
    </row>
    <row r="2897" spans="1:2" x14ac:dyDescent="0.35">
      <c r="A2897" s="18">
        <v>2858</v>
      </c>
      <c r="B2897" s="19"/>
    </row>
    <row r="2898" spans="1:2" x14ac:dyDescent="0.35">
      <c r="A2898" s="18">
        <v>2859</v>
      </c>
      <c r="B2898" s="19"/>
    </row>
    <row r="2899" spans="1:2" x14ac:dyDescent="0.35">
      <c r="A2899" s="18">
        <v>2860</v>
      </c>
      <c r="B2899" s="19"/>
    </row>
    <row r="2900" spans="1:2" x14ac:dyDescent="0.35">
      <c r="A2900" s="18">
        <v>2861</v>
      </c>
      <c r="B2900" s="19"/>
    </row>
    <row r="2901" spans="1:2" x14ac:dyDescent="0.35">
      <c r="A2901" s="18">
        <v>2862</v>
      </c>
      <c r="B2901" s="19"/>
    </row>
    <row r="2902" spans="1:2" x14ac:dyDescent="0.35">
      <c r="A2902" s="18">
        <v>2863</v>
      </c>
      <c r="B2902" s="19"/>
    </row>
    <row r="2903" spans="1:2" x14ac:dyDescent="0.35">
      <c r="A2903" s="18">
        <v>2864</v>
      </c>
      <c r="B2903" s="19"/>
    </row>
    <row r="2904" spans="1:2" x14ac:dyDescent="0.35">
      <c r="A2904" s="18">
        <v>2865</v>
      </c>
      <c r="B2904" s="19"/>
    </row>
    <row r="2905" spans="1:2" x14ac:dyDescent="0.35">
      <c r="A2905" s="18">
        <v>2866</v>
      </c>
      <c r="B2905" s="19"/>
    </row>
    <row r="2906" spans="1:2" x14ac:dyDescent="0.35">
      <c r="A2906" s="18">
        <v>2867</v>
      </c>
      <c r="B2906" s="19"/>
    </row>
    <row r="2907" spans="1:2" x14ac:dyDescent="0.35">
      <c r="A2907" s="18">
        <v>2868</v>
      </c>
      <c r="B2907" s="19"/>
    </row>
    <row r="2908" spans="1:2" x14ac:dyDescent="0.35">
      <c r="A2908" s="18">
        <v>2869</v>
      </c>
      <c r="B2908" s="19"/>
    </row>
    <row r="2909" spans="1:2" x14ac:dyDescent="0.35">
      <c r="A2909" s="18">
        <v>2870</v>
      </c>
      <c r="B2909" s="19"/>
    </row>
    <row r="2910" spans="1:2" x14ac:dyDescent="0.35">
      <c r="A2910" s="18">
        <v>2871</v>
      </c>
      <c r="B2910" s="19"/>
    </row>
    <row r="2911" spans="1:2" x14ac:dyDescent="0.35">
      <c r="A2911" s="18">
        <v>2872</v>
      </c>
      <c r="B2911" s="19"/>
    </row>
    <row r="2912" spans="1:2" x14ac:dyDescent="0.35">
      <c r="A2912" s="18">
        <v>2873</v>
      </c>
      <c r="B2912" s="19"/>
    </row>
    <row r="2913" spans="1:2" x14ac:dyDescent="0.35">
      <c r="A2913" s="18">
        <v>2874</v>
      </c>
      <c r="B2913" s="19"/>
    </row>
    <row r="2914" spans="1:2" x14ac:dyDescent="0.35">
      <c r="A2914" s="18">
        <v>2875</v>
      </c>
      <c r="B2914" s="19"/>
    </row>
    <row r="2915" spans="1:2" x14ac:dyDescent="0.35">
      <c r="A2915" s="18">
        <v>2876</v>
      </c>
      <c r="B2915" s="19"/>
    </row>
    <row r="2916" spans="1:2" x14ac:dyDescent="0.35">
      <c r="A2916" s="18">
        <v>2877</v>
      </c>
      <c r="B2916" s="19"/>
    </row>
    <row r="2917" spans="1:2" x14ac:dyDescent="0.35">
      <c r="A2917" s="18">
        <v>2878</v>
      </c>
      <c r="B2917" s="19"/>
    </row>
    <row r="2918" spans="1:2" x14ac:dyDescent="0.35">
      <c r="A2918" s="18">
        <v>2879</v>
      </c>
      <c r="B2918" s="19"/>
    </row>
    <row r="2919" spans="1:2" x14ac:dyDescent="0.35">
      <c r="A2919" s="18">
        <v>2880</v>
      </c>
      <c r="B2919" s="19"/>
    </row>
    <row r="2920" spans="1:2" x14ac:dyDescent="0.35">
      <c r="A2920" s="18">
        <v>2881</v>
      </c>
      <c r="B2920" s="19"/>
    </row>
    <row r="2921" spans="1:2" x14ac:dyDescent="0.35">
      <c r="A2921" s="18">
        <v>2882</v>
      </c>
      <c r="B2921" s="19"/>
    </row>
    <row r="2922" spans="1:2" x14ac:dyDescent="0.35">
      <c r="A2922" s="18">
        <v>2883</v>
      </c>
      <c r="B2922" s="19"/>
    </row>
    <row r="2923" spans="1:2" x14ac:dyDescent="0.35">
      <c r="A2923" s="18">
        <v>2884</v>
      </c>
      <c r="B2923" s="19"/>
    </row>
    <row r="2924" spans="1:2" x14ac:dyDescent="0.35">
      <c r="A2924" s="18">
        <v>2885</v>
      </c>
      <c r="B2924" s="19"/>
    </row>
    <row r="2925" spans="1:2" x14ac:dyDescent="0.35">
      <c r="A2925" s="18">
        <v>2886</v>
      </c>
      <c r="B2925" s="19"/>
    </row>
    <row r="2926" spans="1:2" x14ac:dyDescent="0.35">
      <c r="A2926" s="18">
        <v>2887</v>
      </c>
      <c r="B2926" s="19"/>
    </row>
    <row r="2927" spans="1:2" x14ac:dyDescent="0.35">
      <c r="A2927" s="18">
        <v>2888</v>
      </c>
      <c r="B2927" s="19"/>
    </row>
    <row r="2928" spans="1:2" x14ac:dyDescent="0.35">
      <c r="A2928" s="18">
        <v>2889</v>
      </c>
      <c r="B2928" s="19"/>
    </row>
    <row r="2929" spans="1:2" x14ac:dyDescent="0.35">
      <c r="A2929" s="18">
        <v>2890</v>
      </c>
      <c r="B2929" s="19"/>
    </row>
    <row r="2930" spans="1:2" x14ac:dyDescent="0.35">
      <c r="A2930" s="18">
        <v>2891</v>
      </c>
      <c r="B2930" s="19"/>
    </row>
    <row r="2931" spans="1:2" x14ac:dyDescent="0.35">
      <c r="A2931" s="18">
        <v>2892</v>
      </c>
      <c r="B2931" s="19"/>
    </row>
    <row r="2932" spans="1:2" x14ac:dyDescent="0.35">
      <c r="A2932" s="18">
        <v>2893</v>
      </c>
      <c r="B2932" s="19"/>
    </row>
    <row r="2933" spans="1:2" x14ac:dyDescent="0.35">
      <c r="A2933" s="18">
        <v>2894</v>
      </c>
      <c r="B2933" s="19"/>
    </row>
    <row r="2934" spans="1:2" x14ac:dyDescent="0.35">
      <c r="A2934" s="18">
        <v>2895</v>
      </c>
      <c r="B2934" s="19"/>
    </row>
    <row r="2935" spans="1:2" x14ac:dyDescent="0.35">
      <c r="A2935" s="18">
        <v>2896</v>
      </c>
      <c r="B2935" s="19"/>
    </row>
    <row r="2936" spans="1:2" x14ac:dyDescent="0.35">
      <c r="A2936" s="18">
        <v>2897</v>
      </c>
      <c r="B2936" s="19"/>
    </row>
    <row r="2937" spans="1:2" x14ac:dyDescent="0.35">
      <c r="A2937" s="18">
        <v>2898</v>
      </c>
      <c r="B2937" s="19"/>
    </row>
    <row r="2938" spans="1:2" x14ac:dyDescent="0.35">
      <c r="A2938" s="18">
        <v>2899</v>
      </c>
      <c r="B2938" s="19"/>
    </row>
    <row r="2939" spans="1:2" x14ac:dyDescent="0.35">
      <c r="A2939" s="18">
        <v>2900</v>
      </c>
      <c r="B2939" s="19"/>
    </row>
    <row r="2940" spans="1:2" x14ac:dyDescent="0.35">
      <c r="A2940" s="18">
        <v>2901</v>
      </c>
      <c r="B2940" s="19"/>
    </row>
    <row r="2941" spans="1:2" x14ac:dyDescent="0.35">
      <c r="A2941" s="18">
        <v>2902</v>
      </c>
      <c r="B2941" s="19"/>
    </row>
    <row r="2942" spans="1:2" x14ac:dyDescent="0.35">
      <c r="A2942" s="18">
        <v>2903</v>
      </c>
      <c r="B2942" s="19"/>
    </row>
    <row r="2943" spans="1:2" x14ac:dyDescent="0.35">
      <c r="A2943" s="18">
        <v>2904</v>
      </c>
      <c r="B2943" s="19"/>
    </row>
    <row r="2944" spans="1:2" x14ac:dyDescent="0.35">
      <c r="A2944" s="18">
        <v>2905</v>
      </c>
      <c r="B2944" s="19"/>
    </row>
    <row r="2945" spans="1:2" x14ac:dyDescent="0.35">
      <c r="A2945" s="18">
        <v>2906</v>
      </c>
      <c r="B2945" s="19"/>
    </row>
    <row r="2946" spans="1:2" x14ac:dyDescent="0.35">
      <c r="A2946" s="18">
        <v>2907</v>
      </c>
      <c r="B2946" s="19"/>
    </row>
    <row r="2947" spans="1:2" x14ac:dyDescent="0.35">
      <c r="A2947" s="18">
        <v>2908</v>
      </c>
      <c r="B2947" s="19"/>
    </row>
    <row r="2948" spans="1:2" x14ac:dyDescent="0.35">
      <c r="A2948" s="18">
        <v>2909</v>
      </c>
      <c r="B2948" s="19"/>
    </row>
    <row r="2949" spans="1:2" x14ac:dyDescent="0.35">
      <c r="A2949" s="18">
        <v>2910</v>
      </c>
      <c r="B2949" s="19"/>
    </row>
    <row r="2950" spans="1:2" x14ac:dyDescent="0.35">
      <c r="A2950" s="18">
        <v>2911</v>
      </c>
      <c r="B2950" s="19"/>
    </row>
    <row r="2951" spans="1:2" x14ac:dyDescent="0.35">
      <c r="A2951" s="18">
        <v>2912</v>
      </c>
      <c r="B2951" s="19"/>
    </row>
    <row r="2952" spans="1:2" x14ac:dyDescent="0.35">
      <c r="A2952" s="18">
        <v>2913</v>
      </c>
      <c r="B2952" s="19"/>
    </row>
    <row r="2953" spans="1:2" x14ac:dyDescent="0.35">
      <c r="A2953" s="18">
        <v>2914</v>
      </c>
      <c r="B2953" s="19"/>
    </row>
    <row r="2954" spans="1:2" x14ac:dyDescent="0.35">
      <c r="A2954" s="18">
        <v>2915</v>
      </c>
      <c r="B2954" s="19"/>
    </row>
    <row r="2955" spans="1:2" x14ac:dyDescent="0.35">
      <c r="A2955" s="18">
        <v>2916</v>
      </c>
      <c r="B2955" s="19"/>
    </row>
    <row r="2956" spans="1:2" x14ac:dyDescent="0.35">
      <c r="A2956" s="18">
        <v>2917</v>
      </c>
      <c r="B2956" s="19"/>
    </row>
    <row r="2957" spans="1:2" x14ac:dyDescent="0.35">
      <c r="A2957" s="18">
        <v>2918</v>
      </c>
      <c r="B2957" s="19"/>
    </row>
    <row r="2958" spans="1:2" x14ac:dyDescent="0.35">
      <c r="A2958" s="18">
        <v>2919</v>
      </c>
      <c r="B2958" s="19"/>
    </row>
    <row r="2959" spans="1:2" x14ac:dyDescent="0.35">
      <c r="A2959" s="18">
        <v>2920</v>
      </c>
      <c r="B2959" s="19"/>
    </row>
    <row r="2960" spans="1:2" x14ac:dyDescent="0.35">
      <c r="A2960" s="18">
        <v>2921</v>
      </c>
      <c r="B2960" s="19"/>
    </row>
    <row r="2961" spans="1:2" x14ac:dyDescent="0.35">
      <c r="A2961" s="18">
        <v>2922</v>
      </c>
      <c r="B2961" s="19"/>
    </row>
    <row r="2962" spans="1:2" x14ac:dyDescent="0.35">
      <c r="A2962" s="18">
        <v>2923</v>
      </c>
      <c r="B2962" s="19"/>
    </row>
    <row r="2963" spans="1:2" x14ac:dyDescent="0.35">
      <c r="A2963" s="18">
        <v>2924</v>
      </c>
      <c r="B2963" s="19"/>
    </row>
    <row r="2964" spans="1:2" x14ac:dyDescent="0.35">
      <c r="A2964" s="18">
        <v>2925</v>
      </c>
      <c r="B2964" s="19"/>
    </row>
    <row r="2965" spans="1:2" x14ac:dyDescent="0.35">
      <c r="A2965" s="18">
        <v>2926</v>
      </c>
      <c r="B2965" s="19"/>
    </row>
    <row r="2966" spans="1:2" x14ac:dyDescent="0.35">
      <c r="A2966" s="18">
        <v>2927</v>
      </c>
      <c r="B2966" s="19"/>
    </row>
    <row r="2967" spans="1:2" x14ac:dyDescent="0.35">
      <c r="A2967" s="18">
        <v>2928</v>
      </c>
      <c r="B2967" s="19"/>
    </row>
    <row r="2968" spans="1:2" x14ac:dyDescent="0.35">
      <c r="A2968" s="18">
        <v>2929</v>
      </c>
      <c r="B2968" s="19"/>
    </row>
    <row r="2969" spans="1:2" x14ac:dyDescent="0.35">
      <c r="A2969" s="18">
        <v>2930</v>
      </c>
      <c r="B2969" s="19"/>
    </row>
    <row r="2970" spans="1:2" x14ac:dyDescent="0.35">
      <c r="A2970" s="18">
        <v>2931</v>
      </c>
      <c r="B2970" s="19"/>
    </row>
    <row r="2971" spans="1:2" x14ac:dyDescent="0.35">
      <c r="A2971" s="18">
        <v>2932</v>
      </c>
      <c r="B2971" s="19"/>
    </row>
    <row r="2972" spans="1:2" x14ac:dyDescent="0.35">
      <c r="A2972" s="18">
        <v>2933</v>
      </c>
      <c r="B2972" s="19"/>
    </row>
    <row r="2973" spans="1:2" x14ac:dyDescent="0.35">
      <c r="A2973" s="18">
        <v>2934</v>
      </c>
      <c r="B2973" s="19"/>
    </row>
    <row r="2974" spans="1:2" x14ac:dyDescent="0.35">
      <c r="A2974" s="18">
        <v>2935</v>
      </c>
      <c r="B2974" s="19"/>
    </row>
    <row r="2975" spans="1:2" x14ac:dyDescent="0.35">
      <c r="A2975" s="18">
        <v>2936</v>
      </c>
      <c r="B2975" s="19"/>
    </row>
    <row r="2976" spans="1:2" x14ac:dyDescent="0.35">
      <c r="A2976" s="18">
        <v>2937</v>
      </c>
      <c r="B2976" s="19"/>
    </row>
    <row r="2977" spans="1:2" x14ac:dyDescent="0.35">
      <c r="A2977" s="18">
        <v>2938</v>
      </c>
      <c r="B2977" s="19"/>
    </row>
    <row r="2978" spans="1:2" x14ac:dyDescent="0.35">
      <c r="A2978" s="18">
        <v>2939</v>
      </c>
      <c r="B2978" s="19"/>
    </row>
    <row r="2979" spans="1:2" x14ac:dyDescent="0.35">
      <c r="A2979" s="18">
        <v>2940</v>
      </c>
      <c r="B2979" s="19"/>
    </row>
    <row r="2980" spans="1:2" x14ac:dyDescent="0.35">
      <c r="A2980" s="18">
        <v>2941</v>
      </c>
      <c r="B2980" s="19"/>
    </row>
    <row r="2981" spans="1:2" x14ac:dyDescent="0.35">
      <c r="A2981" s="18">
        <v>2942</v>
      </c>
      <c r="B2981" s="19"/>
    </row>
    <row r="2982" spans="1:2" x14ac:dyDescent="0.35">
      <c r="A2982" s="18">
        <v>2943</v>
      </c>
      <c r="B2982" s="19"/>
    </row>
    <row r="2983" spans="1:2" x14ac:dyDescent="0.35">
      <c r="A2983" s="18">
        <v>2944</v>
      </c>
      <c r="B2983" s="19"/>
    </row>
    <row r="2984" spans="1:2" x14ac:dyDescent="0.35">
      <c r="A2984" s="18">
        <v>2945</v>
      </c>
      <c r="B2984" s="19"/>
    </row>
    <row r="2985" spans="1:2" x14ac:dyDescent="0.35">
      <c r="A2985" s="18">
        <v>2946</v>
      </c>
      <c r="B2985" s="19"/>
    </row>
    <row r="2986" spans="1:2" x14ac:dyDescent="0.35">
      <c r="A2986" s="18">
        <v>2947</v>
      </c>
      <c r="B2986" s="19"/>
    </row>
    <row r="2987" spans="1:2" x14ac:dyDescent="0.35">
      <c r="A2987" s="18">
        <v>2948</v>
      </c>
      <c r="B2987" s="19"/>
    </row>
    <row r="2988" spans="1:2" x14ac:dyDescent="0.35">
      <c r="A2988" s="18">
        <v>2949</v>
      </c>
      <c r="B2988" s="19"/>
    </row>
    <row r="2989" spans="1:2" x14ac:dyDescent="0.35">
      <c r="A2989" s="18">
        <v>2950</v>
      </c>
      <c r="B2989" s="19"/>
    </row>
    <row r="2990" spans="1:2" x14ac:dyDescent="0.35">
      <c r="A2990" s="18">
        <v>2951</v>
      </c>
      <c r="B2990" s="19"/>
    </row>
    <row r="2991" spans="1:2" x14ac:dyDescent="0.35">
      <c r="A2991" s="18">
        <v>2952</v>
      </c>
      <c r="B2991" s="19"/>
    </row>
    <row r="2992" spans="1:2" x14ac:dyDescent="0.35">
      <c r="A2992" s="18">
        <v>2953</v>
      </c>
      <c r="B2992" s="19"/>
    </row>
    <row r="2993" spans="1:2" x14ac:dyDescent="0.35">
      <c r="A2993" s="18">
        <v>2954</v>
      </c>
      <c r="B2993" s="19"/>
    </row>
    <row r="2994" spans="1:2" x14ac:dyDescent="0.35">
      <c r="A2994" s="18">
        <v>2955</v>
      </c>
      <c r="B2994" s="19"/>
    </row>
    <row r="2995" spans="1:2" x14ac:dyDescent="0.35">
      <c r="A2995" s="18">
        <v>2956</v>
      </c>
      <c r="B2995" s="19"/>
    </row>
    <row r="2996" spans="1:2" x14ac:dyDescent="0.35">
      <c r="A2996" s="18">
        <v>2957</v>
      </c>
      <c r="B2996" s="19"/>
    </row>
    <row r="2997" spans="1:2" x14ac:dyDescent="0.35">
      <c r="A2997" s="18">
        <v>2958</v>
      </c>
      <c r="B2997" s="19"/>
    </row>
    <row r="2998" spans="1:2" x14ac:dyDescent="0.35">
      <c r="A2998" s="18">
        <v>2959</v>
      </c>
      <c r="B2998" s="19"/>
    </row>
    <row r="2999" spans="1:2" x14ac:dyDescent="0.35">
      <c r="A2999" s="18">
        <v>2960</v>
      </c>
      <c r="B2999" s="19"/>
    </row>
    <row r="3000" spans="1:2" x14ac:dyDescent="0.35">
      <c r="A3000" s="18">
        <v>2961</v>
      </c>
      <c r="B3000" s="19"/>
    </row>
    <row r="3001" spans="1:2" x14ac:dyDescent="0.35">
      <c r="A3001" s="18">
        <v>2962</v>
      </c>
      <c r="B3001" s="19"/>
    </row>
    <row r="3002" spans="1:2" x14ac:dyDescent="0.35">
      <c r="A3002" s="18">
        <v>2963</v>
      </c>
      <c r="B3002" s="19"/>
    </row>
    <row r="3003" spans="1:2" x14ac:dyDescent="0.35">
      <c r="A3003" s="18">
        <v>2964</v>
      </c>
      <c r="B3003" s="19"/>
    </row>
    <row r="3004" spans="1:2" x14ac:dyDescent="0.35">
      <c r="A3004" s="18">
        <v>2965</v>
      </c>
      <c r="B3004" s="19"/>
    </row>
    <row r="3005" spans="1:2" x14ac:dyDescent="0.35">
      <c r="A3005" s="18">
        <v>2966</v>
      </c>
      <c r="B3005" s="19"/>
    </row>
    <row r="3006" spans="1:2" x14ac:dyDescent="0.35">
      <c r="A3006" s="18">
        <v>2967</v>
      </c>
      <c r="B3006" s="19"/>
    </row>
    <row r="3007" spans="1:2" x14ac:dyDescent="0.35">
      <c r="A3007" s="18">
        <v>2968</v>
      </c>
      <c r="B3007" s="19"/>
    </row>
    <row r="3008" spans="1:2" x14ac:dyDescent="0.35">
      <c r="A3008" s="18">
        <v>2969</v>
      </c>
      <c r="B3008" s="19"/>
    </row>
    <row r="3009" spans="1:2" x14ac:dyDescent="0.35">
      <c r="A3009" s="18">
        <v>2970</v>
      </c>
      <c r="B3009" s="19"/>
    </row>
    <row r="3010" spans="1:2" x14ac:dyDescent="0.35">
      <c r="A3010" s="18">
        <v>2971</v>
      </c>
      <c r="B3010" s="19"/>
    </row>
    <row r="3011" spans="1:2" x14ac:dyDescent="0.35">
      <c r="A3011" s="18">
        <v>2972</v>
      </c>
      <c r="B3011" s="19"/>
    </row>
    <row r="3012" spans="1:2" x14ac:dyDescent="0.35">
      <c r="A3012" s="18">
        <v>2973</v>
      </c>
      <c r="B3012" s="19"/>
    </row>
    <row r="3013" spans="1:2" x14ac:dyDescent="0.35">
      <c r="A3013" s="18">
        <v>2974</v>
      </c>
      <c r="B3013" s="19"/>
    </row>
    <row r="3014" spans="1:2" x14ac:dyDescent="0.35">
      <c r="A3014" s="18">
        <v>2975</v>
      </c>
      <c r="B3014" s="19"/>
    </row>
    <row r="3015" spans="1:2" x14ac:dyDescent="0.35">
      <c r="A3015" s="18">
        <v>2976</v>
      </c>
      <c r="B3015" s="19"/>
    </row>
    <row r="3016" spans="1:2" x14ac:dyDescent="0.35">
      <c r="A3016" s="18">
        <v>2977</v>
      </c>
      <c r="B3016" s="19"/>
    </row>
    <row r="3017" spans="1:2" x14ac:dyDescent="0.35">
      <c r="A3017" s="18">
        <v>2978</v>
      </c>
      <c r="B3017" s="19"/>
    </row>
    <row r="3018" spans="1:2" x14ac:dyDescent="0.35">
      <c r="A3018" s="18">
        <v>2979</v>
      </c>
      <c r="B3018" s="19"/>
    </row>
    <row r="3019" spans="1:2" x14ac:dyDescent="0.35">
      <c r="A3019" s="18">
        <v>2980</v>
      </c>
      <c r="B3019" s="19"/>
    </row>
    <row r="3020" spans="1:2" x14ac:dyDescent="0.35">
      <c r="A3020" s="18">
        <v>2981</v>
      </c>
      <c r="B3020" s="19"/>
    </row>
    <row r="3021" spans="1:2" x14ac:dyDescent="0.35">
      <c r="A3021" s="18">
        <v>2982</v>
      </c>
      <c r="B3021" s="19"/>
    </row>
    <row r="3022" spans="1:2" x14ac:dyDescent="0.35">
      <c r="A3022" s="18">
        <v>2983</v>
      </c>
      <c r="B3022" s="19"/>
    </row>
    <row r="3023" spans="1:2" x14ac:dyDescent="0.35">
      <c r="A3023" s="18">
        <v>2984</v>
      </c>
      <c r="B3023" s="19"/>
    </row>
    <row r="3024" spans="1:2" x14ac:dyDescent="0.35">
      <c r="A3024" s="18">
        <v>2985</v>
      </c>
      <c r="B3024" s="19"/>
    </row>
    <row r="3025" spans="1:11" x14ac:dyDescent="0.35">
      <c r="A3025" s="18">
        <v>2986</v>
      </c>
      <c r="B3025" s="19"/>
      <c r="C3025" s="19"/>
      <c r="D3025" s="17"/>
      <c r="E3025" s="17"/>
      <c r="F3025" s="17"/>
      <c r="G3025" s="17"/>
      <c r="H3025" s="17"/>
      <c r="I3025" s="17"/>
      <c r="J3025" s="17"/>
      <c r="K3025" s="17"/>
    </row>
    <row r="3026" spans="1:11" x14ac:dyDescent="0.35">
      <c r="A3026" s="18">
        <v>2987</v>
      </c>
      <c r="B3026" s="19"/>
      <c r="C3026" s="19"/>
      <c r="D3026" s="17"/>
      <c r="E3026" s="17"/>
      <c r="F3026" s="17"/>
      <c r="G3026" s="17"/>
      <c r="H3026" s="17"/>
      <c r="I3026" s="17"/>
      <c r="J3026" s="17"/>
      <c r="K3026" s="17"/>
    </row>
    <row r="3027" spans="1:11" x14ac:dyDescent="0.35">
      <c r="A3027" s="18">
        <v>2988</v>
      </c>
      <c r="B3027" s="19"/>
      <c r="C3027" s="19"/>
      <c r="D3027" s="17"/>
      <c r="E3027" s="17"/>
      <c r="F3027" s="17"/>
      <c r="G3027" s="17"/>
      <c r="H3027" s="17"/>
      <c r="I3027" s="17"/>
      <c r="J3027" s="17"/>
      <c r="K3027" s="17"/>
    </row>
    <row r="3028" spans="1:11" x14ac:dyDescent="0.35">
      <c r="A3028" s="18">
        <v>2989</v>
      </c>
      <c r="B3028" s="19"/>
      <c r="C3028" s="19"/>
      <c r="D3028" s="17"/>
      <c r="E3028" s="17"/>
      <c r="F3028" s="17"/>
      <c r="G3028" s="17"/>
      <c r="H3028" s="17"/>
      <c r="I3028" s="17"/>
      <c r="J3028" s="17"/>
      <c r="K3028" s="17"/>
    </row>
    <row r="3029" spans="1:11" x14ac:dyDescent="0.35">
      <c r="A3029" s="18">
        <v>2990</v>
      </c>
      <c r="B3029" s="19"/>
      <c r="C3029" s="19"/>
      <c r="D3029" s="17"/>
      <c r="E3029" s="17"/>
      <c r="F3029" s="17"/>
      <c r="G3029" s="17"/>
      <c r="H3029" s="17"/>
      <c r="I3029" s="17"/>
      <c r="J3029" s="17"/>
      <c r="K3029" s="17"/>
    </row>
    <row r="3030" spans="1:11" x14ac:dyDescent="0.35">
      <c r="A3030" s="18">
        <v>2991</v>
      </c>
      <c r="B3030" s="19"/>
      <c r="C3030" s="19"/>
      <c r="D3030" s="17"/>
      <c r="E3030" s="17"/>
      <c r="F3030" s="17"/>
      <c r="G3030" s="17"/>
      <c r="H3030" s="17"/>
      <c r="I3030" s="17"/>
      <c r="J3030" s="17"/>
      <c r="K3030" s="17"/>
    </row>
    <row r="3031" spans="1:11" x14ac:dyDescent="0.35">
      <c r="A3031" s="18">
        <v>2992</v>
      </c>
      <c r="B3031" s="19"/>
      <c r="C3031" s="19"/>
      <c r="D3031" s="17"/>
      <c r="E3031" s="17"/>
      <c r="F3031" s="17"/>
      <c r="G3031" s="17"/>
      <c r="H3031" s="17"/>
      <c r="I3031" s="17"/>
      <c r="J3031" s="17"/>
      <c r="K3031" s="17"/>
    </row>
    <row r="3032" spans="1:11" x14ac:dyDescent="0.35">
      <c r="A3032" s="18">
        <v>2993</v>
      </c>
      <c r="B3032" s="19"/>
      <c r="C3032" s="19"/>
      <c r="D3032" s="17"/>
      <c r="E3032" s="17"/>
      <c r="F3032" s="17"/>
      <c r="G3032" s="17"/>
      <c r="H3032" s="17"/>
      <c r="I3032" s="17"/>
      <c r="J3032" s="17"/>
      <c r="K3032" s="17"/>
    </row>
    <row r="3033" spans="1:11" x14ac:dyDescent="0.35">
      <c r="A3033" s="18">
        <v>2994</v>
      </c>
      <c r="B3033" s="19"/>
      <c r="C3033" s="19"/>
      <c r="D3033" s="17"/>
      <c r="E3033" s="17"/>
      <c r="F3033" s="17"/>
      <c r="G3033" s="17"/>
      <c r="H3033" s="17"/>
      <c r="I3033" s="17"/>
      <c r="J3033" s="17"/>
      <c r="K3033" s="17"/>
    </row>
    <row r="3034" spans="1:11" x14ac:dyDescent="0.35">
      <c r="A3034" s="18">
        <v>2995</v>
      </c>
      <c r="B3034" s="19"/>
      <c r="C3034" s="19"/>
      <c r="D3034" s="17"/>
      <c r="E3034" s="17"/>
      <c r="F3034" s="17"/>
      <c r="G3034" s="17"/>
      <c r="H3034" s="17"/>
      <c r="I3034" s="17"/>
      <c r="J3034" s="17"/>
      <c r="K3034" s="17"/>
    </row>
    <row r="3035" spans="1:11" x14ac:dyDescent="0.35">
      <c r="A3035" s="18">
        <v>2996</v>
      </c>
      <c r="B3035" s="19"/>
      <c r="C3035" s="19"/>
      <c r="D3035" s="17"/>
      <c r="E3035" s="17"/>
      <c r="F3035" s="17"/>
      <c r="G3035" s="17"/>
      <c r="H3035" s="17"/>
      <c r="I3035" s="17"/>
      <c r="J3035" s="17"/>
      <c r="K3035" s="17"/>
    </row>
    <row r="3036" spans="1:11" x14ac:dyDescent="0.35">
      <c r="A3036" s="18">
        <v>2997</v>
      </c>
      <c r="B3036" s="19"/>
      <c r="C3036" s="19"/>
      <c r="D3036" s="17"/>
      <c r="E3036" s="17"/>
      <c r="F3036" s="17"/>
      <c r="G3036" s="17"/>
      <c r="H3036" s="17"/>
      <c r="I3036" s="17"/>
      <c r="J3036" s="17"/>
      <c r="K3036" s="17"/>
    </row>
    <row r="3037" spans="1:11" x14ac:dyDescent="0.35">
      <c r="A3037" s="18">
        <v>2998</v>
      </c>
      <c r="B3037" s="47"/>
      <c r="C3037" s="47"/>
      <c r="D3037" s="17"/>
      <c r="E3037" s="17"/>
      <c r="F3037" s="17"/>
      <c r="G3037" s="17"/>
      <c r="H3037" s="17"/>
      <c r="I3037" s="17"/>
      <c r="J3037" s="17"/>
      <c r="K3037" s="17"/>
    </row>
    <row r="3038" spans="1:11" x14ac:dyDescent="0.35">
      <c r="A3038" s="18">
        <v>2999</v>
      </c>
      <c r="B3038" s="47"/>
      <c r="C3038" s="47"/>
      <c r="D3038" s="17"/>
      <c r="E3038" s="17"/>
      <c r="F3038" s="17"/>
      <c r="G3038" s="17"/>
      <c r="H3038" s="17"/>
      <c r="I3038" s="17"/>
      <c r="J3038" s="17"/>
      <c r="K3038" s="17"/>
    </row>
    <row r="3039" spans="1:11" ht="15" customHeight="1" thickBot="1" x14ac:dyDescent="0.4">
      <c r="A3039" s="48">
        <v>3000</v>
      </c>
      <c r="B3039" s="49"/>
      <c r="C3039" s="47"/>
      <c r="D3039" s="17"/>
      <c r="E3039" s="17"/>
      <c r="F3039" s="17"/>
      <c r="G3039" s="17"/>
      <c r="H3039" s="17"/>
      <c r="I3039" s="17"/>
      <c r="J3039" s="17"/>
      <c r="K3039" s="17"/>
    </row>
    <row r="3040" spans="1:11" s="53" customFormat="1" ht="15" thickBot="1" x14ac:dyDescent="0.4">
      <c r="A3040" s="50"/>
      <c r="B3040" s="51" t="s">
        <v>230</v>
      </c>
      <c r="C3040" s="52"/>
      <c r="D3040" s="17"/>
      <c r="E3040" s="17"/>
      <c r="F3040" s="17"/>
      <c r="G3040" s="17"/>
      <c r="H3040" s="17"/>
      <c r="I3040" s="17" t="e">
        <v>#REF!</v>
      </c>
      <c r="J3040" s="17" t="e">
        <v>#REF!</v>
      </c>
      <c r="K3040" s="17" t="e">
        <v>#REF!</v>
      </c>
    </row>
  </sheetData>
  <mergeCells count="12">
    <mergeCell ref="BG3:BI3"/>
    <mergeCell ref="D3:F3"/>
    <mergeCell ref="I3:K3"/>
    <mergeCell ref="N3:P3"/>
    <mergeCell ref="S3:U3"/>
    <mergeCell ref="X3:Z3"/>
    <mergeCell ref="AC3:AE3"/>
    <mergeCell ref="AH3:AJ3"/>
    <mergeCell ref="AM3:AO3"/>
    <mergeCell ref="AR3:AT3"/>
    <mergeCell ref="AW3:AY3"/>
    <mergeCell ref="BB3:B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58E-258E-42E0-B468-0559AC762512}">
  <dimension ref="A1:H13"/>
  <sheetViews>
    <sheetView workbookViewId="0">
      <selection activeCell="BE14" sqref="BE14"/>
    </sheetView>
  </sheetViews>
  <sheetFormatPr defaultRowHeight="14.5" x14ac:dyDescent="0.35"/>
  <cols>
    <col min="1" max="1" width="4" customWidth="1"/>
    <col min="2" max="2" width="8.08984375" bestFit="1" customWidth="1"/>
    <col min="3" max="3" width="10.1796875" bestFit="1" customWidth="1"/>
    <col min="4" max="4" width="13.90625" bestFit="1" customWidth="1"/>
    <col min="5" max="5" width="13.36328125" bestFit="1" customWidth="1"/>
    <col min="6" max="6" width="13.6328125" bestFit="1" customWidth="1"/>
    <col min="7" max="7" width="16.54296875" bestFit="1" customWidth="1"/>
    <col min="8" max="8" width="14.81640625" bestFit="1" customWidth="1"/>
  </cols>
  <sheetData>
    <row r="1" spans="1:8" x14ac:dyDescent="0.35">
      <c r="A1" s="23" t="s">
        <v>2</v>
      </c>
      <c r="B1" s="23" t="s">
        <v>200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201</v>
      </c>
    </row>
    <row r="2" spans="1:8" x14ac:dyDescent="0.35">
      <c r="A2" s="24">
        <v>1</v>
      </c>
      <c r="B2" s="25">
        <v>45658</v>
      </c>
      <c r="C2" s="26">
        <f>SUM('2025 MOM Station Sale'!D5:D197)</f>
        <v>37108262</v>
      </c>
      <c r="D2" s="26">
        <f>SUM('2025 MOM Station Sale'!E5:E197)</f>
        <v>5257718</v>
      </c>
      <c r="E2" s="26">
        <f>SUM('2025 MOM Station Sale'!F5:F197)</f>
        <v>62371</v>
      </c>
      <c r="F2" s="26">
        <f>AVERAGE('2025 MOM Station Sale'!G5:G197)</f>
        <v>1018.0642174432498</v>
      </c>
      <c r="G2" s="26">
        <f>AVERAGE('2025 MOM Station Sale'!H5:H197)</f>
        <v>1162.7338709677426</v>
      </c>
      <c r="H2" s="24">
        <f>COUNTA('2025 MOM Station Sale'!C5:C184)</f>
        <v>180</v>
      </c>
    </row>
    <row r="3" spans="1:8" x14ac:dyDescent="0.35">
      <c r="A3" s="24">
        <f>A2+1</f>
        <v>2</v>
      </c>
      <c r="B3" s="25">
        <v>45689</v>
      </c>
      <c r="C3" s="26">
        <f>SUM('2025 MOM Station Sale'!I5:I197)</f>
        <v>33137144</v>
      </c>
      <c r="D3" s="26">
        <f>SUM('2025 MOM Station Sale'!J5:J197)</f>
        <v>5612014</v>
      </c>
      <c r="E3" s="26">
        <f>SUM('2025 MOM Station Sale'!K5:K197)</f>
        <v>65708</v>
      </c>
      <c r="F3" s="26">
        <f>AVERAGE('2025 MOM Station Sale'!L5:L197)</f>
        <v>1000.3577430972388</v>
      </c>
      <c r="G3" s="26">
        <f>AVERAGE('2025 MOM Station Sale'!M5:M197)</f>
        <v>1158.2996467817891</v>
      </c>
      <c r="H3" s="24">
        <f>COUNTA('2025 MOM Station Sale'!I5:I186)</f>
        <v>182</v>
      </c>
    </row>
    <row r="4" spans="1:8" x14ac:dyDescent="0.35">
      <c r="A4" s="24">
        <f t="shared" ref="A4:A13" si="0">A3+1</f>
        <v>3</v>
      </c>
      <c r="B4" s="25">
        <v>45717</v>
      </c>
      <c r="C4" s="26">
        <f>SUM('2025 MOM Station Sale'!N5:N197)</f>
        <v>36801732</v>
      </c>
      <c r="D4" s="26">
        <f>SUM('2025 MOM Station Sale'!O5:O197)</f>
        <v>5872767</v>
      </c>
      <c r="E4" s="26">
        <f>SUM('2025 MOM Station Sale'!P5:P197)</f>
        <v>81739</v>
      </c>
      <c r="F4" s="26">
        <f>AVERAGE('2025 MOM Station Sale'!Q5:Q197)</f>
        <v>941.85166578529947</v>
      </c>
      <c r="G4" s="27">
        <f>AVERAGE('2025 MOM Station Sale'!R5:R197)</f>
        <v>1146.4427992243964</v>
      </c>
      <c r="H4" s="24">
        <f>COUNTA('2025 MOM Station Sale'!N5:N187)</f>
        <v>183</v>
      </c>
    </row>
    <row r="5" spans="1:8" x14ac:dyDescent="0.35">
      <c r="A5" s="24">
        <f t="shared" si="0"/>
        <v>4</v>
      </c>
      <c r="B5" s="25">
        <v>45748</v>
      </c>
      <c r="C5" s="26">
        <f>SUM('2025 MOM Station Sale'!S5:S197)</f>
        <v>37843329</v>
      </c>
      <c r="D5" s="28">
        <f>SUM('2025 MOM Station Sale'!T5:T197)</f>
        <v>5931156</v>
      </c>
      <c r="E5" s="28">
        <f>SUM('2025 MOM Station Sale'!U5:U197)</f>
        <v>83785</v>
      </c>
      <c r="F5" s="26">
        <f>AVERAGE('2025 MOM Station Sale'!V5:V197)</f>
        <v>946.04707850707837</v>
      </c>
      <c r="G5" s="27">
        <f>AVERAGE('2025 MOM Station Sale'!W5:W197)</f>
        <v>1131.8714285714282</v>
      </c>
      <c r="H5" s="24">
        <f>COUNTA('2025 MOM Station Sale'!S5:S189)</f>
        <v>185</v>
      </c>
    </row>
    <row r="6" spans="1:8" x14ac:dyDescent="0.35">
      <c r="A6" s="24">
        <f t="shared" si="0"/>
        <v>5</v>
      </c>
      <c r="B6" s="25">
        <v>45778</v>
      </c>
      <c r="C6" s="26">
        <f>SUM('2025 MOM Station Sale'!X5:X197)</f>
        <v>37006730</v>
      </c>
      <c r="D6" s="26">
        <f>SUM('2025 MOM Station Sale'!Y5:Y197)</f>
        <v>5617995</v>
      </c>
      <c r="E6" s="28">
        <f>SUM('2025 MOM Station Sale'!Z5:Z197)</f>
        <v>93147</v>
      </c>
      <c r="F6" s="26">
        <f>AVERAGE('2025 MOM Station Sale'!AA5:AA197)</f>
        <v>913.47764674143389</v>
      </c>
      <c r="G6" s="27">
        <f>AVERAGE('2025 MOM Station Sale'!AB5:AB197)</f>
        <v>1093.5829575673488</v>
      </c>
      <c r="H6" s="24">
        <f>COUNTA('2025 MOM Station Sale'!X5:X190)</f>
        <v>186</v>
      </c>
    </row>
    <row r="7" spans="1:8" x14ac:dyDescent="0.35">
      <c r="A7" s="24">
        <f t="shared" si="0"/>
        <v>6</v>
      </c>
      <c r="B7" s="25">
        <v>45809</v>
      </c>
      <c r="C7" s="26">
        <f>SUM('2025 MOM Station Sale'!AC5:AC197)</f>
        <v>34059763</v>
      </c>
      <c r="D7" s="26">
        <f>SUM('2025 MOM Station Sale'!AD5:AD197)</f>
        <v>5079858</v>
      </c>
      <c r="E7" s="28">
        <f>SUM('2025 MOM Station Sale'!AE5:AE197)</f>
        <v>100406</v>
      </c>
      <c r="F7" s="26">
        <f>AVERAGE('2025 MOM Station Sale'!AF5:AF197)</f>
        <v>921.62830983633035</v>
      </c>
      <c r="G7" s="27">
        <f>AVERAGE('2025 MOM Station Sale'!AG5:AG197)</f>
        <v>1083.3499756927572</v>
      </c>
      <c r="H7" s="24">
        <f>COUNTA('2025 MOM Station Sale'!AC5:AC191)</f>
        <v>187</v>
      </c>
    </row>
    <row r="8" spans="1:8" x14ac:dyDescent="0.35">
      <c r="A8" s="24">
        <f t="shared" si="0"/>
        <v>7</v>
      </c>
      <c r="B8" s="25">
        <v>45839</v>
      </c>
      <c r="C8" s="26">
        <f>SUM('2025 MOM Station Sale'!AH5:AH197)</f>
        <v>33087343</v>
      </c>
      <c r="D8" s="28">
        <f>SUM('2025 MOM Station Sale'!AI5:AI197)</f>
        <v>5332915.8499999996</v>
      </c>
      <c r="E8" s="28">
        <f>SUM('2025 MOM Station Sale'!AJ5:AJ197)</f>
        <v>97633</v>
      </c>
      <c r="F8" s="26">
        <f>AVERAGE('2025 MOM Station Sale'!AK5:AK197)</f>
        <v>919.65105742525077</v>
      </c>
      <c r="G8" s="27">
        <f>AVERAGE('2025 MOM Station Sale'!AL5:AL197)</f>
        <v>1093.0826157116483</v>
      </c>
      <c r="H8" s="24">
        <f>COUNTA('2025 MOM Station Sale'!AH5:AH193)</f>
        <v>189</v>
      </c>
    </row>
    <row r="9" spans="1:8" x14ac:dyDescent="0.35">
      <c r="A9" s="24">
        <f t="shared" si="0"/>
        <v>8</v>
      </c>
      <c r="B9" s="25">
        <v>45870</v>
      </c>
      <c r="C9" s="26">
        <f>SUM('2025 MOM Station Sale'!AM5:AM197)</f>
        <v>33692612</v>
      </c>
      <c r="D9" s="28">
        <f>SUM('2025 MOM Station Sale'!AN5:AN197)</f>
        <v>5201862</v>
      </c>
      <c r="E9" s="28">
        <f>SUM('2025 MOM Station Sale'!AO5:AO197)</f>
        <v>84028</v>
      </c>
      <c r="F9" s="26">
        <f>AVERAGE('2025 MOM Station Sale'!AP5:AP197)</f>
        <v>910.66383341867243</v>
      </c>
      <c r="G9" s="27">
        <f>AVERAGE('2025 MOM Station Sale'!AQ5:AQ197)</f>
        <v>1106.3799283154112</v>
      </c>
      <c r="H9" s="24">
        <f>COUNTA('2025 MOM Station Sale'!AM5:AM193)</f>
        <v>189</v>
      </c>
    </row>
    <row r="10" spans="1:8" x14ac:dyDescent="0.35">
      <c r="A10" s="24">
        <f t="shared" si="0"/>
        <v>9</v>
      </c>
      <c r="B10" s="25">
        <v>45901</v>
      </c>
      <c r="C10" s="26">
        <f>SUM('2025 MOM Station Sale'!AR5:AR197)</f>
        <v>35030017</v>
      </c>
      <c r="D10" s="28">
        <f>SUM('2025 MOM Station Sale'!AS5:AS197)</f>
        <v>5115756</v>
      </c>
      <c r="E10" s="28">
        <f>SUM('2025 MOM Station Sale'!AT5:AT197)</f>
        <v>77762</v>
      </c>
      <c r="F10" s="26">
        <f>AVERAGE('2025 MOM Station Sale'!AU5:AU197)</f>
        <v>892.38553884711826</v>
      </c>
      <c r="G10" s="27">
        <f>AVERAGE('2025 MOM Station Sale'!AV5:AV197)</f>
        <v>1093.5879699248119</v>
      </c>
      <c r="H10" s="24">
        <f>COUNTA('2025 MOM Station Sale'!AR5:AR194)</f>
        <v>190</v>
      </c>
    </row>
    <row r="11" spans="1:8" x14ac:dyDescent="0.35">
      <c r="A11" s="24">
        <f t="shared" si="0"/>
        <v>10</v>
      </c>
      <c r="B11" s="25">
        <v>45931</v>
      </c>
      <c r="C11" s="26">
        <f>SUM('2025 MOM Station Sale'!AW5:AW197)</f>
        <v>38103201</v>
      </c>
      <c r="D11" s="28">
        <f>SUM('2025 MOM Station Sale'!AX5:AX197)</f>
        <v>5196501</v>
      </c>
      <c r="E11" s="28">
        <f>SUM('2025 MOM Station Sale'!AY5:AY197)</f>
        <v>54924</v>
      </c>
      <c r="F11" s="26">
        <f>AVERAGE('2025 MOM Station Sale'!AZ5:AZ197)</f>
        <v>915.81802998742603</v>
      </c>
      <c r="G11" s="27">
        <f>AVERAGE('2025 MOM Station Sale'!BA5:BA197)</f>
        <v>1082.5296965602647</v>
      </c>
      <c r="H11" s="24">
        <f>COUNTA('2025 MOM Station Sale'!AW5:AW195)</f>
        <v>191</v>
      </c>
    </row>
    <row r="12" spans="1:8" x14ac:dyDescent="0.35">
      <c r="A12" s="24">
        <f t="shared" si="0"/>
        <v>11</v>
      </c>
      <c r="B12" s="25">
        <v>45962</v>
      </c>
      <c r="C12" s="26">
        <f>SUM('2025 MOM Station Sale'!BB5:BB197)</f>
        <v>36171277</v>
      </c>
      <c r="D12" s="28">
        <f>SUM('2025 MOM Station Sale'!BC5:BC197)</f>
        <v>5604075</v>
      </c>
      <c r="E12" s="28">
        <f>SUM('2025 MOM Station Sale'!BD5:BD197)</f>
        <v>44979</v>
      </c>
      <c r="F12" s="26">
        <f>AVERAGE('2025 MOM Station Sale'!BE5:BE197)</f>
        <v>920.97829861111086</v>
      </c>
      <c r="G12" s="27">
        <f>AVERAGE('2025 MOM Station Sale'!BF5:BF197)</f>
        <v>1056.736607142858</v>
      </c>
      <c r="H12" s="24">
        <f>COUNTA('2025 MOM Station Sale'!BB5:BB196)</f>
        <v>192</v>
      </c>
    </row>
    <row r="13" spans="1:8" x14ac:dyDescent="0.35">
      <c r="A13" s="24">
        <f t="shared" si="0"/>
        <v>12</v>
      </c>
      <c r="B13" s="25">
        <v>45992</v>
      </c>
      <c r="C13" s="26">
        <f>SUM('2025 MOM Station Sale'!BG5:BG197)</f>
        <v>40145368</v>
      </c>
      <c r="D13" s="28">
        <f>SUM('2025 MOM Station Sale'!BH5:BH197)</f>
        <v>6029383</v>
      </c>
      <c r="E13" s="28">
        <f>SUM('2025 MOM Station Sale'!BI5:BI197)</f>
        <v>41821</v>
      </c>
      <c r="F13" s="26">
        <f>AVERAGE('2025 MOM Station Sale'!BJ5:BJ197)</f>
        <v>895.5570449607219</v>
      </c>
      <c r="G13" s="27">
        <f>AVERAGE('2025 MOM Station Sale'!BK5:BK197)</f>
        <v>1039.7334781882012</v>
      </c>
      <c r="H13" s="24">
        <f>COUNTA('2025 MOM Station Sale'!BG5:BG197)</f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756D-B986-49C9-AE50-C3F13FA7F3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MOM Station Sale</vt:lpstr>
      <vt:lpstr>2024 SUMMARY</vt:lpstr>
      <vt:lpstr>2025 MOM Station Sale</vt:lpstr>
      <vt:lpstr>2025 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Calista Arabe</dc:creator>
  <cp:lastModifiedBy>Susan Aigbobhiose</cp:lastModifiedBy>
  <dcterms:created xsi:type="dcterms:W3CDTF">2026-03-16T14:06:34Z</dcterms:created>
  <dcterms:modified xsi:type="dcterms:W3CDTF">2026-05-09T19:07:54Z</dcterms:modified>
</cp:coreProperties>
</file>
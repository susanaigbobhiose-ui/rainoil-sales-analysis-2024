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inoilng-my.sharepoint.com/personal/susan_aigbobhiose_rainoil_com/Documents/Documents/PERSONAL/MBA/YEAR 2/1ST SEMESTER/Data Analytics II/Examination Submission/Exam 1/"/>
    </mc:Choice>
  </mc:AlternateContent>
  <xr:revisionPtr revIDLastSave="0" documentId="8_{166112F1-2EBE-4316-8DA0-3D7C5F6718B6}" xr6:coauthVersionLast="47" xr6:coauthVersionMax="47" xr10:uidLastSave="{00000000-0000-0000-0000-000000000000}"/>
  <bookViews>
    <workbookView xWindow="-110" yWindow="-110" windowWidth="19420" windowHeight="12300" xr2:uid="{F50D7969-0A5C-4FB3-A32D-D05C2544FBD9}"/>
  </bookViews>
  <sheets>
    <sheet name="MOM Station Sale" sheetId="3" r:id="rId1"/>
    <sheet name="SUMMARY" sheetId="4" r:id="rId2"/>
    <sheet name="Sheet2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4" l="1"/>
  <c r="G13" i="4"/>
  <c r="F13" i="4"/>
  <c r="E13" i="4"/>
  <c r="D13" i="4"/>
  <c r="C13" i="4"/>
  <c r="H12" i="4"/>
  <c r="G12" i="4"/>
  <c r="F12" i="4"/>
  <c r="E12" i="4"/>
  <c r="D12" i="4"/>
  <c r="C12" i="4"/>
  <c r="H11" i="4"/>
  <c r="G11" i="4"/>
  <c r="F11" i="4"/>
  <c r="E11" i="4"/>
  <c r="D11" i="4"/>
  <c r="C11" i="4"/>
  <c r="H10" i="4"/>
  <c r="G10" i="4"/>
  <c r="F10" i="4"/>
  <c r="E10" i="4"/>
  <c r="D10" i="4"/>
  <c r="C10" i="4"/>
  <c r="H9" i="4"/>
  <c r="G9" i="4"/>
  <c r="F9" i="4"/>
  <c r="E9" i="4"/>
  <c r="D9" i="4"/>
  <c r="C9" i="4"/>
  <c r="H8" i="4"/>
  <c r="G8" i="4"/>
  <c r="F8" i="4"/>
  <c r="E8" i="4"/>
  <c r="D8" i="4"/>
  <c r="C8" i="4"/>
  <c r="H7" i="4"/>
  <c r="G7" i="4"/>
  <c r="F7" i="4"/>
  <c r="E7" i="4"/>
  <c r="D7" i="4"/>
  <c r="C7" i="4"/>
  <c r="H6" i="4"/>
  <c r="G6" i="4"/>
  <c r="F6" i="4"/>
  <c r="G5" i="4"/>
  <c r="F5" i="4"/>
  <c r="E6" i="4"/>
  <c r="D6" i="4"/>
  <c r="C6" i="4"/>
  <c r="H5" i="4"/>
  <c r="E5" i="4"/>
  <c r="D5" i="4"/>
  <c r="C5" i="4"/>
  <c r="H4" i="4"/>
  <c r="G4" i="4"/>
  <c r="F4" i="4"/>
  <c r="E4" i="4"/>
  <c r="D4" i="4"/>
  <c r="C4" i="4"/>
  <c r="H3" i="4"/>
  <c r="G3" i="4"/>
  <c r="F3" i="4"/>
  <c r="E3" i="4"/>
  <c r="D3" i="4"/>
  <c r="C3" i="4"/>
  <c r="H2" i="4"/>
  <c r="G2" i="4"/>
  <c r="F2" i="4"/>
  <c r="E2" i="4"/>
  <c r="D2" i="4"/>
  <c r="C2" i="4"/>
  <c r="A4" i="4"/>
  <c r="A5" i="4"/>
  <c r="A6" i="4"/>
  <c r="A7" i="4"/>
  <c r="A8" i="4"/>
  <c r="A9" i="4"/>
  <c r="A10" i="4"/>
  <c r="A11" i="4"/>
  <c r="A12" i="4"/>
  <c r="A13" i="4"/>
  <c r="A3" i="4"/>
</calcChain>
</file>

<file path=xl/sharedStrings.xml><?xml version="1.0" encoding="utf-8"?>
<sst xmlns="http://schemas.openxmlformats.org/spreadsheetml/2006/main" count="443" uniqueCount="348">
  <si>
    <t xml:space="preserve">RETAIL SALES SUMMARY ANALYSIS REPORT - </t>
  </si>
  <si>
    <t xml:space="preserve">TOTAL VOLUME (LTRS) AS @ </t>
  </si>
  <si>
    <t>S/N</t>
  </si>
  <si>
    <t>Station</t>
  </si>
  <si>
    <t>Total Sales (Ltrs) Jan 2024</t>
  </si>
  <si>
    <t>Total Sales (Ltrs) Feb 2024</t>
  </si>
  <si>
    <t>Total Sales (Ltrs) Mar 2024</t>
  </si>
  <si>
    <t>Total Sales (Ltrs) Apr 2024</t>
  </si>
  <si>
    <t>Total Sales (Ltrs) May 2024</t>
  </si>
  <si>
    <t>Total Sales (Ltrs) Jun 2024</t>
  </si>
  <si>
    <t>Total Sales (Ltrs) Jul 2024</t>
  </si>
  <si>
    <t>Total Sales (Ltrs) Aug 2024</t>
  </si>
  <si>
    <t>Total Sales (Ltrs) Sept 2024</t>
  </si>
  <si>
    <t>Total Sales (Ltrs) Oct 2024</t>
  </si>
  <si>
    <t>Total Sales (Ltrs) Nov 2024</t>
  </si>
  <si>
    <t>Total Sales (Ltrs) Dec 2024</t>
  </si>
  <si>
    <t>PMS</t>
  </si>
  <si>
    <t>AGO</t>
  </si>
  <si>
    <t>DPK</t>
  </si>
  <si>
    <t>AVG PMS PRICE</t>
  </si>
  <si>
    <t>AVG AGO PRICE</t>
  </si>
  <si>
    <t>ABAK ROAD</t>
  </si>
  <si>
    <t xml:space="preserve">Rainoil Uyo - Abak Road </t>
  </si>
  <si>
    <t>ABAKALIKI</t>
  </si>
  <si>
    <t xml:space="preserve">Rainoil Abakaliki - Azuiyiokwu </t>
  </si>
  <si>
    <t>ABAKALIKI 2</t>
  </si>
  <si>
    <t xml:space="preserve">Rainoil Abakaliki - Mile 50 </t>
  </si>
  <si>
    <t>ABAYI-OSISIOMA</t>
  </si>
  <si>
    <t>Rainoil Aba - Abayi-Osisioma</t>
  </si>
  <si>
    <t>ABIJO</t>
  </si>
  <si>
    <t>Rainoil Abijo</t>
  </si>
  <si>
    <t>ABRAKA</t>
  </si>
  <si>
    <t>Rainoil Abraka</t>
  </si>
  <si>
    <t>ABUJA 2</t>
  </si>
  <si>
    <t xml:space="preserve">Rainoil FCT - Gwarimpa </t>
  </si>
  <si>
    <t>ABUJA 3</t>
  </si>
  <si>
    <t xml:space="preserve">Rainoil FCT - Karmo </t>
  </si>
  <si>
    <t>ADO-EKITI</t>
  </si>
  <si>
    <t>Rainoil Ado-Ekiti - Ikere Road</t>
  </si>
  <si>
    <t>AGBARHO 1</t>
  </si>
  <si>
    <t xml:space="preserve">Rainoil Agbarho - Ohrerhe </t>
  </si>
  <si>
    <t>AGBARHO 2</t>
  </si>
  <si>
    <t xml:space="preserve">Rainoil Agbarho - Ewherhe </t>
  </si>
  <si>
    <t>AGBOR 1</t>
  </si>
  <si>
    <t xml:space="preserve">Rainoil Agbor - Asaba Road  </t>
  </si>
  <si>
    <t>AGBOR 2</t>
  </si>
  <si>
    <t xml:space="preserve">Rainoil Agbor - Abraka Road </t>
  </si>
  <si>
    <t>AGBOR 3</t>
  </si>
  <si>
    <t xml:space="preserve">Rainoil Agbor - Alero Road  </t>
  </si>
  <si>
    <t>AGBOR 4</t>
  </si>
  <si>
    <t xml:space="preserve">Rainoil Agbor - Owa-Ekei  </t>
  </si>
  <si>
    <t>ANWAI</t>
  </si>
  <si>
    <t>Rainoil Anwai</t>
  </si>
  <si>
    <t>ASABA 2</t>
  </si>
  <si>
    <t xml:space="preserve">Rainoil Asaba - Asaba/Benin Road </t>
  </si>
  <si>
    <t>ASABA 3</t>
  </si>
  <si>
    <t xml:space="preserve">Rainoil Asaba - Okpanam Road </t>
  </si>
  <si>
    <t>AUCHI</t>
  </si>
  <si>
    <t xml:space="preserve">Rainoil Auchi - Igara Road </t>
  </si>
  <si>
    <t>AWKA 1</t>
  </si>
  <si>
    <t xml:space="preserve">Rainoil Awka - 279 Zik Avenue </t>
  </si>
  <si>
    <t>AWKA 2</t>
  </si>
  <si>
    <t>Rainoil Awka - Regina Caeli Road</t>
  </si>
  <si>
    <t>AWKA 3</t>
  </si>
  <si>
    <t>Rainoil Awka - 55 Zik Avenue</t>
  </si>
  <si>
    <t>AWKUZU</t>
  </si>
  <si>
    <t xml:space="preserve">Rainoil Awkuzu </t>
  </si>
  <si>
    <t>AYOBO</t>
  </si>
  <si>
    <t>Rainoil Ayobo</t>
  </si>
  <si>
    <t>BARNAWA</t>
  </si>
  <si>
    <t>Rainoil Kaduna - Barnawa</t>
  </si>
  <si>
    <t>BENIN-AGBOR ROAD</t>
  </si>
  <si>
    <t>Rainoil Benin - Benin/Agbor Road</t>
  </si>
  <si>
    <t>BENIN-AUCHI ROAD</t>
  </si>
  <si>
    <t>Rainoil Benin - Benin/Auchi Road</t>
  </si>
  <si>
    <t>BONSAC</t>
  </si>
  <si>
    <t>Rainoil Bonsac</t>
  </si>
  <si>
    <t>BORDER ROAD</t>
  </si>
  <si>
    <t>Fynefield Border Road Ikom</t>
  </si>
  <si>
    <t>BOROKIRI</t>
  </si>
  <si>
    <t>Rainoil Portharcourt - Borokiri</t>
  </si>
  <si>
    <t>BUKURU</t>
  </si>
  <si>
    <t>Rainoil Bukuru Jos</t>
  </si>
  <si>
    <t>CHIKUN</t>
  </si>
  <si>
    <t>Rainoil Kaduna - Chikun</t>
  </si>
  <si>
    <t>CHOBA</t>
  </si>
  <si>
    <t>Rainoil Portharcourt - Choba</t>
  </si>
  <si>
    <t>DSC 2</t>
  </si>
  <si>
    <t xml:space="preserve">Rainoil Udu - Steel Town  </t>
  </si>
  <si>
    <t>DSC UDU ROAD</t>
  </si>
  <si>
    <t xml:space="preserve">Rainoil Udu - Udu Road </t>
  </si>
  <si>
    <t>DUTSE ALHAJI</t>
  </si>
  <si>
    <t>Rainoil FCT - Dutse Alhaji</t>
  </si>
  <si>
    <t>EBRUMEDE</t>
  </si>
  <si>
    <t>Rainoil Ebrumede</t>
  </si>
  <si>
    <t>EFFURUN GRA</t>
  </si>
  <si>
    <t>Rainoil Warri - Effurun GRA</t>
  </si>
  <si>
    <t>EGBA LAND</t>
  </si>
  <si>
    <t>Rainoil Idunmwungha - Egba Road</t>
  </si>
  <si>
    <t>EKENWAN</t>
  </si>
  <si>
    <t>Rainoil Benin - Ekenwan</t>
  </si>
  <si>
    <t>EKET</t>
  </si>
  <si>
    <t>Rainoil Eket</t>
  </si>
  <si>
    <t>EKPOMA</t>
  </si>
  <si>
    <t>Rainoil Ekpoma - Market Road</t>
  </si>
  <si>
    <t>EKPOMA 2</t>
  </si>
  <si>
    <t xml:space="preserve">Rainoi Ekpoma - Ihumudu Road </t>
  </si>
  <si>
    <t>ENUGU</t>
  </si>
  <si>
    <t xml:space="preserve">Rainoil Enugu - Abakpa Nike </t>
  </si>
  <si>
    <t>EZENEI</t>
  </si>
  <si>
    <t>Rainoil Ezenei</t>
  </si>
  <si>
    <t>FYNEFIELD APO</t>
  </si>
  <si>
    <t>Fynefield Apo Abuja</t>
  </si>
  <si>
    <t>FYNEFIELD-ANWAI</t>
  </si>
  <si>
    <t>Fynefield Anwai Road Asaba</t>
  </si>
  <si>
    <t>FYNEFIELD-ASABA</t>
  </si>
  <si>
    <t>Fynefield Expressway Asaba</t>
  </si>
  <si>
    <t>FYNEFIELD-CAL MEGA</t>
  </si>
  <si>
    <t>Fynefield Highway Calabar</t>
  </si>
  <si>
    <t>FYNEFIELD-NNEBISI</t>
  </si>
  <si>
    <t>Fynefield Nnebisi Road Asaba</t>
  </si>
  <si>
    <t>GBOKO</t>
  </si>
  <si>
    <t>Rainoil Gboko</t>
  </si>
  <si>
    <t>GOLDIE</t>
  </si>
  <si>
    <t>Fynefield Goldie Road Calabar</t>
  </si>
  <si>
    <t>GOMBE 1</t>
  </si>
  <si>
    <t>Rainoil Gombe - Akko</t>
  </si>
  <si>
    <t>GOMBE 2</t>
  </si>
  <si>
    <t>Rainoil Gombe - Barunde</t>
  </si>
  <si>
    <t>IBAFO</t>
  </si>
  <si>
    <t>Rainoil Ibafo</t>
  </si>
  <si>
    <t>IBUSA</t>
  </si>
  <si>
    <t>Rainoil Ibusa</t>
  </si>
  <si>
    <t>IGBODO</t>
  </si>
  <si>
    <t>Rainoil Igbodo</t>
  </si>
  <si>
    <t>IGWURUTA</t>
  </si>
  <si>
    <t>Rainoil Portharcourt - Igwuruta</t>
  </si>
  <si>
    <t>IKOM 1</t>
  </si>
  <si>
    <t xml:space="preserve">Rainoil Ikom - Four Corners </t>
  </si>
  <si>
    <t>IKOM 2</t>
  </si>
  <si>
    <t>Fynefield Ogoja Road Ikom</t>
  </si>
  <si>
    <t>IKOM 4</t>
  </si>
  <si>
    <t xml:space="preserve">Rainoil Ikom - Calabar Road </t>
  </si>
  <si>
    <t>ILORIN 1</t>
  </si>
  <si>
    <t xml:space="preserve">Rainoil Ilorin - Majeasurawa </t>
  </si>
  <si>
    <t>ILORIN 2</t>
  </si>
  <si>
    <t xml:space="preserve">Rainoil Ilorin - Ajase-Ipo Road  </t>
  </si>
  <si>
    <t>ILORIN 3</t>
  </si>
  <si>
    <t xml:space="preserve">Rainoil Ilorin - Asa Dam Road </t>
  </si>
  <si>
    <t>ILORIN 4</t>
  </si>
  <si>
    <t>Rainoil Ilorin - Sobi Road</t>
  </si>
  <si>
    <t>ILORIN 5</t>
  </si>
  <si>
    <t>Rainoil Ilorin - Airport Road</t>
  </si>
  <si>
    <t>IPAJA</t>
  </si>
  <si>
    <t>Rainoil Ipaja</t>
  </si>
  <si>
    <t>ISIOKPO</t>
  </si>
  <si>
    <t>Rainoil Portharcourt - Isiokpo</t>
  </si>
  <si>
    <t>ISSELE-UKU</t>
  </si>
  <si>
    <t>Rainoil - Issele-Uku</t>
  </si>
  <si>
    <t>JARRET</t>
  </si>
  <si>
    <t>Rainoil Jarret</t>
  </si>
  <si>
    <t>JEDDO</t>
  </si>
  <si>
    <t>Rainoil Jeddo</t>
  </si>
  <si>
    <t>JESSE</t>
  </si>
  <si>
    <t>Rainoil Jesse</t>
  </si>
  <si>
    <t>KADO</t>
  </si>
  <si>
    <t>Rainoil FCT - Kado</t>
  </si>
  <si>
    <t>KADUNA 1</t>
  </si>
  <si>
    <t xml:space="preserve">Raonoil Kaduna - Unguwan Muazu </t>
  </si>
  <si>
    <t>KADUNA 2</t>
  </si>
  <si>
    <t xml:space="preserve">Rainoil Kaduna - Kachia Road </t>
  </si>
  <si>
    <t>KANO 1</t>
  </si>
  <si>
    <t xml:space="preserve">Rainoil Kano - Ring Road  </t>
  </si>
  <si>
    <t>KANO 2</t>
  </si>
  <si>
    <t xml:space="preserve">Rainoil Kano - Danbazo Road </t>
  </si>
  <si>
    <t>KEFFI</t>
  </si>
  <si>
    <t>Rainoil Keffi</t>
  </si>
  <si>
    <t>KUJAMA</t>
  </si>
  <si>
    <t>Rainoil Kujama</t>
  </si>
  <si>
    <t>KWALE 1</t>
  </si>
  <si>
    <t xml:space="preserve">Rainoil Kwale - Umusadege Road  </t>
  </si>
  <si>
    <t>KWALE 2</t>
  </si>
  <si>
    <t xml:space="preserve">Rainoil Kwale - Ogwashi-Ukwu Road </t>
  </si>
  <si>
    <t>LAFIA</t>
  </si>
  <si>
    <t>Rainoil Lafia</t>
  </si>
  <si>
    <t>LEKKI SCHEME 2</t>
  </si>
  <si>
    <t>Rainoil Lekki Scheme 2</t>
  </si>
  <si>
    <t>LOKOJA</t>
  </si>
  <si>
    <t>Rainoil Lokoja</t>
  </si>
  <si>
    <t>LUCKY WAY</t>
  </si>
  <si>
    <t>Rainoil Benin - Lucky Way</t>
  </si>
  <si>
    <t>LUGBE</t>
  </si>
  <si>
    <t>Rainoil FCT - Lugbe</t>
  </si>
  <si>
    <t>MAKURDI</t>
  </si>
  <si>
    <t xml:space="preserve">Rainoil Makurdi - Atom Kpera </t>
  </si>
  <si>
    <t>MINNA</t>
  </si>
  <si>
    <t>Rainoil - Minna</t>
  </si>
  <si>
    <t>NEW NYANYA</t>
  </si>
  <si>
    <t>Rainoil FCT - New Nyanya</t>
  </si>
  <si>
    <t>NNEBISI 1</t>
  </si>
  <si>
    <t xml:space="preserve">Rainoil Nnebisi - 295 Nnebisi Road </t>
  </si>
  <si>
    <t>NNEBISI 2</t>
  </si>
  <si>
    <t xml:space="preserve">Rainoil Nnebisi - 274 Nnebisi Road </t>
  </si>
  <si>
    <t>NNEWI</t>
  </si>
  <si>
    <t xml:space="preserve">Rainoil Nnewi - Oba-Nnewi Road </t>
  </si>
  <si>
    <t>NOVENA</t>
  </si>
  <si>
    <t>Rainoil Obiaruku - Novena</t>
  </si>
  <si>
    <t>NSUKKA</t>
  </si>
  <si>
    <t>Rainoil - Nsukka</t>
  </si>
  <si>
    <t>OBIARUKU</t>
  </si>
  <si>
    <t>Rainoil Obiaruku - Sapele- Agbor New Road</t>
  </si>
  <si>
    <t>ODUKPANI</t>
  </si>
  <si>
    <t>Fynefield Odukpani</t>
  </si>
  <si>
    <t>OGHARA 1</t>
  </si>
  <si>
    <t xml:space="preserve">Rainoil Oghara - Ajagbodudu </t>
  </si>
  <si>
    <t>OGHARA 2</t>
  </si>
  <si>
    <t xml:space="preserve">Rainoil Oghara - Otorho Road </t>
  </si>
  <si>
    <t>OGIDI 1</t>
  </si>
  <si>
    <t xml:space="preserve">Rainoil Ogidi - Old Enugu-Onitsha Road </t>
  </si>
  <si>
    <t>OGIDI 2</t>
  </si>
  <si>
    <t xml:space="preserve">Rainoil Ogidi - Ugwu-Nwasike </t>
  </si>
  <si>
    <t>OGUNNU</t>
  </si>
  <si>
    <t>Rainoil Ogunnu</t>
  </si>
  <si>
    <t>OGWASHI-UKWU 1</t>
  </si>
  <si>
    <t>Rainoil Ogwashi-Ukwu - Agidiahen Quarters</t>
  </si>
  <si>
    <t>OJODU</t>
  </si>
  <si>
    <t>Rainoil Ojodu</t>
  </si>
  <si>
    <t>OKE ARO</t>
  </si>
  <si>
    <t>Rainoil Oke Aro</t>
  </si>
  <si>
    <t>OKOH</t>
  </si>
  <si>
    <t>Rainoil Okoh</t>
  </si>
  <si>
    <t>OKOTA</t>
  </si>
  <si>
    <t>Rainoil Okota</t>
  </si>
  <si>
    <t>OKPANAM</t>
  </si>
  <si>
    <t>Rainoil Okpanam</t>
  </si>
  <si>
    <t>OLEH</t>
  </si>
  <si>
    <t>Rainoil Oleh</t>
  </si>
  <si>
    <t>ONIRU</t>
  </si>
  <si>
    <t>Rainoil Oniru</t>
  </si>
  <si>
    <t>ONITSHA 1</t>
  </si>
  <si>
    <t xml:space="preserve">Rainoil Onitsha - 124 Awka Road </t>
  </si>
  <si>
    <t>ONITSHA 2</t>
  </si>
  <si>
    <t xml:space="preserve">Rainoil Onitsha - Modebe </t>
  </si>
  <si>
    <t>OSHODI</t>
  </si>
  <si>
    <t>Rainoil Oshodi</t>
  </si>
  <si>
    <t>OSUBI</t>
  </si>
  <si>
    <t>Rainoil Osubi</t>
  </si>
  <si>
    <t>OTUKPO</t>
  </si>
  <si>
    <t>Rainoil Otukpo</t>
  </si>
  <si>
    <t>OWERRI</t>
  </si>
  <si>
    <t>Rainoil Owerri - Orlu Road</t>
  </si>
  <si>
    <t>OZORO 1</t>
  </si>
  <si>
    <t xml:space="preserve">Rainoil Ozoro - Kwale/ Ozoro Road </t>
  </si>
  <si>
    <t>OZORO 2</t>
  </si>
  <si>
    <t xml:space="preserve">Rainoil Ozoro - Hospital Road </t>
  </si>
  <si>
    <t>OZORO 3</t>
  </si>
  <si>
    <t xml:space="preserve">Rainoil Ozoro - Owhelogbo </t>
  </si>
  <si>
    <t>SAKPONBA 1</t>
  </si>
  <si>
    <t xml:space="preserve">Rainoil Sakponba - Upper Sakponba </t>
  </si>
  <si>
    <t>SAKPONBA 2</t>
  </si>
  <si>
    <t xml:space="preserve">Rainoil Sakponba - Sakponba Road </t>
  </si>
  <si>
    <t>SANIKO</t>
  </si>
  <si>
    <t>Rainoil Saniko</t>
  </si>
  <si>
    <t>SAPELE 1</t>
  </si>
  <si>
    <t xml:space="preserve">Rainoil Sapele - Sapele-Warri Road </t>
  </si>
  <si>
    <t>SAPELE 2</t>
  </si>
  <si>
    <t>Rainoil Sapele - Adeola Road</t>
  </si>
  <si>
    <t>SAPELE 3</t>
  </si>
  <si>
    <t xml:space="preserve">Rainoil Sapele - Abeke Road </t>
  </si>
  <si>
    <t>SECOND EAST CIRCULAR</t>
  </si>
  <si>
    <t>Rainoil Benin - Second East Circular</t>
  </si>
  <si>
    <t>STATION ROAD</t>
  </si>
  <si>
    <t>Rainoil Portharcourt - Station Road</t>
  </si>
  <si>
    <t>SUMMIT JUNCTION</t>
  </si>
  <si>
    <t>Rainoil Asaba - Summit Junction</t>
  </si>
  <si>
    <t>UGBOKO</t>
  </si>
  <si>
    <t>Rainoil Ugboko</t>
  </si>
  <si>
    <t>UGHELLI 1</t>
  </si>
  <si>
    <t>Rainoil Ughelli - Amekpa</t>
  </si>
  <si>
    <t>UGHELLI 2</t>
  </si>
  <si>
    <t xml:space="preserve">Rainoil Ughelli - Afiesere </t>
  </si>
  <si>
    <t>UGHELLI 3</t>
  </si>
  <si>
    <t>Rainoil Ughelli - Ekuigbo</t>
  </si>
  <si>
    <t>UGHELLI 4</t>
  </si>
  <si>
    <t xml:space="preserve">Rainoil Ughelli - Iwhrekpokpor </t>
  </si>
  <si>
    <t>UPPER MISSION</t>
  </si>
  <si>
    <t>Rainoil Benin - Upper Mission</t>
  </si>
  <si>
    <t>UPPER SILUKO</t>
  </si>
  <si>
    <t>Rainoil Benin - Upper Siluko</t>
  </si>
  <si>
    <t>UYO</t>
  </si>
  <si>
    <t>Rainoil Uyo - Atiku Abubakar way</t>
  </si>
  <si>
    <t>WARRI 1</t>
  </si>
  <si>
    <t>Rainoil Warri - PTI Road</t>
  </si>
  <si>
    <t>WARRI 2</t>
  </si>
  <si>
    <t>Rainoil Warri - Ugbolokposo</t>
  </si>
  <si>
    <t>WARRI 3</t>
  </si>
  <si>
    <t xml:space="preserve">Rainoil Warri - NPA Road </t>
  </si>
  <si>
    <t>WARRI 4</t>
  </si>
  <si>
    <t>Rainoil Warri - Efurrun/Sapele Road</t>
  </si>
  <si>
    <t>WARRI 5</t>
  </si>
  <si>
    <t>Rainoil Warri - Anerhen Road</t>
  </si>
  <si>
    <t>YENAGOA 1</t>
  </si>
  <si>
    <t>Rainoil Yenagoa - Isaac Boro Road</t>
  </si>
  <si>
    <t>YENAGOA 2</t>
  </si>
  <si>
    <t xml:space="preserve">Rainoil Yenagoa - Edepie </t>
  </si>
  <si>
    <t>YOLA</t>
  </si>
  <si>
    <t>Rainoil Yola</t>
  </si>
  <si>
    <t>ZAKI BIAM</t>
  </si>
  <si>
    <t>Rainoil Zaki Biam</t>
  </si>
  <si>
    <t>OKWE</t>
  </si>
  <si>
    <t>Rainoil Okwe</t>
  </si>
  <si>
    <t>UBIAJA</t>
  </si>
  <si>
    <t>Rainoil Ubiaja</t>
  </si>
  <si>
    <t>Rainoil Ibadan - Adegbayi</t>
  </si>
  <si>
    <t>Rainoil Benin By-pass</t>
  </si>
  <si>
    <t xml:space="preserve">Rainoil Kwale - Utagba Ogbe </t>
  </si>
  <si>
    <t>Rainoil Umunze</t>
  </si>
  <si>
    <t>Rainoil Nkpor</t>
  </si>
  <si>
    <t>Rainoil Umuahia</t>
  </si>
  <si>
    <t>Rainoil Awada-Obosi</t>
  </si>
  <si>
    <t>Rainoil Agbor - 119 Old Asaba Road</t>
  </si>
  <si>
    <t>Rainoil Agbor - Owa Ekei/Alero Road</t>
  </si>
  <si>
    <t>Fynefield Uyo Aka Road</t>
  </si>
  <si>
    <t>Rainoil Jalingo</t>
  </si>
  <si>
    <t>Rainoil Enugu - Nkpokiti</t>
  </si>
  <si>
    <t>Rainoil Koka Junction</t>
  </si>
  <si>
    <t>Rainoil Oleh Ogbemudia Road</t>
  </si>
  <si>
    <t>Fynefield Makurdi</t>
  </si>
  <si>
    <t>Rainoil Auchi - Agenobode</t>
  </si>
  <si>
    <t>Rainoil Anwai Ibori Golf Club</t>
  </si>
  <si>
    <t>Rainoil Ogwashi-Ukwu - Poly Road</t>
  </si>
  <si>
    <t>Rainoil DSC Otokutu</t>
  </si>
  <si>
    <t>Rainoil Oghara - Otefe</t>
  </si>
  <si>
    <t>Rainoil Idumebo - Irrua</t>
  </si>
  <si>
    <t>Rainoil Eku Town</t>
  </si>
  <si>
    <t>Fynefield Maiduguri</t>
  </si>
  <si>
    <t>Rainoil Agbor - Alihamie</t>
  </si>
  <si>
    <t>Rainoil Orerokpo</t>
  </si>
  <si>
    <t>Fynefield Uyo Idoro Road</t>
  </si>
  <si>
    <t>Rainoil Sagamu</t>
  </si>
  <si>
    <t>Rainoil Yenagoa Opolo-Epie</t>
  </si>
  <si>
    <t>Rainoil Nnewi - Otolo</t>
  </si>
  <si>
    <t>Rainoil Okpanam - City Gate</t>
  </si>
  <si>
    <t>Rainoil Irrua - Teaching Hospital</t>
  </si>
  <si>
    <t>Rainoil Udu - Udu Bridge Layout</t>
  </si>
  <si>
    <t>Rainoil Umunede</t>
  </si>
  <si>
    <t>MONTH</t>
  </si>
  <si>
    <t>NO OF STATIONS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</si>
</sst>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(* #,##0.0_);_(* \(#,##0.0\);_(* &quot;-&quot;??_);_(@_)"/>
    <numFmt numFmtId="166" formatCode="_-* #,##0_-;\-* #,##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orbel"/>
      <family val="2"/>
    </font>
    <font>
      <b/>
      <sz val="11"/>
      <color theme="0"/>
      <name val="Corbel"/>
      <family val="2"/>
    </font>
    <font>
      <sz val="10"/>
      <name val="Arial"/>
      <family val="2"/>
    </font>
    <font>
      <b/>
      <sz val="11"/>
      <color theme="1"/>
      <name val="Corbel"/>
      <family val="2"/>
    </font>
    <font>
      <sz val="11"/>
      <color theme="1"/>
      <name val="Corbel"/>
      <family val="2"/>
    </font>
    <font>
      <b/>
      <sz val="11"/>
      <color theme="2"/>
      <name val="Corbe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3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5" fontId="2" fillId="4" borderId="8" xfId="2" applyNumberFormat="1" applyFont="1" applyFill="1" applyBorder="1" applyAlignment="1">
      <alignment horizontal="center" vertical="center"/>
    </xf>
    <xf numFmtId="165" fontId="2" fillId="5" borderId="11" xfId="2" applyNumberFormat="1" applyFont="1" applyFill="1" applyBorder="1" applyAlignment="1">
      <alignment horizontal="center" vertical="center"/>
    </xf>
    <xf numFmtId="165" fontId="2" fillId="6" borderId="12" xfId="2" applyNumberFormat="1" applyFont="1" applyFill="1" applyBorder="1" applyAlignment="1">
      <alignment horizontal="center" vertical="center"/>
    </xf>
    <xf numFmtId="165" fontId="2" fillId="6" borderId="13" xfId="2" applyNumberFormat="1" applyFont="1" applyFill="1" applyBorder="1" applyAlignment="1">
      <alignment horizontal="center" vertical="center"/>
    </xf>
    <xf numFmtId="165" fontId="2" fillId="4" borderId="14" xfId="2" applyNumberFormat="1" applyFont="1" applyFill="1" applyBorder="1" applyAlignment="1">
      <alignment horizontal="center" vertical="center"/>
    </xf>
    <xf numFmtId="165" fontId="2" fillId="5" borderId="15" xfId="2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2" borderId="5" xfId="0" applyFont="1" applyFill="1" applyBorder="1" applyAlignment="1">
      <alignment vertical="top"/>
    </xf>
    <xf numFmtId="0" fontId="2" fillId="2" borderId="17" xfId="0" applyFont="1" applyFill="1" applyBorder="1" applyAlignment="1">
      <alignment vertical="top"/>
    </xf>
    <xf numFmtId="3" fontId="6" fillId="0" borderId="18" xfId="0" applyNumberFormat="1" applyFont="1" applyBorder="1" applyAlignment="1">
      <alignment horizontal="right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vertical="top"/>
    </xf>
    <xf numFmtId="0" fontId="2" fillId="2" borderId="20" xfId="0" applyFont="1" applyFill="1" applyBorder="1" applyAlignment="1">
      <alignment vertical="top"/>
    </xf>
    <xf numFmtId="0" fontId="2" fillId="0" borderId="20" xfId="0" applyFont="1" applyBorder="1" applyAlignment="1">
      <alignment horizontal="left" vertical="top"/>
    </xf>
    <xf numFmtId="0" fontId="2" fillId="0" borderId="21" xfId="0" applyFont="1" applyBorder="1" applyAlignment="1">
      <alignment vertical="top"/>
    </xf>
    <xf numFmtId="0" fontId="7" fillId="7" borderId="0" xfId="0" applyFont="1" applyFill="1"/>
    <xf numFmtId="0" fontId="6" fillId="0" borderId="0" xfId="0" applyFont="1"/>
    <xf numFmtId="17" fontId="5" fillId="0" borderId="0" xfId="0" applyNumberFormat="1" applyFont="1"/>
    <xf numFmtId="3" fontId="6" fillId="0" borderId="0" xfId="0" applyNumberFormat="1" applyFont="1"/>
    <xf numFmtId="1" fontId="6" fillId="0" borderId="0" xfId="0" applyNumberFormat="1" applyFont="1"/>
    <xf numFmtId="166" fontId="6" fillId="0" borderId="0" xfId="1" applyNumberFormat="1" applyFont="1"/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</cellXfs>
  <cellStyles count="3">
    <cellStyle name="Comma" xfId="1" builtinId="3"/>
    <cellStyle name="Comma_Sheet1 2" xfId="2" xr:uid="{7C6061A5-B765-4B07-86A7-AC85D4583A1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0C0E2-7C76-4AE6-9412-CBB4F11EDB29}">
  <dimension ref="A1:BK183"/>
  <sheetViews>
    <sheetView tabSelected="1" workbookViewId="0">
      <selection activeCell="C9" sqref="C9"/>
    </sheetView>
  </sheetViews>
  <sheetFormatPr defaultRowHeight="14.5" x14ac:dyDescent="0.35"/>
  <cols>
    <col min="1" max="1" width="4.08984375" style="25" customWidth="1"/>
    <col min="2" max="2" width="32.54296875" style="25" bestFit="1" customWidth="1"/>
    <col min="3" max="3" width="38.90625" style="25" bestFit="1" customWidth="1"/>
    <col min="4" max="4" width="8.7265625" style="25"/>
    <col min="5" max="5" width="7.453125" style="25" bestFit="1" customWidth="1"/>
    <col min="6" max="6" width="8.7265625" style="25"/>
    <col min="7" max="7" width="16.36328125" style="25" bestFit="1" customWidth="1"/>
    <col min="8" max="8" width="16.453125" style="25" bestFit="1" customWidth="1"/>
    <col min="9" max="11" width="8.7265625" style="25"/>
    <col min="12" max="12" width="16.36328125" style="25" bestFit="1" customWidth="1"/>
    <col min="13" max="13" width="16.453125" style="25" bestFit="1" customWidth="1"/>
    <col min="14" max="16" width="8.7265625" style="25"/>
    <col min="17" max="17" width="16.36328125" style="25" bestFit="1" customWidth="1"/>
    <col min="18" max="18" width="16.453125" style="25" bestFit="1" customWidth="1"/>
    <col min="19" max="21" width="8.7265625" style="25"/>
    <col min="22" max="22" width="16.36328125" style="25" bestFit="1" customWidth="1"/>
    <col min="23" max="23" width="16.453125" style="25" bestFit="1" customWidth="1"/>
    <col min="24" max="26" width="8.7265625" style="25"/>
    <col min="27" max="27" width="16.36328125" style="25" bestFit="1" customWidth="1"/>
    <col min="28" max="28" width="16.453125" style="25" bestFit="1" customWidth="1"/>
    <col min="29" max="31" width="8.7265625" style="25"/>
    <col min="32" max="32" width="16.36328125" style="25" bestFit="1" customWidth="1"/>
    <col min="33" max="33" width="16.453125" style="25" bestFit="1" customWidth="1"/>
    <col min="34" max="36" width="8.7265625" style="25"/>
    <col min="37" max="37" width="16.36328125" style="25" bestFit="1" customWidth="1"/>
    <col min="38" max="38" width="16.453125" style="25" bestFit="1" customWidth="1"/>
    <col min="39" max="41" width="8.7265625" style="25"/>
    <col min="42" max="42" width="16.36328125" style="25" bestFit="1" customWidth="1"/>
    <col min="43" max="43" width="16.453125" style="25" bestFit="1" customWidth="1"/>
    <col min="44" max="46" width="8.7265625" style="25"/>
    <col min="47" max="47" width="16.36328125" style="25" bestFit="1" customWidth="1"/>
    <col min="48" max="48" width="16.453125" style="25" bestFit="1" customWidth="1"/>
    <col min="49" max="51" width="8.7265625" style="25"/>
    <col min="52" max="52" width="16.36328125" style="25" bestFit="1" customWidth="1"/>
    <col min="53" max="53" width="16.453125" style="25" bestFit="1" customWidth="1"/>
    <col min="54" max="56" width="8.7265625" style="25"/>
    <col min="57" max="57" width="16.36328125" style="25" bestFit="1" customWidth="1"/>
    <col min="58" max="58" width="16.453125" style="25" bestFit="1" customWidth="1"/>
    <col min="59" max="61" width="8.7265625" style="25"/>
    <col min="62" max="62" width="16.36328125" style="25" bestFit="1" customWidth="1"/>
    <col min="63" max="63" width="16.453125" style="25" bestFit="1" customWidth="1"/>
    <col min="64" max="16384" width="8.7265625" style="25"/>
  </cols>
  <sheetData>
    <row r="1" spans="1:63" x14ac:dyDescent="0.35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</row>
    <row r="2" spans="1:63" ht="15" thickBot="1" x14ac:dyDescent="0.4">
      <c r="A2" s="1" t="s">
        <v>1</v>
      </c>
      <c r="B2" s="2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</row>
    <row r="3" spans="1:63" ht="15" thickBot="1" x14ac:dyDescent="0.4">
      <c r="A3" s="4" t="s">
        <v>2</v>
      </c>
      <c r="B3" s="5" t="s">
        <v>3</v>
      </c>
      <c r="C3" s="5" t="s">
        <v>3</v>
      </c>
      <c r="D3" s="34" t="s">
        <v>4</v>
      </c>
      <c r="E3" s="35"/>
      <c r="F3" s="35"/>
      <c r="G3" s="35"/>
      <c r="H3" s="35"/>
      <c r="I3" s="30" t="s">
        <v>5</v>
      </c>
      <c r="J3" s="31"/>
      <c r="K3" s="32"/>
      <c r="L3" s="32"/>
      <c r="M3" s="33"/>
      <c r="N3" s="30" t="s">
        <v>6</v>
      </c>
      <c r="O3" s="31"/>
      <c r="P3" s="32"/>
      <c r="Q3" s="32"/>
      <c r="R3" s="33"/>
      <c r="S3" s="30" t="s">
        <v>7</v>
      </c>
      <c r="T3" s="31"/>
      <c r="U3" s="32"/>
      <c r="V3" s="32"/>
      <c r="W3" s="33"/>
      <c r="X3" s="30" t="s">
        <v>8</v>
      </c>
      <c r="Y3" s="31"/>
      <c r="Z3" s="32"/>
      <c r="AA3" s="32"/>
      <c r="AB3" s="33"/>
      <c r="AC3" s="30" t="s">
        <v>9</v>
      </c>
      <c r="AD3" s="31"/>
      <c r="AE3" s="32"/>
      <c r="AF3" s="32"/>
      <c r="AG3" s="33"/>
      <c r="AH3" s="30" t="s">
        <v>10</v>
      </c>
      <c r="AI3" s="31"/>
      <c r="AJ3" s="32"/>
      <c r="AK3" s="32"/>
      <c r="AL3" s="33"/>
      <c r="AM3" s="30" t="s">
        <v>11</v>
      </c>
      <c r="AN3" s="31"/>
      <c r="AO3" s="32"/>
      <c r="AP3" s="32"/>
      <c r="AQ3" s="33"/>
      <c r="AR3" s="30" t="s">
        <v>12</v>
      </c>
      <c r="AS3" s="31"/>
      <c r="AT3" s="32"/>
      <c r="AU3" s="32"/>
      <c r="AV3" s="33"/>
      <c r="AW3" s="30" t="s">
        <v>13</v>
      </c>
      <c r="AX3" s="31"/>
      <c r="AY3" s="32"/>
      <c r="AZ3" s="32"/>
      <c r="BA3" s="33"/>
      <c r="BB3" s="30" t="s">
        <v>14</v>
      </c>
      <c r="BC3" s="31"/>
      <c r="BD3" s="32"/>
      <c r="BE3" s="32"/>
      <c r="BF3" s="33"/>
      <c r="BG3" s="30" t="s">
        <v>15</v>
      </c>
      <c r="BH3" s="31"/>
      <c r="BI3" s="32"/>
      <c r="BJ3" s="32"/>
      <c r="BK3" s="33"/>
    </row>
    <row r="4" spans="1:63" ht="15" thickBot="1" x14ac:dyDescent="0.4">
      <c r="A4" s="6"/>
      <c r="B4" s="7"/>
      <c r="C4" s="8"/>
      <c r="D4" s="9" t="s">
        <v>16</v>
      </c>
      <c r="E4" s="10" t="s">
        <v>17</v>
      </c>
      <c r="F4" s="11" t="s">
        <v>18</v>
      </c>
      <c r="G4" s="12" t="s">
        <v>19</v>
      </c>
      <c r="H4" s="12" t="s">
        <v>20</v>
      </c>
      <c r="I4" s="13" t="s">
        <v>16</v>
      </c>
      <c r="J4" s="10" t="s">
        <v>17</v>
      </c>
      <c r="K4" s="11" t="s">
        <v>18</v>
      </c>
      <c r="L4" s="12" t="s">
        <v>19</v>
      </c>
      <c r="M4" s="12" t="s">
        <v>20</v>
      </c>
      <c r="N4" s="9" t="s">
        <v>16</v>
      </c>
      <c r="O4" s="10" t="s">
        <v>17</v>
      </c>
      <c r="P4" s="14" t="s">
        <v>18</v>
      </c>
      <c r="Q4" s="14" t="s">
        <v>19</v>
      </c>
      <c r="R4" s="11" t="s">
        <v>20</v>
      </c>
      <c r="S4" s="9" t="s">
        <v>16</v>
      </c>
      <c r="T4" s="10" t="s">
        <v>17</v>
      </c>
      <c r="U4" s="14" t="s">
        <v>18</v>
      </c>
      <c r="V4" s="14" t="s">
        <v>19</v>
      </c>
      <c r="W4" s="11" t="s">
        <v>20</v>
      </c>
      <c r="X4" s="9" t="s">
        <v>16</v>
      </c>
      <c r="Y4" s="10" t="s">
        <v>17</v>
      </c>
      <c r="Z4" s="14" t="s">
        <v>18</v>
      </c>
      <c r="AA4" s="14" t="s">
        <v>19</v>
      </c>
      <c r="AB4" s="11" t="s">
        <v>20</v>
      </c>
      <c r="AC4" s="9" t="s">
        <v>16</v>
      </c>
      <c r="AD4" s="10" t="s">
        <v>17</v>
      </c>
      <c r="AE4" s="14" t="s">
        <v>18</v>
      </c>
      <c r="AF4" s="14" t="s">
        <v>19</v>
      </c>
      <c r="AG4" s="11" t="s">
        <v>20</v>
      </c>
      <c r="AH4" s="9" t="s">
        <v>16</v>
      </c>
      <c r="AI4" s="10" t="s">
        <v>17</v>
      </c>
      <c r="AJ4" s="14" t="s">
        <v>18</v>
      </c>
      <c r="AK4" s="14" t="s">
        <v>19</v>
      </c>
      <c r="AL4" s="11" t="s">
        <v>20</v>
      </c>
      <c r="AM4" s="9" t="s">
        <v>16</v>
      </c>
      <c r="AN4" s="10" t="s">
        <v>17</v>
      </c>
      <c r="AO4" s="14" t="s">
        <v>18</v>
      </c>
      <c r="AP4" s="14" t="s">
        <v>19</v>
      </c>
      <c r="AQ4" s="11" t="s">
        <v>20</v>
      </c>
      <c r="AR4" s="9" t="s">
        <v>16</v>
      </c>
      <c r="AS4" s="10" t="s">
        <v>17</v>
      </c>
      <c r="AT4" s="14" t="s">
        <v>18</v>
      </c>
      <c r="AU4" s="14" t="s">
        <v>19</v>
      </c>
      <c r="AV4" s="11" t="s">
        <v>20</v>
      </c>
      <c r="AW4" s="9" t="s">
        <v>16</v>
      </c>
      <c r="AX4" s="10" t="s">
        <v>17</v>
      </c>
      <c r="AY4" s="14" t="s">
        <v>18</v>
      </c>
      <c r="AZ4" s="14" t="s">
        <v>19</v>
      </c>
      <c r="BA4" s="11" t="s">
        <v>20</v>
      </c>
      <c r="BB4" s="9" t="s">
        <v>16</v>
      </c>
      <c r="BC4" s="10" t="s">
        <v>17</v>
      </c>
      <c r="BD4" s="14" t="s">
        <v>18</v>
      </c>
      <c r="BE4" s="14" t="s">
        <v>19</v>
      </c>
      <c r="BF4" s="11" t="s">
        <v>20</v>
      </c>
      <c r="BG4" s="9" t="s">
        <v>16</v>
      </c>
      <c r="BH4" s="10" t="s">
        <v>17</v>
      </c>
      <c r="BI4" s="14" t="s">
        <v>18</v>
      </c>
      <c r="BJ4" s="14" t="s">
        <v>19</v>
      </c>
      <c r="BK4" s="11" t="s">
        <v>20</v>
      </c>
    </row>
    <row r="5" spans="1:63" x14ac:dyDescent="0.35">
      <c r="A5" s="15">
        <v>1</v>
      </c>
      <c r="B5" s="16" t="s">
        <v>21</v>
      </c>
      <c r="C5" s="17" t="s">
        <v>22</v>
      </c>
      <c r="D5" s="18">
        <v>270296</v>
      </c>
      <c r="E5" s="18">
        <v>11485</v>
      </c>
      <c r="F5" s="18">
        <v>475</v>
      </c>
      <c r="G5" s="18">
        <v>666.45161290322585</v>
      </c>
      <c r="H5" s="18">
        <v>1091.61290322581</v>
      </c>
      <c r="I5" s="18">
        <v>234352</v>
      </c>
      <c r="J5" s="18">
        <v>11483</v>
      </c>
      <c r="K5" s="18">
        <v>0</v>
      </c>
      <c r="L5" s="18">
        <v>678.21428571428567</v>
      </c>
      <c r="M5" s="18">
        <v>1380.3571428571429</v>
      </c>
      <c r="N5" s="18">
        <v>239839</v>
      </c>
      <c r="O5" s="18">
        <v>19172</v>
      </c>
      <c r="P5" s="18">
        <v>0</v>
      </c>
      <c r="Q5" s="18">
        <v>695</v>
      </c>
      <c r="R5" s="18">
        <v>1607.258064516129</v>
      </c>
      <c r="S5" s="18">
        <v>225443</v>
      </c>
      <c r="T5" s="18">
        <v>18164</v>
      </c>
      <c r="U5" s="18">
        <v>456</v>
      </c>
      <c r="V5" s="18">
        <v>697.83333333333337</v>
      </c>
      <c r="W5" s="18">
        <v>1468.3333333333333</v>
      </c>
      <c r="X5" s="18">
        <v>276542</v>
      </c>
      <c r="Y5" s="18">
        <v>25159</v>
      </c>
      <c r="Z5" s="18">
        <v>4545</v>
      </c>
      <c r="AA5" s="18">
        <v>806.45161290322585</v>
      </c>
      <c r="AB5" s="18">
        <v>1253.5483870967741</v>
      </c>
      <c r="AC5" s="18">
        <v>234508</v>
      </c>
      <c r="AD5" s="18">
        <v>33408</v>
      </c>
      <c r="AE5" s="18">
        <v>2021</v>
      </c>
      <c r="AF5" s="18">
        <v>754.33333333333337</v>
      </c>
      <c r="AG5" s="18">
        <v>1241.3333333333333</v>
      </c>
      <c r="AH5" s="18">
        <v>323863</v>
      </c>
      <c r="AI5" s="18">
        <v>10147</v>
      </c>
      <c r="AJ5" s="18">
        <v>3122</v>
      </c>
      <c r="AK5" s="18">
        <v>762.58064516129036</v>
      </c>
      <c r="AL5" s="18">
        <v>1260</v>
      </c>
      <c r="AM5" s="18">
        <v>348052</v>
      </c>
      <c r="AN5" s="18">
        <v>12780</v>
      </c>
      <c r="AO5" s="18">
        <v>2731</v>
      </c>
      <c r="AP5" s="18">
        <v>849.67741935483866</v>
      </c>
      <c r="AQ5" s="18">
        <v>1260</v>
      </c>
      <c r="AR5" s="18">
        <v>141602</v>
      </c>
      <c r="AS5" s="18">
        <v>9107</v>
      </c>
      <c r="AT5" s="18">
        <v>3307</v>
      </c>
      <c r="AU5" s="18">
        <v>1096</v>
      </c>
      <c r="AV5" s="18">
        <v>1260</v>
      </c>
      <c r="AW5" s="18">
        <v>161719</v>
      </c>
      <c r="AX5" s="18">
        <v>13480</v>
      </c>
      <c r="AY5" s="18">
        <v>4771</v>
      </c>
      <c r="AZ5" s="18">
        <v>1192.258064516129</v>
      </c>
      <c r="BA5" s="18">
        <v>1246.4516129032259</v>
      </c>
      <c r="BB5" s="18">
        <v>174819</v>
      </c>
      <c r="BC5" s="18">
        <v>21325</v>
      </c>
      <c r="BD5" s="18">
        <v>3862</v>
      </c>
      <c r="BE5" s="18">
        <v>1131.1666666666667</v>
      </c>
      <c r="BF5" s="18">
        <v>1200</v>
      </c>
      <c r="BG5" s="18">
        <v>217268</v>
      </c>
      <c r="BH5" s="18">
        <v>24490</v>
      </c>
      <c r="BI5" s="18">
        <v>3820</v>
      </c>
      <c r="BJ5" s="18">
        <v>1072.5806451612902</v>
      </c>
      <c r="BK5" s="18">
        <v>1200</v>
      </c>
    </row>
    <row r="6" spans="1:63" x14ac:dyDescent="0.35">
      <c r="A6" s="19">
        <v>2</v>
      </c>
      <c r="B6" s="20" t="s">
        <v>23</v>
      </c>
      <c r="C6" s="20" t="s">
        <v>24</v>
      </c>
      <c r="D6" s="18">
        <v>152539</v>
      </c>
      <c r="E6" s="18">
        <v>4009</v>
      </c>
      <c r="F6" s="18">
        <v>360</v>
      </c>
      <c r="G6" s="18">
        <v>659.35483870967744</v>
      </c>
      <c r="H6" s="18">
        <v>1080.8064516129032</v>
      </c>
      <c r="I6" s="18">
        <v>138310</v>
      </c>
      <c r="J6" s="18">
        <v>4994</v>
      </c>
      <c r="K6" s="18">
        <v>376</v>
      </c>
      <c r="L6" s="18">
        <v>680.35714285714289</v>
      </c>
      <c r="M6" s="18">
        <v>1387.1428571428571</v>
      </c>
      <c r="N6" s="18">
        <v>143129</v>
      </c>
      <c r="O6" s="18">
        <v>4523</v>
      </c>
      <c r="P6" s="18">
        <v>1008</v>
      </c>
      <c r="Q6" s="18">
        <v>695</v>
      </c>
      <c r="R6" s="18">
        <v>1620.9677419354839</v>
      </c>
      <c r="S6" s="18">
        <v>190219</v>
      </c>
      <c r="T6" s="18">
        <v>4130</v>
      </c>
      <c r="U6" s="18">
        <v>1758</v>
      </c>
      <c r="V6" s="18">
        <v>700.5</v>
      </c>
      <c r="W6" s="18">
        <v>1440</v>
      </c>
      <c r="X6" s="18">
        <v>184337</v>
      </c>
      <c r="Y6" s="18">
        <v>1451</v>
      </c>
      <c r="Z6" s="18">
        <v>416</v>
      </c>
      <c r="AA6" s="18">
        <v>799.67741935483866</v>
      </c>
      <c r="AB6" s="18">
        <v>1254.516129032258</v>
      </c>
      <c r="AC6" s="18">
        <v>134764</v>
      </c>
      <c r="AD6" s="18">
        <v>2387</v>
      </c>
      <c r="AE6" s="18">
        <v>137</v>
      </c>
      <c r="AF6" s="18">
        <v>756.33333333333337</v>
      </c>
      <c r="AG6" s="18">
        <v>1216.3333333333333</v>
      </c>
      <c r="AH6" s="18">
        <v>160630</v>
      </c>
      <c r="AI6" s="18">
        <v>2179</v>
      </c>
      <c r="AJ6" s="18">
        <v>745</v>
      </c>
      <c r="AK6" s="18">
        <v>770.32258064516134</v>
      </c>
      <c r="AL6" s="18">
        <v>1220</v>
      </c>
      <c r="AM6" s="18">
        <v>124381</v>
      </c>
      <c r="AN6" s="18">
        <v>6935</v>
      </c>
      <c r="AO6" s="18">
        <v>2723</v>
      </c>
      <c r="AP6" s="18">
        <v>871.29032258064512</v>
      </c>
      <c r="AQ6" s="18">
        <v>1220</v>
      </c>
      <c r="AR6" s="18">
        <v>119289</v>
      </c>
      <c r="AS6" s="18">
        <v>5324</v>
      </c>
      <c r="AT6" s="18">
        <v>909</v>
      </c>
      <c r="AU6" s="18">
        <v>1186.6666666666667</v>
      </c>
      <c r="AV6" s="18">
        <v>1220</v>
      </c>
      <c r="AW6" s="18">
        <v>168312</v>
      </c>
      <c r="AX6" s="18">
        <v>7430</v>
      </c>
      <c r="AY6" s="18">
        <v>1492</v>
      </c>
      <c r="AZ6" s="18">
        <v>1219.3548387096773</v>
      </c>
      <c r="BA6" s="18">
        <v>1220</v>
      </c>
      <c r="BB6" s="18">
        <v>153093</v>
      </c>
      <c r="BC6" s="18">
        <v>9024</v>
      </c>
      <c r="BD6" s="18">
        <v>403</v>
      </c>
      <c r="BE6" s="18">
        <v>1152.3333333333333</v>
      </c>
      <c r="BF6" s="18">
        <v>1201.6666666666667</v>
      </c>
      <c r="BG6" s="18">
        <v>128274</v>
      </c>
      <c r="BH6" s="18">
        <v>10117</v>
      </c>
      <c r="BI6" s="18">
        <v>429</v>
      </c>
      <c r="BJ6" s="18">
        <v>1086.4516129032259</v>
      </c>
      <c r="BK6" s="18">
        <v>1170</v>
      </c>
    </row>
    <row r="7" spans="1:63" x14ac:dyDescent="0.35">
      <c r="A7" s="19">
        <v>3</v>
      </c>
      <c r="B7" s="20" t="s">
        <v>25</v>
      </c>
      <c r="C7" s="20" t="s">
        <v>26</v>
      </c>
      <c r="D7" s="18">
        <v>233337</v>
      </c>
      <c r="E7" s="18">
        <v>11807</v>
      </c>
      <c r="F7" s="18">
        <v>251</v>
      </c>
      <c r="G7" s="18">
        <v>666.77419354838707</v>
      </c>
      <c r="H7" s="18">
        <v>1080.8064516129032</v>
      </c>
      <c r="I7" s="18">
        <v>247296</v>
      </c>
      <c r="J7" s="18">
        <v>11367</v>
      </c>
      <c r="K7" s="18">
        <v>359</v>
      </c>
      <c r="L7" s="18">
        <v>687.85714285714289</v>
      </c>
      <c r="M7" s="18">
        <v>1408.5714285714287</v>
      </c>
      <c r="N7" s="18">
        <v>286621</v>
      </c>
      <c r="O7" s="18">
        <v>15551</v>
      </c>
      <c r="P7" s="18">
        <v>533</v>
      </c>
      <c r="Q7" s="18">
        <v>695</v>
      </c>
      <c r="R7" s="18">
        <v>1604.8387096774193</v>
      </c>
      <c r="S7" s="18">
        <v>303667</v>
      </c>
      <c r="T7" s="18">
        <v>13280</v>
      </c>
      <c r="U7" s="18">
        <v>712</v>
      </c>
      <c r="V7" s="18">
        <v>700.5</v>
      </c>
      <c r="W7" s="18">
        <v>1440</v>
      </c>
      <c r="X7" s="18">
        <v>143846</v>
      </c>
      <c r="Y7" s="18">
        <v>7433</v>
      </c>
      <c r="Z7" s="18">
        <v>110</v>
      </c>
      <c r="AA7" s="18">
        <v>799.67741935483866</v>
      </c>
      <c r="AB7" s="18">
        <v>1254.516129032258</v>
      </c>
      <c r="AC7" s="18">
        <v>239122</v>
      </c>
      <c r="AD7" s="18">
        <v>12700</v>
      </c>
      <c r="AE7" s="18">
        <v>0</v>
      </c>
      <c r="AF7" s="18">
        <v>756.33333333333337</v>
      </c>
      <c r="AG7" s="18">
        <v>1216.3333333333333</v>
      </c>
      <c r="AH7" s="18">
        <v>242895</v>
      </c>
      <c r="AI7" s="18">
        <v>10912</v>
      </c>
      <c r="AJ7" s="18">
        <v>159</v>
      </c>
      <c r="AK7" s="18">
        <v>770.32258064516134</v>
      </c>
      <c r="AL7" s="18">
        <v>1220</v>
      </c>
      <c r="AM7" s="18">
        <v>95050</v>
      </c>
      <c r="AN7" s="18">
        <v>5467</v>
      </c>
      <c r="AO7" s="18">
        <v>0</v>
      </c>
      <c r="AP7" s="18">
        <v>871.29032258064512</v>
      </c>
      <c r="AQ7" s="18">
        <v>1220</v>
      </c>
      <c r="AR7" s="18">
        <v>122190</v>
      </c>
      <c r="AS7" s="18">
        <v>5032</v>
      </c>
      <c r="AT7" s="18">
        <v>0</v>
      </c>
      <c r="AU7" s="18">
        <v>1186.6666666666667</v>
      </c>
      <c r="AV7" s="18">
        <v>1220</v>
      </c>
      <c r="AW7" s="18">
        <v>249419</v>
      </c>
      <c r="AX7" s="18">
        <v>8550</v>
      </c>
      <c r="AY7" s="18">
        <v>119</v>
      </c>
      <c r="AZ7" s="18">
        <v>1219.3548387096773</v>
      </c>
      <c r="BA7" s="18">
        <v>1220</v>
      </c>
      <c r="BB7" s="18">
        <v>247434</v>
      </c>
      <c r="BC7" s="18">
        <v>10826</v>
      </c>
      <c r="BD7" s="18">
        <v>256</v>
      </c>
      <c r="BE7" s="18">
        <v>1152.3333333333333</v>
      </c>
      <c r="BF7" s="18">
        <v>1201.6666666666667</v>
      </c>
      <c r="BG7" s="18">
        <v>244516</v>
      </c>
      <c r="BH7" s="18">
        <v>13490</v>
      </c>
      <c r="BI7" s="18">
        <v>325</v>
      </c>
      <c r="BJ7" s="18">
        <v>1086.4516129032259</v>
      </c>
      <c r="BK7" s="18">
        <v>1170</v>
      </c>
    </row>
    <row r="8" spans="1:63" x14ac:dyDescent="0.35">
      <c r="A8" s="19">
        <v>4</v>
      </c>
      <c r="B8" s="20" t="s">
        <v>27</v>
      </c>
      <c r="C8" s="20" t="s">
        <v>28</v>
      </c>
      <c r="D8" s="18">
        <v>247810</v>
      </c>
      <c r="E8" s="18">
        <v>16374</v>
      </c>
      <c r="F8" s="18">
        <v>546</v>
      </c>
      <c r="G8" s="18">
        <v>672.58064516129036</v>
      </c>
      <c r="H8" s="18">
        <v>1080.483870967742</v>
      </c>
      <c r="I8" s="18">
        <v>265581</v>
      </c>
      <c r="J8" s="18">
        <v>12448</v>
      </c>
      <c r="K8" s="18">
        <v>1880</v>
      </c>
      <c r="L8" s="18">
        <v>688.57142857142856</v>
      </c>
      <c r="M8" s="18">
        <v>1392.5</v>
      </c>
      <c r="N8" s="18">
        <v>315660</v>
      </c>
      <c r="O8" s="18">
        <v>15303</v>
      </c>
      <c r="P8" s="18">
        <v>416</v>
      </c>
      <c r="Q8" s="18">
        <v>695</v>
      </c>
      <c r="R8" s="18">
        <v>1604.8387096774193</v>
      </c>
      <c r="S8" s="18">
        <v>320551</v>
      </c>
      <c r="T8" s="18">
        <v>14290</v>
      </c>
      <c r="U8" s="18">
        <v>947</v>
      </c>
      <c r="V8" s="18">
        <v>700.5333333333333</v>
      </c>
      <c r="W8" s="18">
        <v>1440</v>
      </c>
      <c r="X8" s="18">
        <v>185741</v>
      </c>
      <c r="Y8" s="18">
        <v>18540</v>
      </c>
      <c r="Z8" s="18">
        <v>567</v>
      </c>
      <c r="AA8" s="18">
        <v>800.9677419354839</v>
      </c>
      <c r="AB8" s="18">
        <v>1264.1935483870968</v>
      </c>
      <c r="AC8" s="18">
        <v>216793</v>
      </c>
      <c r="AD8" s="18">
        <v>13545</v>
      </c>
      <c r="AE8" s="18">
        <v>507</v>
      </c>
      <c r="AF8" s="18">
        <v>762.33333333333337</v>
      </c>
      <c r="AG8" s="18">
        <v>1250.6666666666667</v>
      </c>
      <c r="AH8" s="18">
        <v>284565</v>
      </c>
      <c r="AI8" s="18">
        <v>14189</v>
      </c>
      <c r="AJ8" s="18">
        <v>415</v>
      </c>
      <c r="AK8" s="18">
        <v>780.64516129032256</v>
      </c>
      <c r="AL8" s="18">
        <v>1240</v>
      </c>
      <c r="AM8" s="18">
        <v>132048</v>
      </c>
      <c r="AN8" s="18">
        <v>8861</v>
      </c>
      <c r="AO8" s="18">
        <v>291</v>
      </c>
      <c r="AP8" s="18">
        <v>898.06451612903231</v>
      </c>
      <c r="AQ8" s="18">
        <v>1240</v>
      </c>
      <c r="AR8" s="18">
        <v>141522</v>
      </c>
      <c r="AS8" s="18">
        <v>15680</v>
      </c>
      <c r="AT8" s="18">
        <v>280</v>
      </c>
      <c r="AU8" s="18">
        <v>1171.3333333333333</v>
      </c>
      <c r="AV8" s="18">
        <v>1238.3333333333333</v>
      </c>
      <c r="AW8" s="18">
        <v>160751</v>
      </c>
      <c r="AX8" s="18">
        <v>11384</v>
      </c>
      <c r="AY8" s="18">
        <v>378</v>
      </c>
      <c r="AZ8" s="18">
        <v>1217.741935483871</v>
      </c>
      <c r="BA8" s="18">
        <v>1220</v>
      </c>
      <c r="BB8" s="18">
        <v>150701</v>
      </c>
      <c r="BC8" s="18">
        <v>17316</v>
      </c>
      <c r="BD8" s="18">
        <v>358</v>
      </c>
      <c r="BE8" s="18">
        <v>1134.1666666666667</v>
      </c>
      <c r="BF8" s="18">
        <v>1203</v>
      </c>
      <c r="BG8" s="18">
        <v>161975</v>
      </c>
      <c r="BH8" s="18">
        <v>11660</v>
      </c>
      <c r="BI8" s="18">
        <v>357</v>
      </c>
      <c r="BJ8" s="18">
        <v>1085.1612903225807</v>
      </c>
      <c r="BK8" s="18">
        <v>1190.0645161290322</v>
      </c>
    </row>
    <row r="9" spans="1:63" x14ac:dyDescent="0.35">
      <c r="A9" s="19">
        <v>5</v>
      </c>
      <c r="B9" s="21" t="s">
        <v>29</v>
      </c>
      <c r="C9" s="21" t="s">
        <v>30</v>
      </c>
      <c r="D9" s="18">
        <v>288364</v>
      </c>
      <c r="E9" s="18">
        <v>68637</v>
      </c>
      <c r="F9" s="18">
        <v>1543</v>
      </c>
      <c r="G9" s="18">
        <v>608.87096774193549</v>
      </c>
      <c r="H9" s="18">
        <v>1022.5806451612904</v>
      </c>
      <c r="I9" s="18">
        <v>385050</v>
      </c>
      <c r="J9" s="18">
        <v>83634</v>
      </c>
      <c r="K9" s="18">
        <v>1464</v>
      </c>
      <c r="L9" s="18">
        <v>632.14285714285711</v>
      </c>
      <c r="M9" s="18">
        <v>1384.2857142857142</v>
      </c>
      <c r="N9" s="18">
        <v>399108</v>
      </c>
      <c r="O9" s="18">
        <v>62832</v>
      </c>
      <c r="P9" s="18">
        <v>2042</v>
      </c>
      <c r="Q9" s="18">
        <v>634.67741935483866</v>
      </c>
      <c r="R9" s="18">
        <v>1533.8709677419354</v>
      </c>
      <c r="S9" s="18">
        <v>696738</v>
      </c>
      <c r="T9" s="18">
        <v>89417</v>
      </c>
      <c r="U9" s="18">
        <v>1284</v>
      </c>
      <c r="V9" s="18">
        <v>643.16666666666663</v>
      </c>
      <c r="W9" s="18">
        <v>1403.3333333333333</v>
      </c>
      <c r="X9" s="18">
        <v>417511</v>
      </c>
      <c r="Y9" s="18">
        <v>65273</v>
      </c>
      <c r="Z9" s="18">
        <v>1296</v>
      </c>
      <c r="AA9" s="18">
        <v>681.61290322580646</v>
      </c>
      <c r="AB9" s="18">
        <v>1224.1935483870968</v>
      </c>
      <c r="AC9" s="18">
        <v>418297</v>
      </c>
      <c r="AD9" s="18">
        <v>45606</v>
      </c>
      <c r="AE9" s="18">
        <v>1521</v>
      </c>
      <c r="AF9" s="18">
        <v>625.83333333333337</v>
      </c>
      <c r="AG9" s="18">
        <v>1201.3333333333333</v>
      </c>
      <c r="AH9" s="18">
        <v>444532</v>
      </c>
      <c r="AI9" s="18">
        <v>53165</v>
      </c>
      <c r="AJ9" s="18">
        <v>1423</v>
      </c>
      <c r="AK9" s="18">
        <v>707.41935483870964</v>
      </c>
      <c r="AL9" s="18">
        <v>1220</v>
      </c>
      <c r="AM9" s="18">
        <v>367278</v>
      </c>
      <c r="AN9" s="18">
        <v>42638</v>
      </c>
      <c r="AO9" s="18">
        <v>946</v>
      </c>
      <c r="AP9" s="18">
        <v>791.29032258064512</v>
      </c>
      <c r="AQ9" s="18">
        <v>1220</v>
      </c>
      <c r="AR9" s="18">
        <v>376716</v>
      </c>
      <c r="AS9" s="18">
        <v>43336</v>
      </c>
      <c r="AT9" s="18">
        <v>667</v>
      </c>
      <c r="AU9" s="18">
        <v>955.33333333333337</v>
      </c>
      <c r="AV9" s="18">
        <v>1220</v>
      </c>
      <c r="AW9" s="18">
        <v>383380</v>
      </c>
      <c r="AX9" s="18">
        <v>35100</v>
      </c>
      <c r="AY9" s="18">
        <v>955</v>
      </c>
      <c r="AZ9" s="18">
        <v>1075.483870967742</v>
      </c>
      <c r="BA9" s="18">
        <v>1214.1935483870968</v>
      </c>
      <c r="BB9" s="18">
        <v>263481</v>
      </c>
      <c r="BC9" s="18">
        <v>53875</v>
      </c>
      <c r="BD9" s="18">
        <v>932</v>
      </c>
      <c r="BE9" s="18">
        <v>1091.3333333333333</v>
      </c>
      <c r="BF9" s="18">
        <v>1185</v>
      </c>
      <c r="BG9" s="18">
        <v>209056</v>
      </c>
      <c r="BH9" s="18">
        <v>43820</v>
      </c>
      <c r="BI9" s="18">
        <v>947</v>
      </c>
      <c r="BJ9" s="18">
        <v>1066.1290322580646</v>
      </c>
      <c r="BK9" s="18">
        <v>1160.9677419354839</v>
      </c>
    </row>
    <row r="10" spans="1:63" x14ac:dyDescent="0.35">
      <c r="A10" s="19">
        <v>6</v>
      </c>
      <c r="B10" s="20" t="s">
        <v>31</v>
      </c>
      <c r="C10" s="20" t="s">
        <v>32</v>
      </c>
      <c r="D10" s="18">
        <v>253426</v>
      </c>
      <c r="E10" s="18">
        <v>25373</v>
      </c>
      <c r="F10" s="18">
        <v>0</v>
      </c>
      <c r="G10" s="18">
        <v>652.25806451612902</v>
      </c>
      <c r="H10" s="18">
        <v>1057.9032258064517</v>
      </c>
      <c r="I10" s="18">
        <v>287365</v>
      </c>
      <c r="J10" s="18">
        <v>16394</v>
      </c>
      <c r="K10" s="18">
        <v>0</v>
      </c>
      <c r="L10" s="18">
        <v>669.46428571428567</v>
      </c>
      <c r="M10" s="18">
        <v>1407.1428571428571</v>
      </c>
      <c r="N10" s="18">
        <v>290054</v>
      </c>
      <c r="O10" s="18">
        <v>16456</v>
      </c>
      <c r="P10" s="18">
        <v>0</v>
      </c>
      <c r="Q10" s="18">
        <v>695</v>
      </c>
      <c r="R10" s="18">
        <v>1590.3225806451612</v>
      </c>
      <c r="S10" s="18">
        <v>311000</v>
      </c>
      <c r="T10" s="18">
        <v>34368</v>
      </c>
      <c r="U10" s="18">
        <v>0</v>
      </c>
      <c r="V10" s="18">
        <v>695</v>
      </c>
      <c r="W10" s="18">
        <v>1345.3333333333333</v>
      </c>
      <c r="X10" s="18">
        <v>396845</v>
      </c>
      <c r="Y10" s="18">
        <v>23534</v>
      </c>
      <c r="Z10" s="18">
        <v>0</v>
      </c>
      <c r="AA10" s="18">
        <v>750.32258064516134</v>
      </c>
      <c r="AB10" s="18">
        <v>1194.8387096774193</v>
      </c>
      <c r="AC10" s="18">
        <v>271804</v>
      </c>
      <c r="AD10" s="18">
        <v>22738</v>
      </c>
      <c r="AE10" s="18">
        <v>0</v>
      </c>
      <c r="AF10" s="18">
        <v>741.33333333333337</v>
      </c>
      <c r="AG10" s="18">
        <v>1192.3333333333333</v>
      </c>
      <c r="AH10" s="18">
        <v>320247</v>
      </c>
      <c r="AI10" s="18">
        <v>25281</v>
      </c>
      <c r="AJ10" s="18">
        <v>0</v>
      </c>
      <c r="AK10" s="18">
        <v>760.48387096774195</v>
      </c>
      <c r="AL10" s="18">
        <v>1190</v>
      </c>
      <c r="AM10" s="18">
        <v>205046</v>
      </c>
      <c r="AN10" s="18">
        <v>18125</v>
      </c>
      <c r="AO10" s="18">
        <v>0</v>
      </c>
      <c r="AP10" s="18">
        <v>867.09677419354841</v>
      </c>
      <c r="AQ10" s="18">
        <v>1190.9677419354839</v>
      </c>
      <c r="AR10" s="18">
        <v>259316</v>
      </c>
      <c r="AS10" s="18">
        <v>21680</v>
      </c>
      <c r="AT10" s="18">
        <v>0</v>
      </c>
      <c r="AU10" s="18">
        <v>1117.5</v>
      </c>
      <c r="AV10" s="18">
        <v>1190</v>
      </c>
      <c r="AW10" s="18">
        <v>219119</v>
      </c>
      <c r="AX10" s="18">
        <v>18518</v>
      </c>
      <c r="AY10" s="18">
        <v>0</v>
      </c>
      <c r="AZ10" s="18">
        <v>1162.258064516129</v>
      </c>
      <c r="BA10" s="18">
        <v>1194.8387096774193</v>
      </c>
      <c r="BB10" s="18">
        <v>224318</v>
      </c>
      <c r="BC10" s="18">
        <v>21273</v>
      </c>
      <c r="BD10" s="18">
        <v>0</v>
      </c>
      <c r="BE10" s="18">
        <v>1132.6666666666667</v>
      </c>
      <c r="BF10" s="18">
        <v>1179.3333333333333</v>
      </c>
      <c r="BG10" s="18">
        <v>215180</v>
      </c>
      <c r="BH10" s="18">
        <v>16326</v>
      </c>
      <c r="BI10" s="18">
        <v>0</v>
      </c>
      <c r="BJ10" s="18">
        <v>1084.8387096774193</v>
      </c>
      <c r="BK10" s="18">
        <v>1153.2258064516129</v>
      </c>
    </row>
    <row r="11" spans="1:63" x14ac:dyDescent="0.35">
      <c r="A11" s="19">
        <v>7</v>
      </c>
      <c r="B11" s="20" t="s">
        <v>33</v>
      </c>
      <c r="C11" s="20" t="s">
        <v>34</v>
      </c>
      <c r="D11" s="18">
        <v>549970</v>
      </c>
      <c r="E11" s="18">
        <v>40634</v>
      </c>
      <c r="F11" s="18">
        <v>0</v>
      </c>
      <c r="G11" s="18">
        <v>660</v>
      </c>
      <c r="H11" s="18">
        <v>1075.483870967742</v>
      </c>
      <c r="I11" s="18">
        <v>628075</v>
      </c>
      <c r="J11" s="18">
        <v>54351</v>
      </c>
      <c r="K11" s="18">
        <v>0</v>
      </c>
      <c r="L11" s="18">
        <v>672.85714285714289</v>
      </c>
      <c r="M11" s="18">
        <v>1397.8571428571429</v>
      </c>
      <c r="N11" s="18">
        <v>675603</v>
      </c>
      <c r="O11" s="18">
        <v>68200</v>
      </c>
      <c r="P11" s="18">
        <v>0</v>
      </c>
      <c r="Q11" s="18">
        <v>680</v>
      </c>
      <c r="R11" s="18">
        <v>1594.3548387096773</v>
      </c>
      <c r="S11" s="18">
        <v>740906</v>
      </c>
      <c r="T11" s="18">
        <v>68907</v>
      </c>
      <c r="U11" s="18">
        <v>0</v>
      </c>
      <c r="V11" s="18">
        <v>683.33333333333337</v>
      </c>
      <c r="W11" s="18">
        <v>1389</v>
      </c>
      <c r="X11" s="18">
        <v>754478</v>
      </c>
      <c r="Y11" s="18">
        <v>48566</v>
      </c>
      <c r="Z11" s="18">
        <v>0</v>
      </c>
      <c r="AA11" s="18">
        <v>692.09677419354841</v>
      </c>
      <c r="AB11" s="18">
        <v>1234.0322580645161</v>
      </c>
      <c r="AC11" s="18">
        <v>680504</v>
      </c>
      <c r="AD11" s="18">
        <v>51321</v>
      </c>
      <c r="AE11" s="18">
        <v>0</v>
      </c>
      <c r="AF11" s="18">
        <v>680.66666666666663</v>
      </c>
      <c r="AG11" s="18">
        <v>1210.3333333333333</v>
      </c>
      <c r="AH11" s="18">
        <v>833076</v>
      </c>
      <c r="AI11" s="18">
        <v>35761</v>
      </c>
      <c r="AJ11" s="18">
        <v>0</v>
      </c>
      <c r="AK11" s="18">
        <v>695.09677419354841</v>
      </c>
      <c r="AL11" s="18">
        <v>1220</v>
      </c>
      <c r="AM11" s="18">
        <v>565017</v>
      </c>
      <c r="AN11" s="18">
        <v>30369</v>
      </c>
      <c r="AO11" s="18">
        <v>0</v>
      </c>
      <c r="AP11" s="18">
        <v>703.74193548387098</v>
      </c>
      <c r="AQ11" s="18">
        <v>1220</v>
      </c>
      <c r="AR11" s="18">
        <v>537929</v>
      </c>
      <c r="AS11" s="18">
        <v>31367</v>
      </c>
      <c r="AT11" s="18">
        <v>0</v>
      </c>
      <c r="AU11" s="18">
        <v>979.66666666666663</v>
      </c>
      <c r="AV11" s="18">
        <v>1220</v>
      </c>
      <c r="AW11" s="18">
        <v>652495</v>
      </c>
      <c r="AX11" s="18">
        <v>40325</v>
      </c>
      <c r="AY11" s="18">
        <v>0</v>
      </c>
      <c r="AZ11" s="18">
        <v>1090.6451612903227</v>
      </c>
      <c r="BA11" s="18">
        <v>1220</v>
      </c>
      <c r="BB11" s="18">
        <v>407718</v>
      </c>
      <c r="BC11" s="18">
        <v>36642</v>
      </c>
      <c r="BD11" s="18">
        <v>0</v>
      </c>
      <c r="BE11" s="18">
        <v>1131.1666666666667</v>
      </c>
      <c r="BF11" s="18">
        <v>1195</v>
      </c>
      <c r="BG11" s="18">
        <v>361070</v>
      </c>
      <c r="BH11" s="18">
        <v>26998</v>
      </c>
      <c r="BI11" s="18">
        <v>0</v>
      </c>
      <c r="BJ11" s="18">
        <v>1085.483870967742</v>
      </c>
      <c r="BK11" s="18">
        <v>1190</v>
      </c>
    </row>
    <row r="12" spans="1:63" x14ac:dyDescent="0.35">
      <c r="A12" s="19">
        <v>8</v>
      </c>
      <c r="B12" s="20" t="s">
        <v>35</v>
      </c>
      <c r="C12" s="20" t="s">
        <v>36</v>
      </c>
      <c r="D12" s="18">
        <v>296019</v>
      </c>
      <c r="E12" s="18">
        <v>13335</v>
      </c>
      <c r="F12" s="18">
        <v>0</v>
      </c>
      <c r="G12" s="18">
        <v>660</v>
      </c>
      <c r="H12" s="18">
        <v>1075.483870967742</v>
      </c>
      <c r="I12" s="18">
        <v>318121</v>
      </c>
      <c r="J12" s="18">
        <v>20227</v>
      </c>
      <c r="K12" s="18">
        <v>0</v>
      </c>
      <c r="L12" s="18">
        <v>672.85714285714289</v>
      </c>
      <c r="M12" s="18">
        <v>1401.6071428571429</v>
      </c>
      <c r="N12" s="18">
        <v>397032</v>
      </c>
      <c r="O12" s="18">
        <v>28022</v>
      </c>
      <c r="P12" s="18">
        <v>0</v>
      </c>
      <c r="Q12" s="18">
        <v>680</v>
      </c>
      <c r="R12" s="18">
        <v>1594.3548387096773</v>
      </c>
      <c r="S12" s="18">
        <v>402344</v>
      </c>
      <c r="T12" s="18">
        <v>19251</v>
      </c>
      <c r="U12" s="18">
        <v>0</v>
      </c>
      <c r="V12" s="18">
        <v>683.33333333333337</v>
      </c>
      <c r="W12" s="18">
        <v>1389</v>
      </c>
      <c r="X12" s="18">
        <v>495324</v>
      </c>
      <c r="Y12" s="18">
        <v>21339</v>
      </c>
      <c r="Z12" s="18">
        <v>0</v>
      </c>
      <c r="AA12" s="18">
        <v>692.09677419354841</v>
      </c>
      <c r="AB12" s="18">
        <v>1232.0967741935483</v>
      </c>
      <c r="AC12" s="18">
        <v>351197</v>
      </c>
      <c r="AD12" s="18">
        <v>22584</v>
      </c>
      <c r="AE12" s="18">
        <v>0</v>
      </c>
      <c r="AF12" s="18">
        <v>683.66666666666663</v>
      </c>
      <c r="AG12" s="18">
        <v>1210.3333333333333</v>
      </c>
      <c r="AH12" s="18">
        <v>431477</v>
      </c>
      <c r="AI12" s="18">
        <v>38290</v>
      </c>
      <c r="AJ12" s="18">
        <v>0</v>
      </c>
      <c r="AK12" s="18">
        <v>695.09677419354841</v>
      </c>
      <c r="AL12" s="18">
        <v>1220</v>
      </c>
      <c r="AM12" s="18">
        <v>185441</v>
      </c>
      <c r="AN12" s="18">
        <v>10409</v>
      </c>
      <c r="AO12" s="18">
        <v>0</v>
      </c>
      <c r="AP12" s="18">
        <v>703.74193548387098</v>
      </c>
      <c r="AQ12" s="18">
        <v>1220</v>
      </c>
      <c r="AR12" s="18">
        <v>210166</v>
      </c>
      <c r="AS12" s="18">
        <v>22056</v>
      </c>
      <c r="AT12" s="18">
        <v>0</v>
      </c>
      <c r="AU12" s="18">
        <v>981</v>
      </c>
      <c r="AV12" s="18">
        <v>1220</v>
      </c>
      <c r="AW12" s="18">
        <v>420414</v>
      </c>
      <c r="AX12" s="18">
        <v>15815</v>
      </c>
      <c r="AY12" s="18">
        <v>0</v>
      </c>
      <c r="AZ12" s="18">
        <v>1090.6451612903227</v>
      </c>
      <c r="BA12" s="18">
        <v>1220</v>
      </c>
      <c r="BB12" s="18">
        <v>320518</v>
      </c>
      <c r="BC12" s="18">
        <v>17409</v>
      </c>
      <c r="BD12" s="18">
        <v>0</v>
      </c>
      <c r="BE12" s="18">
        <v>1131.8333333333333</v>
      </c>
      <c r="BF12" s="18">
        <v>1195</v>
      </c>
      <c r="BG12" s="18">
        <v>258921</v>
      </c>
      <c r="BH12" s="18">
        <v>8704</v>
      </c>
      <c r="BI12" s="18">
        <v>0</v>
      </c>
      <c r="BJ12" s="18">
        <v>1086.7741935483871</v>
      </c>
      <c r="BK12" s="18">
        <v>1190</v>
      </c>
    </row>
    <row r="13" spans="1:63" x14ac:dyDescent="0.35">
      <c r="A13" s="19">
        <v>9</v>
      </c>
      <c r="B13" s="20" t="s">
        <v>37</v>
      </c>
      <c r="C13" s="20" t="s">
        <v>38</v>
      </c>
      <c r="D13" s="18">
        <v>158064</v>
      </c>
      <c r="E13" s="18">
        <v>4163</v>
      </c>
      <c r="F13" s="18">
        <v>0</v>
      </c>
      <c r="G13" s="18">
        <v>625</v>
      </c>
      <c r="H13" s="18">
        <v>1057.741935483871</v>
      </c>
      <c r="I13" s="18">
        <v>127613</v>
      </c>
      <c r="J13" s="18">
        <v>8577</v>
      </c>
      <c r="K13" s="18">
        <v>0</v>
      </c>
      <c r="L13" s="18">
        <v>644.64285714285711</v>
      </c>
      <c r="M13" s="18">
        <v>1393.75</v>
      </c>
      <c r="N13" s="18">
        <v>110502</v>
      </c>
      <c r="O13" s="18">
        <v>4834</v>
      </c>
      <c r="P13" s="18">
        <v>0</v>
      </c>
      <c r="Q13" s="18">
        <v>663.87096774193549</v>
      </c>
      <c r="R13" s="18">
        <v>1562.9032258064517</v>
      </c>
      <c r="S13" s="18">
        <v>170677</v>
      </c>
      <c r="T13" s="18">
        <v>6509</v>
      </c>
      <c r="U13" s="18">
        <v>0</v>
      </c>
      <c r="V13" s="18">
        <v>663.33333333333337</v>
      </c>
      <c r="W13" s="18">
        <v>1393.3333333333333</v>
      </c>
      <c r="X13" s="18">
        <v>76069</v>
      </c>
      <c r="Y13" s="18">
        <v>5194</v>
      </c>
      <c r="Z13" s="18">
        <v>0</v>
      </c>
      <c r="AA13" s="18">
        <v>746.12903225806451</v>
      </c>
      <c r="AB13" s="18">
        <v>1228.3870967741937</v>
      </c>
      <c r="AC13" s="18">
        <v>79413</v>
      </c>
      <c r="AD13" s="18">
        <v>2960</v>
      </c>
      <c r="AE13" s="18">
        <v>0</v>
      </c>
      <c r="AF13" s="18">
        <v>670.66666666666663</v>
      </c>
      <c r="AG13" s="18">
        <v>1219.3333333333333</v>
      </c>
      <c r="AH13" s="18">
        <v>232003</v>
      </c>
      <c r="AI13" s="18">
        <v>5424</v>
      </c>
      <c r="AJ13" s="18">
        <v>0</v>
      </c>
      <c r="AK13" s="18">
        <v>734.19354838709683</v>
      </c>
      <c r="AL13" s="18">
        <v>1200</v>
      </c>
      <c r="AM13" s="18">
        <v>102345</v>
      </c>
      <c r="AN13" s="18">
        <v>2610</v>
      </c>
      <c r="AO13" s="18">
        <v>0</v>
      </c>
      <c r="AP13" s="18">
        <v>818.06451612903231</v>
      </c>
      <c r="AQ13" s="18">
        <v>1200</v>
      </c>
      <c r="AR13" s="18">
        <v>151975</v>
      </c>
      <c r="AS13" s="18">
        <v>3020</v>
      </c>
      <c r="AT13" s="18">
        <v>0</v>
      </c>
      <c r="AU13" s="18">
        <v>998.66666666666663</v>
      </c>
      <c r="AV13" s="18">
        <v>1200</v>
      </c>
      <c r="AW13" s="18">
        <v>148017</v>
      </c>
      <c r="AX13" s="18">
        <v>2737</v>
      </c>
      <c r="AY13" s="18">
        <v>0</v>
      </c>
      <c r="AZ13" s="18">
        <v>1088.3870967741937</v>
      </c>
      <c r="BA13" s="18">
        <v>1200</v>
      </c>
      <c r="BB13" s="18">
        <v>79399</v>
      </c>
      <c r="BC13" s="18">
        <v>3026</v>
      </c>
      <c r="BD13" s="18">
        <v>0</v>
      </c>
      <c r="BE13" s="18">
        <v>1090.6666666666667</v>
      </c>
      <c r="BF13" s="18">
        <v>1178.3333333333333</v>
      </c>
      <c r="BG13" s="18">
        <v>72558</v>
      </c>
      <c r="BH13" s="18">
        <v>4096</v>
      </c>
      <c r="BI13" s="18">
        <v>0</v>
      </c>
      <c r="BJ13" s="18">
        <v>1044.516129032258</v>
      </c>
      <c r="BK13" s="18">
        <v>1150</v>
      </c>
    </row>
    <row r="14" spans="1:63" x14ac:dyDescent="0.35">
      <c r="A14" s="19">
        <v>10</v>
      </c>
      <c r="B14" s="20" t="s">
        <v>39</v>
      </c>
      <c r="C14" s="20" t="s">
        <v>40</v>
      </c>
      <c r="D14" s="18">
        <v>282728</v>
      </c>
      <c r="E14" s="18">
        <v>7871</v>
      </c>
      <c r="F14" s="18">
        <v>362</v>
      </c>
      <c r="G14" s="18">
        <v>650.48387096774195</v>
      </c>
      <c r="H14" s="18">
        <v>1053.7096774193549</v>
      </c>
      <c r="I14" s="18">
        <v>275307</v>
      </c>
      <c r="J14" s="18">
        <v>14417</v>
      </c>
      <c r="K14" s="18">
        <v>274</v>
      </c>
      <c r="L14" s="18">
        <v>668.75</v>
      </c>
      <c r="M14" s="18">
        <v>1372.5</v>
      </c>
      <c r="N14" s="18">
        <v>248905</v>
      </c>
      <c r="O14" s="18">
        <v>14158</v>
      </c>
      <c r="P14" s="18">
        <v>83</v>
      </c>
      <c r="Q14" s="18">
        <v>695</v>
      </c>
      <c r="R14" s="18">
        <v>1590.3225806451612</v>
      </c>
      <c r="S14" s="18">
        <v>262811</v>
      </c>
      <c r="T14" s="18">
        <v>48969</v>
      </c>
      <c r="U14" s="18">
        <v>0</v>
      </c>
      <c r="V14" s="18">
        <v>695</v>
      </c>
      <c r="W14" s="18">
        <v>1353.6666666666667</v>
      </c>
      <c r="X14" s="18">
        <v>264549</v>
      </c>
      <c r="Y14" s="18">
        <v>18683</v>
      </c>
      <c r="Z14" s="18">
        <v>0</v>
      </c>
      <c r="AA14" s="18">
        <v>742.58064516129036</v>
      </c>
      <c r="AB14" s="18">
        <v>1194.8387096774193</v>
      </c>
      <c r="AC14" s="18">
        <v>227898</v>
      </c>
      <c r="AD14" s="18">
        <v>10069</v>
      </c>
      <c r="AE14" s="18">
        <v>0</v>
      </c>
      <c r="AF14" s="18">
        <v>721</v>
      </c>
      <c r="AG14" s="18">
        <v>1201.3333333333333</v>
      </c>
      <c r="AH14" s="18">
        <v>252946</v>
      </c>
      <c r="AI14" s="18">
        <v>6289</v>
      </c>
      <c r="AJ14" s="18">
        <v>0</v>
      </c>
      <c r="AK14" s="18">
        <v>749.51612903225805</v>
      </c>
      <c r="AL14" s="18">
        <v>1220</v>
      </c>
      <c r="AM14" s="18">
        <v>168446</v>
      </c>
      <c r="AN14" s="18">
        <v>5746</v>
      </c>
      <c r="AO14" s="18">
        <v>0</v>
      </c>
      <c r="AP14" s="18">
        <v>850</v>
      </c>
      <c r="AQ14" s="18">
        <v>1220</v>
      </c>
      <c r="AR14" s="18">
        <v>201027</v>
      </c>
      <c r="AS14" s="18">
        <v>4536</v>
      </c>
      <c r="AT14" s="18">
        <v>0</v>
      </c>
      <c r="AU14" s="18">
        <v>1105.3333333333333</v>
      </c>
      <c r="AV14" s="18">
        <v>1220</v>
      </c>
      <c r="AW14" s="18">
        <v>185205</v>
      </c>
      <c r="AX14" s="18">
        <v>4317</v>
      </c>
      <c r="AY14" s="18">
        <v>0</v>
      </c>
      <c r="AZ14" s="18">
        <v>1150.6451612903227</v>
      </c>
      <c r="BA14" s="18">
        <v>1211.2903225806451</v>
      </c>
      <c r="BB14" s="18">
        <v>138382</v>
      </c>
      <c r="BC14" s="18">
        <v>14035</v>
      </c>
      <c r="BD14" s="18">
        <v>0</v>
      </c>
      <c r="BE14" s="18">
        <v>1138.3333333333333</v>
      </c>
      <c r="BF14" s="18">
        <v>1179.3333333333333</v>
      </c>
      <c r="BG14" s="18">
        <v>142184</v>
      </c>
      <c r="BH14" s="18">
        <v>17068</v>
      </c>
      <c r="BI14" s="18">
        <v>0</v>
      </c>
      <c r="BJ14" s="18">
        <v>1073.8709677419354</v>
      </c>
      <c r="BK14" s="18">
        <v>1153.2258064516129</v>
      </c>
    </row>
    <row r="15" spans="1:63" x14ac:dyDescent="0.35">
      <c r="A15" s="19">
        <v>11</v>
      </c>
      <c r="B15" s="20" t="s">
        <v>41</v>
      </c>
      <c r="C15" s="20" t="s">
        <v>42</v>
      </c>
      <c r="D15" s="18">
        <v>212457</v>
      </c>
      <c r="E15" s="18">
        <v>9281</v>
      </c>
      <c r="F15" s="18">
        <v>0</v>
      </c>
      <c r="G15" s="18">
        <v>650.48387096774195</v>
      </c>
      <c r="H15" s="18">
        <v>1053.7096774193549</v>
      </c>
      <c r="I15" s="18">
        <v>188130</v>
      </c>
      <c r="J15" s="18">
        <v>7997</v>
      </c>
      <c r="K15" s="18">
        <v>0</v>
      </c>
      <c r="L15" s="18">
        <v>668.75</v>
      </c>
      <c r="M15" s="18">
        <v>1385</v>
      </c>
      <c r="N15" s="18">
        <v>209388</v>
      </c>
      <c r="O15" s="18">
        <v>10045</v>
      </c>
      <c r="P15" s="18">
        <v>0</v>
      </c>
      <c r="Q15" s="18">
        <v>695</v>
      </c>
      <c r="R15" s="18">
        <v>1590.3225806451612</v>
      </c>
      <c r="S15" s="18">
        <v>234918</v>
      </c>
      <c r="T15" s="18">
        <v>12715</v>
      </c>
      <c r="U15" s="18">
        <v>0</v>
      </c>
      <c r="V15" s="18">
        <v>695</v>
      </c>
      <c r="W15" s="18">
        <v>1353.6666666666667</v>
      </c>
      <c r="X15" s="18">
        <v>232921</v>
      </c>
      <c r="Y15" s="18">
        <v>8912</v>
      </c>
      <c r="Z15" s="18">
        <v>0</v>
      </c>
      <c r="AA15" s="18">
        <v>742.58064516129036</v>
      </c>
      <c r="AB15" s="18">
        <v>1197.4193548387098</v>
      </c>
      <c r="AC15" s="18">
        <v>228757</v>
      </c>
      <c r="AD15" s="18">
        <v>8454</v>
      </c>
      <c r="AE15" s="18">
        <v>0</v>
      </c>
      <c r="AF15" s="18">
        <v>721.66666666666663</v>
      </c>
      <c r="AG15" s="18">
        <v>1201.3333333333333</v>
      </c>
      <c r="AH15" s="18">
        <v>259902</v>
      </c>
      <c r="AI15" s="18">
        <v>4944</v>
      </c>
      <c r="AJ15" s="18">
        <v>0</v>
      </c>
      <c r="AK15" s="18">
        <v>749.51612903225805</v>
      </c>
      <c r="AL15" s="18">
        <v>1219.3548387096773</v>
      </c>
      <c r="AM15" s="18">
        <v>133957</v>
      </c>
      <c r="AN15" s="18">
        <v>5289</v>
      </c>
      <c r="AO15" s="18">
        <v>0</v>
      </c>
      <c r="AP15" s="18">
        <v>850</v>
      </c>
      <c r="AQ15" s="18">
        <v>1220</v>
      </c>
      <c r="AR15" s="18">
        <v>182008</v>
      </c>
      <c r="AS15" s="18">
        <v>18001</v>
      </c>
      <c r="AT15" s="18">
        <v>0</v>
      </c>
      <c r="AU15" s="18">
        <v>1106.8333333333333</v>
      </c>
      <c r="AV15" s="18">
        <v>1220</v>
      </c>
      <c r="AW15" s="18">
        <v>235130</v>
      </c>
      <c r="AX15" s="18">
        <v>6214</v>
      </c>
      <c r="AY15" s="18">
        <v>0</v>
      </c>
      <c r="AZ15" s="18">
        <v>1150.6451612903227</v>
      </c>
      <c r="BA15" s="18">
        <v>1211.2903225806451</v>
      </c>
      <c r="BB15" s="18">
        <v>219252</v>
      </c>
      <c r="BC15" s="18">
        <v>6748</v>
      </c>
      <c r="BD15" s="18">
        <v>0</v>
      </c>
      <c r="BE15" s="18">
        <v>1138.3333333333333</v>
      </c>
      <c r="BF15" s="18">
        <v>1179.3333333333333</v>
      </c>
      <c r="BG15" s="18">
        <v>208163</v>
      </c>
      <c r="BH15" s="18">
        <v>9841</v>
      </c>
      <c r="BI15" s="18">
        <v>0</v>
      </c>
      <c r="BJ15" s="18">
        <v>1081.6129032258063</v>
      </c>
      <c r="BK15" s="18">
        <v>1153.2258064516129</v>
      </c>
    </row>
    <row r="16" spans="1:63" x14ac:dyDescent="0.35">
      <c r="A16" s="19">
        <v>12</v>
      </c>
      <c r="B16" s="21" t="s">
        <v>43</v>
      </c>
      <c r="C16" s="21" t="s">
        <v>44</v>
      </c>
      <c r="D16" s="18">
        <v>396944</v>
      </c>
      <c r="E16" s="18">
        <v>73915</v>
      </c>
      <c r="F16" s="18">
        <v>0</v>
      </c>
      <c r="G16" s="18">
        <v>656.29032258064512</v>
      </c>
      <c r="H16" s="18">
        <v>1057.9032258064517</v>
      </c>
      <c r="I16" s="18">
        <v>385575</v>
      </c>
      <c r="J16" s="18">
        <v>73622</v>
      </c>
      <c r="K16" s="18">
        <v>0</v>
      </c>
      <c r="L16" s="18">
        <v>670.17857142857144</v>
      </c>
      <c r="M16" s="18">
        <v>1406.4285714285713</v>
      </c>
      <c r="N16" s="18">
        <v>396199</v>
      </c>
      <c r="O16" s="18">
        <v>56825</v>
      </c>
      <c r="P16" s="18">
        <v>8</v>
      </c>
      <c r="Q16" s="18">
        <v>695</v>
      </c>
      <c r="R16" s="18">
        <v>1590.3225806451612</v>
      </c>
      <c r="S16" s="18">
        <v>376272</v>
      </c>
      <c r="T16" s="18">
        <v>82028</v>
      </c>
      <c r="U16" s="18">
        <v>7</v>
      </c>
      <c r="V16" s="18">
        <v>693.5</v>
      </c>
      <c r="W16" s="18">
        <v>1353.6666666666667</v>
      </c>
      <c r="X16" s="18">
        <v>387872</v>
      </c>
      <c r="Y16" s="18">
        <v>81793</v>
      </c>
      <c r="Z16" s="18">
        <v>0</v>
      </c>
      <c r="AA16" s="18">
        <v>741.61290322580646</v>
      </c>
      <c r="AB16" s="18">
        <v>1197.4193548387098</v>
      </c>
      <c r="AC16" s="18">
        <v>309969</v>
      </c>
      <c r="AD16" s="18">
        <v>80931</v>
      </c>
      <c r="AE16" s="18">
        <v>0</v>
      </c>
      <c r="AF16" s="18">
        <v>732.33333333333337</v>
      </c>
      <c r="AG16" s="18">
        <v>1182.3333333333333</v>
      </c>
      <c r="AH16" s="18">
        <v>375359</v>
      </c>
      <c r="AI16" s="18">
        <v>69998</v>
      </c>
      <c r="AJ16" s="18">
        <v>0</v>
      </c>
      <c r="AK16" s="18">
        <v>761.77419354838707</v>
      </c>
      <c r="AL16" s="18">
        <v>1190</v>
      </c>
      <c r="AM16" s="18">
        <v>280321</v>
      </c>
      <c r="AN16" s="18">
        <v>68473</v>
      </c>
      <c r="AO16" s="18">
        <v>0</v>
      </c>
      <c r="AP16" s="18">
        <v>867.09677419354841</v>
      </c>
      <c r="AQ16" s="18">
        <v>1190</v>
      </c>
      <c r="AR16" s="18">
        <v>247611</v>
      </c>
      <c r="AS16" s="18">
        <v>68853</v>
      </c>
      <c r="AT16" s="18">
        <v>0</v>
      </c>
      <c r="AU16" s="18">
        <v>1117.5</v>
      </c>
      <c r="AV16" s="18">
        <v>1190</v>
      </c>
      <c r="AW16" s="18">
        <v>276939</v>
      </c>
      <c r="AX16" s="18">
        <v>45772</v>
      </c>
      <c r="AY16" s="18">
        <v>0</v>
      </c>
      <c r="AZ16" s="18">
        <v>1161.6129032258063</v>
      </c>
      <c r="BA16" s="18">
        <v>1194.8387096774193</v>
      </c>
      <c r="BB16" s="18">
        <v>280986</v>
      </c>
      <c r="BC16" s="18">
        <v>52022</v>
      </c>
      <c r="BD16" s="18">
        <v>252</v>
      </c>
      <c r="BE16" s="18">
        <v>1132.6666666666667</v>
      </c>
      <c r="BF16" s="18">
        <v>1179.3333333333333</v>
      </c>
      <c r="BG16" s="18">
        <v>280570</v>
      </c>
      <c r="BH16" s="18">
        <v>53484</v>
      </c>
      <c r="BI16" s="18">
        <v>615</v>
      </c>
      <c r="BJ16" s="18">
        <v>1088.0645161290322</v>
      </c>
      <c r="BK16" s="18">
        <v>1153.2258064516129</v>
      </c>
    </row>
    <row r="17" spans="1:63" x14ac:dyDescent="0.35">
      <c r="A17" s="19">
        <v>13</v>
      </c>
      <c r="B17" s="21" t="s">
        <v>45</v>
      </c>
      <c r="C17" s="21" t="s">
        <v>46</v>
      </c>
      <c r="D17" s="18">
        <v>269229</v>
      </c>
      <c r="E17" s="18">
        <v>77107</v>
      </c>
      <c r="F17" s="18">
        <v>0</v>
      </c>
      <c r="G17" s="18">
        <v>656.29032258064512</v>
      </c>
      <c r="H17" s="18">
        <v>1057.9032258064517</v>
      </c>
      <c r="I17" s="18">
        <v>274982</v>
      </c>
      <c r="J17" s="18">
        <v>68693</v>
      </c>
      <c r="K17" s="18">
        <v>0</v>
      </c>
      <c r="L17" s="18">
        <v>670.17857142857144</v>
      </c>
      <c r="M17" s="18">
        <v>1406.4285714285713</v>
      </c>
      <c r="N17" s="18">
        <v>249394</v>
      </c>
      <c r="O17" s="18">
        <v>71653</v>
      </c>
      <c r="P17" s="18">
        <v>0</v>
      </c>
      <c r="Q17" s="18">
        <v>695</v>
      </c>
      <c r="R17" s="18">
        <v>1590.3225806451612</v>
      </c>
      <c r="S17" s="18">
        <v>290318</v>
      </c>
      <c r="T17" s="18">
        <v>70938</v>
      </c>
      <c r="U17" s="18">
        <v>0</v>
      </c>
      <c r="V17" s="18">
        <v>695</v>
      </c>
      <c r="W17" s="18">
        <v>1353.6666666666667</v>
      </c>
      <c r="X17" s="18">
        <v>258413</v>
      </c>
      <c r="Y17" s="18">
        <v>60193</v>
      </c>
      <c r="Z17" s="18">
        <v>0</v>
      </c>
      <c r="AA17" s="18">
        <v>740.64516129032256</v>
      </c>
      <c r="AB17" s="18">
        <v>1197.4193548387098</v>
      </c>
      <c r="AC17" s="18">
        <v>260675</v>
      </c>
      <c r="AD17" s="18">
        <v>51587</v>
      </c>
      <c r="AE17" s="18">
        <v>0</v>
      </c>
      <c r="AF17" s="18">
        <v>732.33333333333337</v>
      </c>
      <c r="AG17" s="18">
        <v>1182.3333333333333</v>
      </c>
      <c r="AH17" s="18">
        <v>262653</v>
      </c>
      <c r="AI17" s="18">
        <v>50796</v>
      </c>
      <c r="AJ17" s="18">
        <v>0</v>
      </c>
      <c r="AK17" s="18">
        <v>761.77419354838707</v>
      </c>
      <c r="AL17" s="18">
        <v>1190</v>
      </c>
      <c r="AM17" s="18">
        <v>152688</v>
      </c>
      <c r="AN17" s="18">
        <v>47718</v>
      </c>
      <c r="AO17" s="18">
        <v>0</v>
      </c>
      <c r="AP17" s="18">
        <v>867.09677419354841</v>
      </c>
      <c r="AQ17" s="18">
        <v>1190</v>
      </c>
      <c r="AR17" s="18">
        <v>198560</v>
      </c>
      <c r="AS17" s="18">
        <v>56116</v>
      </c>
      <c r="AT17" s="18">
        <v>0</v>
      </c>
      <c r="AU17" s="18">
        <v>1117.5</v>
      </c>
      <c r="AV17" s="18">
        <v>1190</v>
      </c>
      <c r="AW17" s="18">
        <v>240559</v>
      </c>
      <c r="AX17" s="18">
        <v>58541</v>
      </c>
      <c r="AY17" s="18">
        <v>0</v>
      </c>
      <c r="AZ17" s="18">
        <v>1161.6129032258063</v>
      </c>
      <c r="BA17" s="18">
        <v>1194.8387096774193</v>
      </c>
      <c r="BB17" s="18">
        <v>233769</v>
      </c>
      <c r="BC17" s="18">
        <v>76162</v>
      </c>
      <c r="BD17" s="18">
        <v>0</v>
      </c>
      <c r="BE17" s="18">
        <v>1132.6666666666667</v>
      </c>
      <c r="BF17" s="18">
        <v>1179.3333333333333</v>
      </c>
      <c r="BG17" s="18">
        <v>224399</v>
      </c>
      <c r="BH17" s="18">
        <v>22538</v>
      </c>
      <c r="BI17" s="18">
        <v>93</v>
      </c>
      <c r="BJ17" s="18">
        <v>1087.4193548387098</v>
      </c>
      <c r="BK17" s="18">
        <v>1153.2258064516129</v>
      </c>
    </row>
    <row r="18" spans="1:63" x14ac:dyDescent="0.35">
      <c r="A18" s="19">
        <v>14</v>
      </c>
      <c r="B18" s="20" t="s">
        <v>47</v>
      </c>
      <c r="C18" s="20" t="s">
        <v>48</v>
      </c>
      <c r="D18" s="18">
        <v>242418</v>
      </c>
      <c r="E18" s="18">
        <v>25492</v>
      </c>
      <c r="F18" s="18">
        <v>0</v>
      </c>
      <c r="G18" s="18">
        <v>656.29032258064512</v>
      </c>
      <c r="H18" s="18">
        <v>1057.9032258064517</v>
      </c>
      <c r="I18" s="18">
        <v>223851</v>
      </c>
      <c r="J18" s="18">
        <v>21774</v>
      </c>
      <c r="K18" s="18">
        <v>0</v>
      </c>
      <c r="L18" s="18">
        <v>670.17857142857144</v>
      </c>
      <c r="M18" s="18">
        <v>1406.4285714285713</v>
      </c>
      <c r="N18" s="18">
        <v>262966</v>
      </c>
      <c r="O18" s="18">
        <v>25457</v>
      </c>
      <c r="P18" s="18">
        <v>0</v>
      </c>
      <c r="Q18" s="18">
        <v>695</v>
      </c>
      <c r="R18" s="18">
        <v>1590.3225806451612</v>
      </c>
      <c r="S18" s="18">
        <v>259929</v>
      </c>
      <c r="T18" s="18">
        <v>33930</v>
      </c>
      <c r="U18" s="18">
        <v>0</v>
      </c>
      <c r="V18" s="18">
        <v>695</v>
      </c>
      <c r="W18" s="18">
        <v>1353.6666666666667</v>
      </c>
      <c r="X18" s="18">
        <v>273427</v>
      </c>
      <c r="Y18" s="18">
        <v>29916</v>
      </c>
      <c r="Z18" s="18">
        <v>0</v>
      </c>
      <c r="AA18" s="18">
        <v>741.61290322580646</v>
      </c>
      <c r="AB18" s="18">
        <v>1197.4193548387098</v>
      </c>
      <c r="AC18" s="18">
        <v>279336</v>
      </c>
      <c r="AD18" s="18">
        <v>29528</v>
      </c>
      <c r="AE18" s="18">
        <v>0</v>
      </c>
      <c r="AF18" s="18">
        <v>732.33333333333337</v>
      </c>
      <c r="AG18" s="18">
        <v>1182.3333333333333</v>
      </c>
      <c r="AH18" s="18">
        <v>276607</v>
      </c>
      <c r="AI18" s="18">
        <v>25789</v>
      </c>
      <c r="AJ18" s="18">
        <v>0</v>
      </c>
      <c r="AK18" s="18">
        <v>761.77419354838707</v>
      </c>
      <c r="AL18" s="18">
        <v>1190</v>
      </c>
      <c r="AM18" s="18">
        <v>138634</v>
      </c>
      <c r="AN18" s="18">
        <v>24273</v>
      </c>
      <c r="AO18" s="18">
        <v>0</v>
      </c>
      <c r="AP18" s="18">
        <v>867.09677419354841</v>
      </c>
      <c r="AQ18" s="18">
        <v>1190</v>
      </c>
      <c r="AR18" s="18">
        <v>218694</v>
      </c>
      <c r="AS18" s="18">
        <v>30284</v>
      </c>
      <c r="AT18" s="18">
        <v>0</v>
      </c>
      <c r="AU18" s="18">
        <v>1117.5</v>
      </c>
      <c r="AV18" s="18">
        <v>1190</v>
      </c>
      <c r="AW18" s="18">
        <v>243298</v>
      </c>
      <c r="AX18" s="18">
        <v>36444</v>
      </c>
      <c r="AY18" s="18">
        <v>0</v>
      </c>
      <c r="AZ18" s="18">
        <v>1161.6129032258063</v>
      </c>
      <c r="BA18" s="18">
        <v>1194.8387096774193</v>
      </c>
      <c r="BB18" s="18">
        <v>251532</v>
      </c>
      <c r="BC18" s="18">
        <v>37647</v>
      </c>
      <c r="BD18" s="18">
        <v>0</v>
      </c>
      <c r="BE18" s="18">
        <v>1132.6666666666667</v>
      </c>
      <c r="BF18" s="18">
        <v>1179.3333333333333</v>
      </c>
      <c r="BG18" s="18">
        <v>233950</v>
      </c>
      <c r="BH18" s="18">
        <v>22023</v>
      </c>
      <c r="BI18" s="18">
        <v>0</v>
      </c>
      <c r="BJ18" s="18">
        <v>1088.0645161290322</v>
      </c>
      <c r="BK18" s="18">
        <v>1153.2258064516129</v>
      </c>
    </row>
    <row r="19" spans="1:63" x14ac:dyDescent="0.35">
      <c r="A19" s="19">
        <v>15</v>
      </c>
      <c r="B19" s="20" t="s">
        <v>49</v>
      </c>
      <c r="C19" s="20" t="s">
        <v>50</v>
      </c>
      <c r="D19" s="18">
        <v>418462</v>
      </c>
      <c r="E19" s="18">
        <v>72116</v>
      </c>
      <c r="F19" s="18">
        <v>0</v>
      </c>
      <c r="G19" s="18">
        <v>656.29032258064512</v>
      </c>
      <c r="H19" s="18">
        <v>1057.741935483871</v>
      </c>
      <c r="I19" s="18">
        <v>423329</v>
      </c>
      <c r="J19" s="18">
        <v>47444</v>
      </c>
      <c r="K19" s="18">
        <v>0</v>
      </c>
      <c r="L19" s="18">
        <v>670.17857142857144</v>
      </c>
      <c r="M19" s="18">
        <v>1407.1428571428571</v>
      </c>
      <c r="N19" s="18">
        <v>443501</v>
      </c>
      <c r="O19" s="18">
        <v>62164</v>
      </c>
      <c r="P19" s="18">
        <v>0</v>
      </c>
      <c r="Q19" s="18">
        <v>695</v>
      </c>
      <c r="R19" s="18">
        <v>1590.3225806451612</v>
      </c>
      <c r="S19" s="18">
        <v>447707</v>
      </c>
      <c r="T19" s="18">
        <v>102358</v>
      </c>
      <c r="U19" s="18">
        <v>0</v>
      </c>
      <c r="V19" s="18">
        <v>695</v>
      </c>
      <c r="W19" s="18">
        <v>1353.6666666666667</v>
      </c>
      <c r="X19" s="18">
        <v>363324</v>
      </c>
      <c r="Y19" s="18">
        <v>47369</v>
      </c>
      <c r="Z19" s="18">
        <v>0</v>
      </c>
      <c r="AA19" s="18">
        <v>741.61290322580646</v>
      </c>
      <c r="AB19" s="18">
        <v>1194.8387096774193</v>
      </c>
      <c r="AC19" s="18">
        <v>347638</v>
      </c>
      <c r="AD19" s="18">
        <v>29842</v>
      </c>
      <c r="AE19" s="18">
        <v>0</v>
      </c>
      <c r="AF19" s="18">
        <v>732.33333333333337</v>
      </c>
      <c r="AG19" s="18">
        <v>1182.3333333333333</v>
      </c>
      <c r="AH19" s="18">
        <v>337536</v>
      </c>
      <c r="AI19" s="18">
        <v>40005</v>
      </c>
      <c r="AJ19" s="18">
        <v>0</v>
      </c>
      <c r="AK19" s="18">
        <v>761.77419354838707</v>
      </c>
      <c r="AL19" s="18">
        <v>1190</v>
      </c>
      <c r="AM19" s="18">
        <v>244189</v>
      </c>
      <c r="AN19" s="18">
        <v>25218</v>
      </c>
      <c r="AO19" s="18">
        <v>0</v>
      </c>
      <c r="AP19" s="18">
        <v>867.09677419354841</v>
      </c>
      <c r="AQ19" s="18">
        <v>1190</v>
      </c>
      <c r="AR19" s="18">
        <v>288779</v>
      </c>
      <c r="AS19" s="18">
        <v>51290</v>
      </c>
      <c r="AT19" s="18">
        <v>0</v>
      </c>
      <c r="AU19" s="18">
        <v>1117.5</v>
      </c>
      <c r="AV19" s="18">
        <v>1190</v>
      </c>
      <c r="AW19" s="18">
        <v>314994</v>
      </c>
      <c r="AX19" s="18">
        <v>28802</v>
      </c>
      <c r="AY19" s="18">
        <v>0</v>
      </c>
      <c r="AZ19" s="18">
        <v>1161.6129032258063</v>
      </c>
      <c r="BA19" s="18">
        <v>1194.8387096774193</v>
      </c>
      <c r="BB19" s="18">
        <v>325514</v>
      </c>
      <c r="BC19" s="18">
        <v>33564</v>
      </c>
      <c r="BD19" s="18">
        <v>0</v>
      </c>
      <c r="BE19" s="18">
        <v>1132.6666666666667</v>
      </c>
      <c r="BF19" s="18">
        <v>1179.3333333333333</v>
      </c>
      <c r="BG19" s="18">
        <v>295172</v>
      </c>
      <c r="BH19" s="18">
        <v>31522</v>
      </c>
      <c r="BI19" s="18">
        <v>0</v>
      </c>
      <c r="BJ19" s="18">
        <v>1087.4193548387098</v>
      </c>
      <c r="BK19" s="18">
        <v>1153.2258064516129</v>
      </c>
    </row>
    <row r="20" spans="1:63" x14ac:dyDescent="0.35">
      <c r="A20" s="19">
        <v>16</v>
      </c>
      <c r="B20" s="21" t="s">
        <v>51</v>
      </c>
      <c r="C20" s="21" t="s">
        <v>52</v>
      </c>
      <c r="D20" s="18">
        <v>256295</v>
      </c>
      <c r="E20" s="18">
        <v>46262</v>
      </c>
      <c r="F20" s="18">
        <v>1100</v>
      </c>
      <c r="G20" s="18">
        <v>656.29032258064512</v>
      </c>
      <c r="H20" s="18">
        <v>1065.8064516129032</v>
      </c>
      <c r="I20" s="18">
        <v>258449</v>
      </c>
      <c r="J20" s="18">
        <v>44267</v>
      </c>
      <c r="K20" s="18">
        <v>0</v>
      </c>
      <c r="L20" s="18">
        <v>669.46428571428567</v>
      </c>
      <c r="M20" s="18">
        <v>1406.4285714285713</v>
      </c>
      <c r="N20" s="18">
        <v>283258</v>
      </c>
      <c r="O20" s="18">
        <v>46792</v>
      </c>
      <c r="P20" s="18">
        <v>0</v>
      </c>
      <c r="Q20" s="18">
        <v>695</v>
      </c>
      <c r="R20" s="18">
        <v>1591.9354838709678</v>
      </c>
      <c r="S20" s="18">
        <v>303571</v>
      </c>
      <c r="T20" s="18">
        <v>55567</v>
      </c>
      <c r="U20" s="18">
        <v>0</v>
      </c>
      <c r="V20" s="18">
        <v>695</v>
      </c>
      <c r="W20" s="18">
        <v>1353.6666666666667</v>
      </c>
      <c r="X20" s="18">
        <v>296061</v>
      </c>
      <c r="Y20" s="18">
        <v>50341</v>
      </c>
      <c r="Z20" s="18">
        <v>0</v>
      </c>
      <c r="AA20" s="18">
        <v>741.61290322580646</v>
      </c>
      <c r="AB20" s="18">
        <v>1197.4193548387098</v>
      </c>
      <c r="AC20" s="18">
        <v>234130</v>
      </c>
      <c r="AD20" s="18">
        <v>44626</v>
      </c>
      <c r="AE20" s="18">
        <v>0</v>
      </c>
      <c r="AF20" s="18">
        <v>731.66666666666663</v>
      </c>
      <c r="AG20" s="18">
        <v>1182.3333333333333</v>
      </c>
      <c r="AH20" s="18">
        <v>247317</v>
      </c>
      <c r="AI20" s="18">
        <v>28934</v>
      </c>
      <c r="AJ20" s="18">
        <v>0</v>
      </c>
      <c r="AK20" s="18">
        <v>747.58064516129036</v>
      </c>
      <c r="AL20" s="18">
        <v>1199.0322580645161</v>
      </c>
      <c r="AM20" s="18">
        <v>164989</v>
      </c>
      <c r="AN20" s="18">
        <v>26930</v>
      </c>
      <c r="AO20" s="18">
        <v>0</v>
      </c>
      <c r="AP20" s="18">
        <v>837.41935483870964</v>
      </c>
      <c r="AQ20" s="18">
        <v>1200</v>
      </c>
      <c r="AR20" s="18">
        <v>207535</v>
      </c>
      <c r="AS20" s="18">
        <v>28882</v>
      </c>
      <c r="AT20" s="18">
        <v>0</v>
      </c>
      <c r="AU20" s="18">
        <v>1106.8333333333333</v>
      </c>
      <c r="AV20" s="18">
        <v>1199.6666666666667</v>
      </c>
      <c r="AW20" s="18">
        <v>193980</v>
      </c>
      <c r="AX20" s="18">
        <v>31461</v>
      </c>
      <c r="AY20" s="18">
        <v>0</v>
      </c>
      <c r="AZ20" s="18">
        <v>1161.6129032258063</v>
      </c>
      <c r="BA20" s="18">
        <v>1196.7741935483871</v>
      </c>
      <c r="BB20" s="18">
        <v>198680</v>
      </c>
      <c r="BC20" s="18">
        <v>31617</v>
      </c>
      <c r="BD20" s="18">
        <v>0</v>
      </c>
      <c r="BE20" s="18">
        <v>1132.6666666666667</v>
      </c>
      <c r="BF20" s="18">
        <v>1179.3333333333333</v>
      </c>
      <c r="BG20" s="18">
        <v>192276</v>
      </c>
      <c r="BH20" s="18">
        <v>45008</v>
      </c>
      <c r="BI20" s="18">
        <v>0</v>
      </c>
      <c r="BJ20" s="18">
        <v>1090.3225806451612</v>
      </c>
      <c r="BK20" s="18">
        <v>1153.2258064516129</v>
      </c>
    </row>
    <row r="21" spans="1:63" x14ac:dyDescent="0.35">
      <c r="A21" s="19">
        <v>17</v>
      </c>
      <c r="B21" s="22" t="s">
        <v>53</v>
      </c>
      <c r="C21" s="22" t="s">
        <v>54</v>
      </c>
      <c r="D21" s="18">
        <v>473835</v>
      </c>
      <c r="E21" s="18">
        <v>82328</v>
      </c>
      <c r="F21" s="18">
        <v>0</v>
      </c>
      <c r="G21" s="18">
        <v>650.64516129032256</v>
      </c>
      <c r="H21" s="18">
        <v>1045.483870967742</v>
      </c>
      <c r="I21" s="18">
        <v>314628</v>
      </c>
      <c r="J21" s="18">
        <v>95612</v>
      </c>
      <c r="K21" s="18">
        <v>0</v>
      </c>
      <c r="L21" s="18">
        <v>666.42857142857144</v>
      </c>
      <c r="M21" s="18">
        <v>1395.3571428571429</v>
      </c>
      <c r="N21" s="18">
        <v>418262</v>
      </c>
      <c r="O21" s="18">
        <v>80577</v>
      </c>
      <c r="P21" s="18">
        <v>0</v>
      </c>
      <c r="Q21" s="18">
        <v>680</v>
      </c>
      <c r="R21" s="18">
        <v>1562.9032258064517</v>
      </c>
      <c r="S21" s="18">
        <v>486016</v>
      </c>
      <c r="T21" s="18">
        <v>103169</v>
      </c>
      <c r="U21" s="18">
        <v>0</v>
      </c>
      <c r="V21" s="18">
        <v>680</v>
      </c>
      <c r="W21" s="18">
        <v>1339.3333333333333</v>
      </c>
      <c r="X21" s="18">
        <v>449100</v>
      </c>
      <c r="Y21" s="18">
        <v>101647</v>
      </c>
      <c r="Z21" s="18">
        <v>0</v>
      </c>
      <c r="AA21" s="18">
        <v>718.38709677419354</v>
      </c>
      <c r="AB21" s="18">
        <v>1188.7096774193549</v>
      </c>
      <c r="AC21" s="18">
        <v>389692</v>
      </c>
      <c r="AD21" s="18">
        <v>109535</v>
      </c>
      <c r="AE21" s="18">
        <v>0</v>
      </c>
      <c r="AF21" s="18">
        <v>722.33333333333337</v>
      </c>
      <c r="AG21" s="18">
        <v>1182.3333333333333</v>
      </c>
      <c r="AH21" s="18">
        <v>417559</v>
      </c>
      <c r="AI21" s="18">
        <v>80922</v>
      </c>
      <c r="AJ21" s="18">
        <v>0</v>
      </c>
      <c r="AK21" s="18">
        <v>745.9677419354839</v>
      </c>
      <c r="AL21" s="18">
        <v>1199.0322580645161</v>
      </c>
      <c r="AM21" s="18">
        <v>349774</v>
      </c>
      <c r="AN21" s="18">
        <v>71815</v>
      </c>
      <c r="AO21" s="18">
        <v>0</v>
      </c>
      <c r="AP21" s="18">
        <v>826.45161290322585</v>
      </c>
      <c r="AQ21" s="18">
        <v>1200</v>
      </c>
      <c r="AR21" s="18">
        <v>497506</v>
      </c>
      <c r="AS21" s="18">
        <v>83661</v>
      </c>
      <c r="AT21" s="18">
        <v>0</v>
      </c>
      <c r="AU21" s="18">
        <v>1048.8333333333333</v>
      </c>
      <c r="AV21" s="18">
        <v>1200</v>
      </c>
      <c r="AW21" s="18">
        <v>346613</v>
      </c>
      <c r="AX21" s="18">
        <v>85153</v>
      </c>
      <c r="AY21" s="18">
        <v>0</v>
      </c>
      <c r="AZ21" s="18">
        <v>1145.483870967742</v>
      </c>
      <c r="BA21" s="18">
        <v>1187.741935483871</v>
      </c>
      <c r="BB21" s="18">
        <v>263661</v>
      </c>
      <c r="BC21" s="18">
        <v>113557</v>
      </c>
      <c r="BD21" s="18">
        <v>0</v>
      </c>
      <c r="BE21" s="18">
        <v>1127.3333333333333</v>
      </c>
      <c r="BF21" s="18">
        <v>1160.6666666666667</v>
      </c>
      <c r="BG21" s="18">
        <v>450994</v>
      </c>
      <c r="BH21" s="18">
        <v>106405</v>
      </c>
      <c r="BI21" s="18">
        <v>0</v>
      </c>
      <c r="BJ21" s="18">
        <v>1081.2903225806451</v>
      </c>
      <c r="BK21" s="18">
        <v>1150</v>
      </c>
    </row>
    <row r="22" spans="1:63" x14ac:dyDescent="0.35">
      <c r="A22" s="19">
        <v>18</v>
      </c>
      <c r="B22" s="22" t="s">
        <v>55</v>
      </c>
      <c r="C22" s="22" t="s">
        <v>56</v>
      </c>
      <c r="D22" s="18">
        <v>426926</v>
      </c>
      <c r="E22" s="18">
        <v>45161</v>
      </c>
      <c r="F22" s="18">
        <v>3024</v>
      </c>
      <c r="G22" s="18">
        <v>656.29032258064512</v>
      </c>
      <c r="H22" s="18">
        <v>1065.8064516129032</v>
      </c>
      <c r="I22" s="18">
        <v>443161</v>
      </c>
      <c r="J22" s="18">
        <v>61776</v>
      </c>
      <c r="K22" s="18">
        <v>1400</v>
      </c>
      <c r="L22" s="18">
        <v>669.46428571428567</v>
      </c>
      <c r="M22" s="18">
        <v>1406.4285714285713</v>
      </c>
      <c r="N22" s="18">
        <v>460977</v>
      </c>
      <c r="O22" s="18">
        <v>51907</v>
      </c>
      <c r="P22" s="18">
        <v>2159</v>
      </c>
      <c r="Q22" s="18">
        <v>695</v>
      </c>
      <c r="R22" s="18">
        <v>1590.3225806451612</v>
      </c>
      <c r="S22" s="18">
        <v>465879</v>
      </c>
      <c r="T22" s="18">
        <v>58068</v>
      </c>
      <c r="U22" s="18">
        <v>1722</v>
      </c>
      <c r="V22" s="18">
        <v>695</v>
      </c>
      <c r="W22" s="18">
        <v>1353.6666666666667</v>
      </c>
      <c r="X22" s="18">
        <v>366099</v>
      </c>
      <c r="Y22" s="18">
        <v>38438</v>
      </c>
      <c r="Z22" s="18">
        <v>1041</v>
      </c>
      <c r="AA22" s="18">
        <v>741.61290322580646</v>
      </c>
      <c r="AB22" s="18">
        <v>1197.4193548387098</v>
      </c>
      <c r="AC22" s="18">
        <v>411608</v>
      </c>
      <c r="AD22" s="18">
        <v>37221</v>
      </c>
      <c r="AE22" s="18">
        <v>1351</v>
      </c>
      <c r="AF22" s="18">
        <v>731.66666666666663</v>
      </c>
      <c r="AG22" s="18">
        <v>1182.3333333333333</v>
      </c>
      <c r="AH22" s="18">
        <v>426427</v>
      </c>
      <c r="AI22" s="18">
        <v>29854</v>
      </c>
      <c r="AJ22" s="18">
        <v>2651</v>
      </c>
      <c r="AK22" s="18">
        <v>748.87096774193549</v>
      </c>
      <c r="AL22" s="18">
        <v>1199.0322580645161</v>
      </c>
      <c r="AM22" s="18">
        <v>318248</v>
      </c>
      <c r="AN22" s="18">
        <v>16957</v>
      </c>
      <c r="AO22" s="18">
        <v>2549</v>
      </c>
      <c r="AP22" s="18">
        <v>836.77419354838707</v>
      </c>
      <c r="AQ22" s="18">
        <v>1200</v>
      </c>
      <c r="AR22" s="18">
        <v>372797</v>
      </c>
      <c r="AS22" s="18">
        <v>22189</v>
      </c>
      <c r="AT22" s="18">
        <v>2619</v>
      </c>
      <c r="AU22" s="18">
        <v>1106.8333333333333</v>
      </c>
      <c r="AV22" s="18">
        <v>1200</v>
      </c>
      <c r="AW22" s="18">
        <v>425323</v>
      </c>
      <c r="AX22" s="18">
        <v>33016</v>
      </c>
      <c r="AY22" s="18">
        <v>3635</v>
      </c>
      <c r="AZ22" s="18">
        <v>1161.6129032258063</v>
      </c>
      <c r="BA22" s="18">
        <v>1196.7741935483871</v>
      </c>
      <c r="BB22" s="18">
        <v>418084</v>
      </c>
      <c r="BC22" s="18">
        <v>34550</v>
      </c>
      <c r="BD22" s="18">
        <v>614</v>
      </c>
      <c r="BE22" s="18">
        <v>1132.6666666666667</v>
      </c>
      <c r="BF22" s="18">
        <v>1179.3333333333333</v>
      </c>
      <c r="BG22" s="18">
        <v>405538</v>
      </c>
      <c r="BH22" s="18">
        <v>37698</v>
      </c>
      <c r="BI22" s="18">
        <v>0</v>
      </c>
      <c r="BJ22" s="18">
        <v>1090.6451612903227</v>
      </c>
      <c r="BK22" s="18">
        <v>1153.2258064516129</v>
      </c>
    </row>
    <row r="23" spans="1:63" x14ac:dyDescent="0.35">
      <c r="A23" s="19">
        <v>19</v>
      </c>
      <c r="B23" s="20" t="s">
        <v>57</v>
      </c>
      <c r="C23" s="20" t="s">
        <v>58</v>
      </c>
      <c r="D23" s="18">
        <v>274516</v>
      </c>
      <c r="E23" s="18">
        <v>88799</v>
      </c>
      <c r="F23" s="18">
        <v>5719</v>
      </c>
      <c r="G23" s="18">
        <v>660</v>
      </c>
      <c r="H23" s="18">
        <v>1062.5806451612902</v>
      </c>
      <c r="I23" s="18">
        <v>347923</v>
      </c>
      <c r="J23" s="18">
        <v>47330</v>
      </c>
      <c r="K23" s="18">
        <v>38</v>
      </c>
      <c r="L23" s="18">
        <v>670.17857142857144</v>
      </c>
      <c r="M23" s="18">
        <v>1408.5714285714287</v>
      </c>
      <c r="N23" s="18">
        <v>266611</v>
      </c>
      <c r="O23" s="18">
        <v>47199</v>
      </c>
      <c r="P23" s="18">
        <v>0</v>
      </c>
      <c r="Q23" s="18">
        <v>696.35483870967744</v>
      </c>
      <c r="R23" s="18">
        <v>1590.3225806451612</v>
      </c>
      <c r="S23" s="18">
        <v>303005</v>
      </c>
      <c r="T23" s="18">
        <v>39561</v>
      </c>
      <c r="U23" s="18">
        <v>0</v>
      </c>
      <c r="V23" s="18">
        <v>699.36666666666667</v>
      </c>
      <c r="W23" s="18">
        <v>1362</v>
      </c>
      <c r="X23" s="18">
        <v>177042</v>
      </c>
      <c r="Y23" s="18">
        <v>35860</v>
      </c>
      <c r="Z23" s="18">
        <v>0</v>
      </c>
      <c r="AA23" s="18">
        <v>782.90322580645159</v>
      </c>
      <c r="AB23" s="18">
        <v>1214.516129032258</v>
      </c>
      <c r="AC23" s="18">
        <v>242398</v>
      </c>
      <c r="AD23" s="18">
        <v>64549</v>
      </c>
      <c r="AE23" s="18">
        <v>0</v>
      </c>
      <c r="AF23" s="18">
        <v>752.66666666666663</v>
      </c>
      <c r="AG23" s="18">
        <v>1189.3333333333333</v>
      </c>
      <c r="AH23" s="18">
        <v>449067</v>
      </c>
      <c r="AI23" s="18">
        <v>86265</v>
      </c>
      <c r="AJ23" s="18">
        <v>0</v>
      </c>
      <c r="AK23" s="18">
        <v>751.45161290322585</v>
      </c>
      <c r="AL23" s="18">
        <v>1208.0645161290322</v>
      </c>
      <c r="AM23" s="18">
        <v>156709</v>
      </c>
      <c r="AN23" s="18">
        <v>27006</v>
      </c>
      <c r="AO23" s="18">
        <v>0</v>
      </c>
      <c r="AP23" s="18">
        <v>846.61290322580646</v>
      </c>
      <c r="AQ23" s="18">
        <v>1230</v>
      </c>
      <c r="AR23" s="18">
        <v>157864</v>
      </c>
      <c r="AS23" s="18">
        <v>24614</v>
      </c>
      <c r="AT23" s="18">
        <v>0</v>
      </c>
      <c r="AU23" s="18">
        <v>1109.5</v>
      </c>
      <c r="AV23" s="18">
        <v>1230</v>
      </c>
      <c r="AW23" s="18">
        <v>339236</v>
      </c>
      <c r="AX23" s="18">
        <v>33976</v>
      </c>
      <c r="AY23" s="18">
        <v>0</v>
      </c>
      <c r="AZ23" s="18">
        <v>1179.6774193548388</v>
      </c>
      <c r="BA23" s="18">
        <v>1218.3870967741937</v>
      </c>
      <c r="BB23" s="18">
        <v>228405</v>
      </c>
      <c r="BC23" s="18">
        <v>60162</v>
      </c>
      <c r="BD23" s="18">
        <v>0</v>
      </c>
      <c r="BE23" s="18">
        <v>1138</v>
      </c>
      <c r="BF23" s="18">
        <v>1168.6666666666667</v>
      </c>
      <c r="BG23" s="18">
        <v>227712</v>
      </c>
      <c r="BH23" s="18">
        <v>39415</v>
      </c>
      <c r="BI23" s="18">
        <v>0</v>
      </c>
      <c r="BJ23" s="18">
        <v>1084.516129032258</v>
      </c>
      <c r="BK23" s="18">
        <v>1150</v>
      </c>
    </row>
    <row r="24" spans="1:63" x14ac:dyDescent="0.35">
      <c r="A24" s="19">
        <v>20</v>
      </c>
      <c r="B24" s="20" t="s">
        <v>59</v>
      </c>
      <c r="C24" s="20" t="s">
        <v>60</v>
      </c>
      <c r="D24" s="18">
        <v>250367</v>
      </c>
      <c r="E24" s="18">
        <v>25483</v>
      </c>
      <c r="F24" s="18">
        <v>0</v>
      </c>
      <c r="G24" s="18">
        <v>666.77419354838707</v>
      </c>
      <c r="H24" s="18">
        <v>1080.8064516129032</v>
      </c>
      <c r="I24" s="18">
        <v>229145</v>
      </c>
      <c r="J24" s="18">
        <v>15944</v>
      </c>
      <c r="K24" s="18">
        <v>0</v>
      </c>
      <c r="L24" s="18">
        <v>682.14285714285711</v>
      </c>
      <c r="M24" s="18">
        <v>1392.5</v>
      </c>
      <c r="N24" s="18">
        <v>302816</v>
      </c>
      <c r="O24" s="18">
        <v>17257</v>
      </c>
      <c r="P24" s="18">
        <v>0</v>
      </c>
      <c r="Q24" s="18">
        <v>695</v>
      </c>
      <c r="R24" s="18">
        <v>1604.8387096774193</v>
      </c>
      <c r="S24" s="18">
        <v>236176</v>
      </c>
      <c r="T24" s="18">
        <v>26532</v>
      </c>
      <c r="U24" s="18">
        <v>0</v>
      </c>
      <c r="V24" s="18">
        <v>700.5</v>
      </c>
      <c r="W24" s="18">
        <v>1440</v>
      </c>
      <c r="X24" s="18">
        <v>185806</v>
      </c>
      <c r="Y24" s="18">
        <v>27946</v>
      </c>
      <c r="Z24" s="18">
        <v>0</v>
      </c>
      <c r="AA24" s="18">
        <v>799.67741935483866</v>
      </c>
      <c r="AB24" s="18">
        <v>1254.516129032258</v>
      </c>
      <c r="AC24" s="18">
        <v>185166</v>
      </c>
      <c r="AD24" s="18">
        <v>23967</v>
      </c>
      <c r="AE24" s="18">
        <v>0</v>
      </c>
      <c r="AF24" s="18">
        <v>757.33333333333337</v>
      </c>
      <c r="AG24" s="18">
        <v>1251.3333333333333</v>
      </c>
      <c r="AH24" s="18">
        <v>229240</v>
      </c>
      <c r="AI24" s="18">
        <v>13690</v>
      </c>
      <c r="AJ24" s="18">
        <v>0</v>
      </c>
      <c r="AK24" s="18">
        <v>775.16129032258061</v>
      </c>
      <c r="AL24" s="18">
        <v>1262.258064516129</v>
      </c>
      <c r="AM24" s="18">
        <v>108352</v>
      </c>
      <c r="AN24" s="18">
        <v>14703</v>
      </c>
      <c r="AO24" s="18">
        <v>0</v>
      </c>
      <c r="AP24" s="18">
        <v>883.22580645161293</v>
      </c>
      <c r="AQ24" s="18">
        <v>1249.0322580645161</v>
      </c>
      <c r="AR24" s="18">
        <v>138257</v>
      </c>
      <c r="AS24" s="18">
        <v>17844</v>
      </c>
      <c r="AT24" s="18">
        <v>0</v>
      </c>
      <c r="AU24" s="18">
        <v>1144.3333333333333</v>
      </c>
      <c r="AV24" s="18">
        <v>1250</v>
      </c>
      <c r="AW24" s="18">
        <v>183101</v>
      </c>
      <c r="AX24" s="18">
        <v>31896</v>
      </c>
      <c r="AY24" s="18">
        <v>0</v>
      </c>
      <c r="AZ24" s="18">
        <v>1219.3548387096773</v>
      </c>
      <c r="BA24" s="18">
        <v>1241.2903225806451</v>
      </c>
      <c r="BB24" s="18">
        <v>196049</v>
      </c>
      <c r="BC24" s="18">
        <v>31915</v>
      </c>
      <c r="BD24" s="18">
        <v>0</v>
      </c>
      <c r="BE24" s="18">
        <v>1156.6666666666667</v>
      </c>
      <c r="BF24" s="18">
        <v>1212.6666666666667</v>
      </c>
      <c r="BG24" s="18">
        <v>197171</v>
      </c>
      <c r="BH24" s="18">
        <v>32183</v>
      </c>
      <c r="BI24" s="18">
        <v>0</v>
      </c>
      <c r="BJ24" s="18">
        <v>1095.483870967742</v>
      </c>
      <c r="BK24" s="18">
        <v>1200</v>
      </c>
    </row>
    <row r="25" spans="1:63" x14ac:dyDescent="0.35">
      <c r="A25" s="19">
        <v>21</v>
      </c>
      <c r="B25" s="20" t="s">
        <v>61</v>
      </c>
      <c r="C25" s="20" t="s">
        <v>62</v>
      </c>
      <c r="D25" s="18">
        <v>409419</v>
      </c>
      <c r="E25" s="18">
        <v>34640</v>
      </c>
      <c r="F25" s="18">
        <v>770</v>
      </c>
      <c r="G25" s="18">
        <v>666.77419354838707</v>
      </c>
      <c r="H25" s="18">
        <v>1080.8064516129032</v>
      </c>
      <c r="I25" s="18">
        <v>377760</v>
      </c>
      <c r="J25" s="18">
        <v>36833</v>
      </c>
      <c r="K25" s="18">
        <v>594</v>
      </c>
      <c r="L25" s="18">
        <v>687.85714285714289</v>
      </c>
      <c r="M25" s="18">
        <v>1408.5714285714287</v>
      </c>
      <c r="N25" s="18">
        <v>434207</v>
      </c>
      <c r="O25" s="18">
        <v>60997</v>
      </c>
      <c r="P25" s="18">
        <v>1555</v>
      </c>
      <c r="Q25" s="18">
        <v>695</v>
      </c>
      <c r="R25" s="18">
        <v>1604.8387096774193</v>
      </c>
      <c r="S25" s="18">
        <v>396485</v>
      </c>
      <c r="T25" s="18">
        <v>50322</v>
      </c>
      <c r="U25" s="18">
        <v>492</v>
      </c>
      <c r="V25" s="18">
        <v>699.66666666666663</v>
      </c>
      <c r="W25" s="18">
        <v>1440</v>
      </c>
      <c r="X25" s="18">
        <v>270041</v>
      </c>
      <c r="Y25" s="18">
        <v>58473</v>
      </c>
      <c r="Z25" s="18">
        <v>821</v>
      </c>
      <c r="AA25" s="18">
        <v>799.67741935483866</v>
      </c>
      <c r="AB25" s="18">
        <v>1254.516129032258</v>
      </c>
      <c r="AC25" s="18">
        <v>283676</v>
      </c>
      <c r="AD25" s="18">
        <v>43290</v>
      </c>
      <c r="AE25" s="18">
        <v>570</v>
      </c>
      <c r="AF25" s="18">
        <v>756.33333333333337</v>
      </c>
      <c r="AG25" s="18">
        <v>1251.3333333333333</v>
      </c>
      <c r="AH25" s="18">
        <v>323389</v>
      </c>
      <c r="AI25" s="18">
        <v>31926</v>
      </c>
      <c r="AJ25" s="18">
        <v>421</v>
      </c>
      <c r="AK25" s="18">
        <v>775.16129032258061</v>
      </c>
      <c r="AL25" s="18">
        <v>1262.258064516129</v>
      </c>
      <c r="AM25" s="18">
        <v>145486</v>
      </c>
      <c r="AN25" s="18">
        <v>26469</v>
      </c>
      <c r="AO25" s="18">
        <v>349</v>
      </c>
      <c r="AP25" s="18">
        <v>883.54838709677415</v>
      </c>
      <c r="AQ25" s="18">
        <v>1250</v>
      </c>
      <c r="AR25" s="18">
        <v>164505</v>
      </c>
      <c r="AS25" s="18">
        <v>33975</v>
      </c>
      <c r="AT25" s="18">
        <v>401</v>
      </c>
      <c r="AU25" s="18">
        <v>1144.3333333333333</v>
      </c>
      <c r="AV25" s="18">
        <v>1250</v>
      </c>
      <c r="AW25" s="18">
        <v>266460</v>
      </c>
      <c r="AX25" s="18">
        <v>64326</v>
      </c>
      <c r="AY25" s="18">
        <v>780</v>
      </c>
      <c r="AZ25" s="18">
        <v>1219.3548387096773</v>
      </c>
      <c r="BA25" s="18">
        <v>1241.2903225806451</v>
      </c>
      <c r="BB25" s="18">
        <v>310441</v>
      </c>
      <c r="BC25" s="18">
        <v>56373</v>
      </c>
      <c r="BD25" s="18">
        <v>1634</v>
      </c>
      <c r="BE25" s="18">
        <v>1156.6666666666667</v>
      </c>
      <c r="BF25" s="18">
        <v>1212.6666666666667</v>
      </c>
      <c r="BG25" s="18">
        <v>308196</v>
      </c>
      <c r="BH25" s="18">
        <v>45436</v>
      </c>
      <c r="BI25" s="18">
        <v>560</v>
      </c>
      <c r="BJ25" s="18">
        <v>1095.483870967742</v>
      </c>
      <c r="BK25" s="18">
        <v>1200</v>
      </c>
    </row>
    <row r="26" spans="1:63" x14ac:dyDescent="0.35">
      <c r="A26" s="19">
        <v>22</v>
      </c>
      <c r="B26" s="20" t="s">
        <v>63</v>
      </c>
      <c r="C26" s="20" t="s">
        <v>64</v>
      </c>
      <c r="D26" s="18">
        <v>278534</v>
      </c>
      <c r="E26" s="18">
        <v>18241</v>
      </c>
      <c r="F26" s="18">
        <v>1172</v>
      </c>
      <c r="G26" s="18">
        <v>666.77419354838707</v>
      </c>
      <c r="H26" s="18">
        <v>1080.8064516129032</v>
      </c>
      <c r="I26" s="18">
        <v>180345</v>
      </c>
      <c r="J26" s="18">
        <v>9180</v>
      </c>
      <c r="K26" s="18">
        <v>626</v>
      </c>
      <c r="L26" s="18">
        <v>687.85714285714289</v>
      </c>
      <c r="M26" s="18">
        <v>1408.5714285714287</v>
      </c>
      <c r="N26" s="18">
        <v>305595</v>
      </c>
      <c r="O26" s="18">
        <v>13285</v>
      </c>
      <c r="P26" s="18">
        <v>1647</v>
      </c>
      <c r="Q26" s="18">
        <v>695</v>
      </c>
      <c r="R26" s="18">
        <v>1604.8387096774193</v>
      </c>
      <c r="S26" s="18">
        <v>349710</v>
      </c>
      <c r="T26" s="18">
        <v>16564</v>
      </c>
      <c r="U26" s="18">
        <v>2795</v>
      </c>
      <c r="V26" s="18">
        <v>700.5</v>
      </c>
      <c r="W26" s="18">
        <v>1440</v>
      </c>
      <c r="X26" s="18">
        <v>174216</v>
      </c>
      <c r="Y26" s="18">
        <v>12025</v>
      </c>
      <c r="Z26" s="18">
        <v>1970</v>
      </c>
      <c r="AA26" s="18">
        <v>799.67741935483866</v>
      </c>
      <c r="AB26" s="18">
        <v>1254.516129032258</v>
      </c>
      <c r="AC26" s="18">
        <v>232175</v>
      </c>
      <c r="AD26" s="18">
        <v>10962</v>
      </c>
      <c r="AE26" s="18">
        <v>1897</v>
      </c>
      <c r="AF26" s="18">
        <v>756.33333333333337</v>
      </c>
      <c r="AG26" s="18">
        <v>1251.3333333333333</v>
      </c>
      <c r="AH26" s="18">
        <v>228930</v>
      </c>
      <c r="AI26" s="18">
        <v>5883</v>
      </c>
      <c r="AJ26" s="18">
        <v>1665</v>
      </c>
      <c r="AK26" s="18">
        <v>776.12903225806451</v>
      </c>
      <c r="AL26" s="18">
        <v>1262.258064516129</v>
      </c>
      <c r="AM26" s="18">
        <v>114331</v>
      </c>
      <c r="AN26" s="18">
        <v>3709</v>
      </c>
      <c r="AO26" s="18">
        <v>549</v>
      </c>
      <c r="AP26" s="18">
        <v>883.54838709677415</v>
      </c>
      <c r="AQ26" s="18">
        <v>1250</v>
      </c>
      <c r="AR26" s="18">
        <v>125004</v>
      </c>
      <c r="AS26" s="18">
        <v>5130</v>
      </c>
      <c r="AT26" s="18">
        <v>0</v>
      </c>
      <c r="AU26" s="18">
        <v>1144.3333333333333</v>
      </c>
      <c r="AV26" s="18">
        <v>1250</v>
      </c>
      <c r="AW26" s="18">
        <v>186465</v>
      </c>
      <c r="AX26" s="18">
        <v>9727</v>
      </c>
      <c r="AY26" s="18">
        <v>332</v>
      </c>
      <c r="AZ26" s="18">
        <v>1219.3548387096773</v>
      </c>
      <c r="BA26" s="18">
        <v>1241.2903225806451</v>
      </c>
      <c r="BB26" s="18">
        <v>207261</v>
      </c>
      <c r="BC26" s="18">
        <v>14412</v>
      </c>
      <c r="BD26" s="18">
        <v>713</v>
      </c>
      <c r="BE26" s="18">
        <v>1156.6666666666667</v>
      </c>
      <c r="BF26" s="18">
        <v>1212.6666666666667</v>
      </c>
      <c r="BG26" s="18">
        <v>215661</v>
      </c>
      <c r="BH26" s="18">
        <v>18935</v>
      </c>
      <c r="BI26" s="18">
        <v>711</v>
      </c>
      <c r="BJ26" s="18">
        <v>1095.483870967742</v>
      </c>
      <c r="BK26" s="18">
        <v>1200</v>
      </c>
    </row>
    <row r="27" spans="1:63" x14ac:dyDescent="0.35">
      <c r="A27" s="19">
        <v>23</v>
      </c>
      <c r="B27" s="20" t="s">
        <v>65</v>
      </c>
      <c r="C27" s="20" t="s">
        <v>66</v>
      </c>
      <c r="D27" s="18">
        <v>351463</v>
      </c>
      <c r="E27" s="18">
        <v>28154</v>
      </c>
      <c r="F27" s="18">
        <v>1383</v>
      </c>
      <c r="G27" s="18">
        <v>666.77419354838707</v>
      </c>
      <c r="H27" s="18">
        <v>1080.8064516129032</v>
      </c>
      <c r="I27" s="18">
        <v>263945</v>
      </c>
      <c r="J27" s="18">
        <v>22669</v>
      </c>
      <c r="K27" s="18">
        <v>1013</v>
      </c>
      <c r="L27" s="18">
        <v>687.85714285714289</v>
      </c>
      <c r="M27" s="18">
        <v>1408.5714285714287</v>
      </c>
      <c r="N27" s="18">
        <v>302034</v>
      </c>
      <c r="O27" s="18">
        <v>26273</v>
      </c>
      <c r="P27" s="18">
        <v>3186</v>
      </c>
      <c r="Q27" s="18">
        <v>695</v>
      </c>
      <c r="R27" s="18">
        <v>1604.8387096774193</v>
      </c>
      <c r="S27" s="18">
        <v>333416</v>
      </c>
      <c r="T27" s="18">
        <v>23117</v>
      </c>
      <c r="U27" s="18">
        <v>7119</v>
      </c>
      <c r="V27" s="18">
        <v>700.5</v>
      </c>
      <c r="W27" s="18">
        <v>1440</v>
      </c>
      <c r="X27" s="18">
        <v>192940</v>
      </c>
      <c r="Y27" s="18">
        <v>35312</v>
      </c>
      <c r="Z27" s="18">
        <v>7468</v>
      </c>
      <c r="AA27" s="18">
        <v>802.90322580645159</v>
      </c>
      <c r="AB27" s="18">
        <v>1254.516129032258</v>
      </c>
      <c r="AC27" s="18">
        <v>256328</v>
      </c>
      <c r="AD27" s="18">
        <v>38182</v>
      </c>
      <c r="AE27" s="18">
        <v>6768</v>
      </c>
      <c r="AF27" s="18">
        <v>762.33333333333337</v>
      </c>
      <c r="AG27" s="18">
        <v>1216.3333333333333</v>
      </c>
      <c r="AH27" s="18">
        <v>258004</v>
      </c>
      <c r="AI27" s="18">
        <v>35351</v>
      </c>
      <c r="AJ27" s="18">
        <v>6425</v>
      </c>
      <c r="AK27" s="18">
        <v>775.48387096774195</v>
      </c>
      <c r="AL27" s="18">
        <v>1220.9677419354839</v>
      </c>
      <c r="AM27" s="18">
        <v>147183</v>
      </c>
      <c r="AN27" s="18">
        <v>43087</v>
      </c>
      <c r="AO27" s="18">
        <v>6111</v>
      </c>
      <c r="AP27" s="18">
        <v>882.90322580645159</v>
      </c>
      <c r="AQ27" s="18">
        <v>1220</v>
      </c>
      <c r="AR27" s="18">
        <v>154507</v>
      </c>
      <c r="AS27" s="18">
        <v>50547</v>
      </c>
      <c r="AT27" s="18">
        <v>3647</v>
      </c>
      <c r="AU27" s="18">
        <v>1145</v>
      </c>
      <c r="AV27" s="18">
        <v>1220</v>
      </c>
      <c r="AW27" s="18">
        <v>257498</v>
      </c>
      <c r="AX27" s="18">
        <v>56822</v>
      </c>
      <c r="AY27" s="18">
        <v>344</v>
      </c>
      <c r="AZ27" s="18">
        <v>1223.2258064516129</v>
      </c>
      <c r="BA27" s="18">
        <v>1220</v>
      </c>
      <c r="BB27" s="18">
        <v>243902</v>
      </c>
      <c r="BC27" s="18">
        <v>54923</v>
      </c>
      <c r="BD27" s="18">
        <v>1853</v>
      </c>
      <c r="BE27" s="18">
        <v>1157.6666666666667</v>
      </c>
      <c r="BF27" s="18">
        <v>1210.6666666666667</v>
      </c>
      <c r="BG27" s="18">
        <v>229822</v>
      </c>
      <c r="BH27" s="18">
        <v>35570</v>
      </c>
      <c r="BI27" s="18">
        <v>2112</v>
      </c>
      <c r="BJ27" s="18">
        <v>1095.483870967742</v>
      </c>
      <c r="BK27" s="18">
        <v>1190</v>
      </c>
    </row>
    <row r="28" spans="1:63" x14ac:dyDescent="0.35">
      <c r="A28" s="19">
        <v>24</v>
      </c>
      <c r="B28" s="20" t="s">
        <v>67</v>
      </c>
      <c r="C28" s="20" t="s">
        <v>68</v>
      </c>
      <c r="D28" s="18">
        <v>223703</v>
      </c>
      <c r="E28" s="18">
        <v>10789</v>
      </c>
      <c r="F28" s="18">
        <v>660</v>
      </c>
      <c r="G28" s="18">
        <v>612.90322580645159</v>
      </c>
      <c r="H28" s="18">
        <v>1033.5483870967741</v>
      </c>
      <c r="I28" s="18">
        <v>269937</v>
      </c>
      <c r="J28" s="18">
        <v>9308</v>
      </c>
      <c r="K28" s="18">
        <v>257</v>
      </c>
      <c r="L28" s="18">
        <v>632.14285714285711</v>
      </c>
      <c r="M28" s="18">
        <v>1355.7142857142858</v>
      </c>
      <c r="N28" s="18">
        <v>214620</v>
      </c>
      <c r="O28" s="18">
        <v>7070</v>
      </c>
      <c r="P28" s="18">
        <v>55</v>
      </c>
      <c r="Q28" s="18">
        <v>635.48387096774195</v>
      </c>
      <c r="R28" s="18">
        <v>1550</v>
      </c>
      <c r="S28" s="18">
        <v>324669</v>
      </c>
      <c r="T28" s="18">
        <v>13918</v>
      </c>
      <c r="U28" s="18">
        <v>0</v>
      </c>
      <c r="V28" s="18">
        <v>641.33333333333337</v>
      </c>
      <c r="W28" s="18">
        <v>1380</v>
      </c>
      <c r="X28" s="18">
        <v>182792</v>
      </c>
      <c r="Y28" s="18">
        <v>9682</v>
      </c>
      <c r="Z28" s="18">
        <v>0</v>
      </c>
      <c r="AA28" s="18">
        <v>686.93548387096769</v>
      </c>
      <c r="AB28" s="18">
        <v>1224.516129032258</v>
      </c>
      <c r="AC28" s="18">
        <v>246769</v>
      </c>
      <c r="AD28" s="18">
        <v>8197</v>
      </c>
      <c r="AE28" s="18">
        <v>0</v>
      </c>
      <c r="AF28" s="18">
        <v>628</v>
      </c>
      <c r="AG28" s="18">
        <v>1198</v>
      </c>
      <c r="AH28" s="18">
        <v>302939</v>
      </c>
      <c r="AI28" s="18">
        <v>5716</v>
      </c>
      <c r="AJ28" s="18">
        <v>0</v>
      </c>
      <c r="AK28" s="18">
        <v>714.51612903225805</v>
      </c>
      <c r="AL28" s="18">
        <v>1220</v>
      </c>
      <c r="AM28" s="18">
        <v>229572</v>
      </c>
      <c r="AN28" s="18">
        <v>5534</v>
      </c>
      <c r="AO28" s="18">
        <v>0</v>
      </c>
      <c r="AP28" s="18">
        <v>791.29032258064512</v>
      </c>
      <c r="AQ28" s="18">
        <v>1220</v>
      </c>
      <c r="AR28" s="18">
        <v>296424</v>
      </c>
      <c r="AS28" s="18">
        <v>4410</v>
      </c>
      <c r="AT28" s="18">
        <v>0</v>
      </c>
      <c r="AU28" s="18">
        <v>955.33333333333337</v>
      </c>
      <c r="AV28" s="18">
        <v>1220</v>
      </c>
      <c r="AW28" s="18">
        <v>221676</v>
      </c>
      <c r="AX28" s="18">
        <v>4574</v>
      </c>
      <c r="AY28" s="18">
        <v>0</v>
      </c>
      <c r="AZ28" s="18">
        <v>1075.483870967742</v>
      </c>
      <c r="BA28" s="18">
        <v>1214.1935483870968</v>
      </c>
      <c r="BB28" s="18">
        <v>133321</v>
      </c>
      <c r="BC28" s="18">
        <v>5870</v>
      </c>
      <c r="BD28" s="18">
        <v>0</v>
      </c>
      <c r="BE28" s="18">
        <v>1091.3333333333333</v>
      </c>
      <c r="BF28" s="18">
        <v>1185</v>
      </c>
      <c r="BG28" s="18">
        <v>112594</v>
      </c>
      <c r="BH28" s="18">
        <v>7057</v>
      </c>
      <c r="BI28" s="18">
        <v>0</v>
      </c>
      <c r="BJ28" s="18">
        <v>1059.3548387096773</v>
      </c>
      <c r="BK28" s="18">
        <v>1169.6774193548388</v>
      </c>
    </row>
    <row r="29" spans="1:63" x14ac:dyDescent="0.35">
      <c r="A29" s="19">
        <v>25</v>
      </c>
      <c r="B29" s="22" t="s">
        <v>69</v>
      </c>
      <c r="C29" s="22" t="s">
        <v>70</v>
      </c>
      <c r="D29" s="18">
        <v>240766</v>
      </c>
      <c r="E29" s="18">
        <v>17824</v>
      </c>
      <c r="F29" s="18">
        <v>0</v>
      </c>
      <c r="G29" s="18">
        <v>670</v>
      </c>
      <c r="H29" s="18">
        <v>1078.0645161290322</v>
      </c>
      <c r="I29" s="18">
        <v>238131</v>
      </c>
      <c r="J29" s="18">
        <v>19456</v>
      </c>
      <c r="K29" s="18">
        <v>0</v>
      </c>
      <c r="L29" s="18">
        <v>679.10714285714289</v>
      </c>
      <c r="M29" s="18">
        <v>1407.5</v>
      </c>
      <c r="N29" s="18">
        <v>223675</v>
      </c>
      <c r="O29" s="18">
        <v>21064</v>
      </c>
      <c r="P29" s="18">
        <v>0</v>
      </c>
      <c r="Q29" s="18">
        <v>690</v>
      </c>
      <c r="R29" s="18">
        <v>1611.2903225806451</v>
      </c>
      <c r="S29" s="18">
        <v>257515</v>
      </c>
      <c r="T29" s="18">
        <v>28225</v>
      </c>
      <c r="U29" s="18">
        <v>189</v>
      </c>
      <c r="V29" s="18">
        <v>696</v>
      </c>
      <c r="W29" s="18">
        <v>1405.6666666666667</v>
      </c>
      <c r="X29" s="18">
        <v>200036</v>
      </c>
      <c r="Y29" s="18">
        <v>26043</v>
      </c>
      <c r="Z29" s="18">
        <v>189</v>
      </c>
      <c r="AA29" s="18">
        <v>795.64516129032256</v>
      </c>
      <c r="AB29" s="18">
        <v>1245.1612903225807</v>
      </c>
      <c r="AC29" s="18">
        <v>181476</v>
      </c>
      <c r="AD29" s="18">
        <v>24518</v>
      </c>
      <c r="AE29" s="18">
        <v>0</v>
      </c>
      <c r="AF29" s="18">
        <v>715.66666666666663</v>
      </c>
      <c r="AG29" s="18">
        <v>1227.3333333333333</v>
      </c>
      <c r="AH29" s="18">
        <v>285342</v>
      </c>
      <c r="AI29" s="18">
        <v>9422</v>
      </c>
      <c r="AJ29" s="18">
        <v>189</v>
      </c>
      <c r="AK29" s="18">
        <v>758.38709677419354</v>
      </c>
      <c r="AL29" s="18">
        <v>1240</v>
      </c>
      <c r="AM29" s="18">
        <v>167826</v>
      </c>
      <c r="AN29" s="18">
        <v>5892</v>
      </c>
      <c r="AO29" s="18">
        <v>0</v>
      </c>
      <c r="AP29" s="18">
        <v>860.9677419354839</v>
      </c>
      <c r="AQ29" s="18">
        <v>1240</v>
      </c>
      <c r="AR29" s="18">
        <v>96881</v>
      </c>
      <c r="AS29" s="18">
        <v>9064</v>
      </c>
      <c r="AT29" s="18">
        <v>0</v>
      </c>
      <c r="AU29" s="18">
        <v>1086</v>
      </c>
      <c r="AV29" s="18">
        <v>1240</v>
      </c>
      <c r="AW29" s="18">
        <v>127826</v>
      </c>
      <c r="AX29" s="18">
        <v>17600</v>
      </c>
      <c r="AY29" s="18">
        <v>0</v>
      </c>
      <c r="AZ29" s="18">
        <v>1180.9677419354839</v>
      </c>
      <c r="BA29" s="18">
        <v>1237.0967741935483</v>
      </c>
      <c r="BB29" s="18">
        <v>95073</v>
      </c>
      <c r="BC29" s="18">
        <v>12539</v>
      </c>
      <c r="BD29" s="18">
        <v>0</v>
      </c>
      <c r="BE29" s="18">
        <v>1143</v>
      </c>
      <c r="BF29" s="18">
        <v>1208.6666666666667</v>
      </c>
      <c r="BG29" s="18">
        <v>108227</v>
      </c>
      <c r="BH29" s="18">
        <v>9601</v>
      </c>
      <c r="BI29" s="18">
        <v>0</v>
      </c>
      <c r="BJ29" s="18">
        <v>1087.4193548387098</v>
      </c>
      <c r="BK29" s="18">
        <v>1190</v>
      </c>
    </row>
    <row r="30" spans="1:63" x14ac:dyDescent="0.35">
      <c r="A30" s="19">
        <v>26</v>
      </c>
      <c r="B30" s="20" t="s">
        <v>71</v>
      </c>
      <c r="C30" s="20" t="s">
        <v>72</v>
      </c>
      <c r="D30" s="18">
        <v>247130</v>
      </c>
      <c r="E30" s="18">
        <v>79121</v>
      </c>
      <c r="F30" s="18">
        <v>0</v>
      </c>
      <c r="G30" s="18">
        <v>649.83870967741939</v>
      </c>
      <c r="H30" s="18">
        <v>1049.0322580645161</v>
      </c>
      <c r="I30" s="18">
        <v>213036</v>
      </c>
      <c r="J30" s="18">
        <v>73656</v>
      </c>
      <c r="K30" s="18">
        <v>0</v>
      </c>
      <c r="L30" s="18">
        <v>666.42857142857144</v>
      </c>
      <c r="M30" s="18">
        <v>1395.3571428571429</v>
      </c>
      <c r="N30" s="18">
        <v>185889</v>
      </c>
      <c r="O30" s="18">
        <v>64680</v>
      </c>
      <c r="P30" s="18">
        <v>0</v>
      </c>
      <c r="Q30" s="18">
        <v>680</v>
      </c>
      <c r="R30" s="18">
        <v>1562.9032258064517</v>
      </c>
      <c r="S30" s="18">
        <v>192804</v>
      </c>
      <c r="T30" s="18">
        <v>62952</v>
      </c>
      <c r="U30" s="18">
        <v>0</v>
      </c>
      <c r="V30" s="18">
        <v>684.33333333333337</v>
      </c>
      <c r="W30" s="18">
        <v>1342.6666666666667</v>
      </c>
      <c r="X30" s="18">
        <v>204403</v>
      </c>
      <c r="Y30" s="18">
        <v>66468</v>
      </c>
      <c r="Z30" s="18">
        <v>0</v>
      </c>
      <c r="AA30" s="18">
        <v>738.22580645161293</v>
      </c>
      <c r="AB30" s="18">
        <v>1188.7096774193549</v>
      </c>
      <c r="AC30" s="18">
        <v>154048</v>
      </c>
      <c r="AD30" s="18">
        <v>59135</v>
      </c>
      <c r="AE30" s="18">
        <v>0</v>
      </c>
      <c r="AF30" s="18">
        <v>725.33333333333337</v>
      </c>
      <c r="AG30" s="18">
        <v>1181.3333333333333</v>
      </c>
      <c r="AH30" s="18">
        <v>212312</v>
      </c>
      <c r="AI30" s="18">
        <v>55058</v>
      </c>
      <c r="AJ30" s="18">
        <v>0</v>
      </c>
      <c r="AK30" s="18">
        <v>746.12903225806451</v>
      </c>
      <c r="AL30" s="18">
        <v>1207.4193548387098</v>
      </c>
      <c r="AM30" s="18">
        <v>138516</v>
      </c>
      <c r="AN30" s="18">
        <v>43805</v>
      </c>
      <c r="AO30" s="18">
        <v>0</v>
      </c>
      <c r="AP30" s="18">
        <v>842.25806451612902</v>
      </c>
      <c r="AQ30" s="18">
        <v>1230</v>
      </c>
      <c r="AR30" s="18">
        <v>146707</v>
      </c>
      <c r="AS30" s="18">
        <v>34060</v>
      </c>
      <c r="AT30" s="18">
        <v>0</v>
      </c>
      <c r="AU30" s="18">
        <v>1107.5</v>
      </c>
      <c r="AV30" s="18">
        <v>1230</v>
      </c>
      <c r="AW30" s="18">
        <v>115108</v>
      </c>
      <c r="AX30" s="18">
        <v>40860</v>
      </c>
      <c r="AY30" s="18">
        <v>0</v>
      </c>
      <c r="AZ30" s="18">
        <v>1186.4516129032259</v>
      </c>
      <c r="BA30" s="18">
        <v>1218.7096774193549</v>
      </c>
      <c r="BB30" s="18">
        <v>85132</v>
      </c>
      <c r="BC30" s="18">
        <v>53572</v>
      </c>
      <c r="BD30" s="18">
        <v>0</v>
      </c>
      <c r="BE30" s="18">
        <v>1128.6666666666667</v>
      </c>
      <c r="BF30" s="18">
        <v>1171.3333333333333</v>
      </c>
      <c r="BG30" s="18">
        <v>110310</v>
      </c>
      <c r="BH30" s="18">
        <v>47330</v>
      </c>
      <c r="BI30" s="18">
        <v>0</v>
      </c>
      <c r="BJ30" s="18">
        <v>1071.2903225806451</v>
      </c>
      <c r="BK30" s="18">
        <v>1150</v>
      </c>
    </row>
    <row r="31" spans="1:63" x14ac:dyDescent="0.35">
      <c r="A31" s="19">
        <v>27</v>
      </c>
      <c r="B31" s="20" t="s">
        <v>73</v>
      </c>
      <c r="C31" s="20" t="s">
        <v>74</v>
      </c>
      <c r="D31" s="18">
        <v>364443</v>
      </c>
      <c r="E31" s="18">
        <v>43707</v>
      </c>
      <c r="F31" s="18">
        <v>0</v>
      </c>
      <c r="G31" s="18">
        <v>649.83870967741939</v>
      </c>
      <c r="H31" s="18">
        <v>1048.7096774193549</v>
      </c>
      <c r="I31" s="18">
        <v>309760</v>
      </c>
      <c r="J31" s="18">
        <v>36994</v>
      </c>
      <c r="K31" s="18">
        <v>0</v>
      </c>
      <c r="L31" s="18">
        <v>666.78571428571433</v>
      </c>
      <c r="M31" s="18">
        <v>1377.5</v>
      </c>
      <c r="N31" s="18">
        <v>342618</v>
      </c>
      <c r="O31" s="18">
        <v>40424</v>
      </c>
      <c r="P31" s="18">
        <v>0</v>
      </c>
      <c r="Q31" s="18">
        <v>680</v>
      </c>
      <c r="R31" s="18">
        <v>1572.5806451612902</v>
      </c>
      <c r="S31" s="18">
        <v>320066</v>
      </c>
      <c r="T31" s="18">
        <v>36008</v>
      </c>
      <c r="U31" s="18">
        <v>0</v>
      </c>
      <c r="V31" s="18">
        <v>684.33333333333337</v>
      </c>
      <c r="W31" s="18">
        <v>1344.3333333333333</v>
      </c>
      <c r="X31" s="18">
        <v>298519</v>
      </c>
      <c r="Y31" s="18">
        <v>36931</v>
      </c>
      <c r="Z31" s="18">
        <v>0</v>
      </c>
      <c r="AA31" s="18">
        <v>738.22580645161293</v>
      </c>
      <c r="AB31" s="18">
        <v>1187.0967741935483</v>
      </c>
      <c r="AC31" s="18">
        <v>272459</v>
      </c>
      <c r="AD31" s="18">
        <v>25802</v>
      </c>
      <c r="AE31" s="18">
        <v>0</v>
      </c>
      <c r="AF31" s="18">
        <v>725.33333333333337</v>
      </c>
      <c r="AG31" s="18">
        <v>1181.3333333333333</v>
      </c>
      <c r="AH31" s="18">
        <v>389648</v>
      </c>
      <c r="AI31" s="18">
        <v>30482</v>
      </c>
      <c r="AJ31" s="18">
        <v>0</v>
      </c>
      <c r="AK31" s="18">
        <v>747.09677419354841</v>
      </c>
      <c r="AL31" s="18">
        <v>1207.4193548387098</v>
      </c>
      <c r="AM31" s="18">
        <v>233590</v>
      </c>
      <c r="AN31" s="18">
        <v>19370</v>
      </c>
      <c r="AO31" s="18">
        <v>0</v>
      </c>
      <c r="AP31" s="18">
        <v>842.25806451612902</v>
      </c>
      <c r="AQ31" s="18">
        <v>1230</v>
      </c>
      <c r="AR31" s="18">
        <v>239055</v>
      </c>
      <c r="AS31" s="18">
        <v>30984</v>
      </c>
      <c r="AT31" s="18">
        <v>0</v>
      </c>
      <c r="AU31" s="18">
        <v>1107.5</v>
      </c>
      <c r="AV31" s="18">
        <v>1230</v>
      </c>
      <c r="AW31" s="18">
        <v>244087</v>
      </c>
      <c r="AX31" s="18">
        <v>29640</v>
      </c>
      <c r="AY31" s="18">
        <v>0</v>
      </c>
      <c r="AZ31" s="18">
        <v>1186.4516129032259</v>
      </c>
      <c r="BA31" s="18">
        <v>1218.7096774193549</v>
      </c>
      <c r="BB31" s="18">
        <v>225686</v>
      </c>
      <c r="BC31" s="18">
        <v>31105</v>
      </c>
      <c r="BD31" s="18">
        <v>0</v>
      </c>
      <c r="BE31" s="18">
        <v>1128.6666666666667</v>
      </c>
      <c r="BF31" s="18">
        <v>1171.3333333333333</v>
      </c>
      <c r="BG31" s="18">
        <v>223507</v>
      </c>
      <c r="BH31" s="18">
        <v>27042</v>
      </c>
      <c r="BI31" s="18">
        <v>0</v>
      </c>
      <c r="BJ31" s="18">
        <v>1079.0322580645161</v>
      </c>
      <c r="BK31" s="18">
        <v>1150</v>
      </c>
    </row>
    <row r="32" spans="1:63" x14ac:dyDescent="0.35">
      <c r="A32" s="19">
        <v>28</v>
      </c>
      <c r="B32" s="21" t="s">
        <v>75</v>
      </c>
      <c r="C32" s="21" t="s">
        <v>76</v>
      </c>
      <c r="D32" s="18">
        <v>333454</v>
      </c>
      <c r="E32" s="18">
        <v>6880</v>
      </c>
      <c r="F32" s="18">
        <v>1880</v>
      </c>
      <c r="G32" s="18">
        <v>653.70967741935488</v>
      </c>
      <c r="H32" s="18">
        <v>1051.4516129032259</v>
      </c>
      <c r="I32" s="18">
        <v>364760</v>
      </c>
      <c r="J32" s="18">
        <v>6132</v>
      </c>
      <c r="K32" s="18">
        <v>1190</v>
      </c>
      <c r="L32" s="18">
        <v>669.46428571428567</v>
      </c>
      <c r="M32" s="18">
        <v>1406.4285714285713</v>
      </c>
      <c r="N32" s="18">
        <v>383679</v>
      </c>
      <c r="O32" s="18">
        <v>13682</v>
      </c>
      <c r="P32" s="18">
        <v>674</v>
      </c>
      <c r="Q32" s="18">
        <v>695</v>
      </c>
      <c r="R32" s="18">
        <v>1590.3225806451612</v>
      </c>
      <c r="S32" s="18">
        <v>339026</v>
      </c>
      <c r="T32" s="18">
        <v>14286</v>
      </c>
      <c r="U32" s="18">
        <v>112</v>
      </c>
      <c r="V32" s="18">
        <v>695</v>
      </c>
      <c r="W32" s="18">
        <v>1353.6666666666667</v>
      </c>
      <c r="X32" s="18">
        <v>349777</v>
      </c>
      <c r="Y32" s="18">
        <v>12558</v>
      </c>
      <c r="Z32" s="18">
        <v>754</v>
      </c>
      <c r="AA32" s="18">
        <v>741.61290322580646</v>
      </c>
      <c r="AB32" s="18">
        <v>1194.8387096774193</v>
      </c>
      <c r="AC32" s="18">
        <v>266449</v>
      </c>
      <c r="AD32" s="18">
        <v>12322</v>
      </c>
      <c r="AE32" s="18">
        <v>917</v>
      </c>
      <c r="AF32" s="18">
        <v>731.66666666666663</v>
      </c>
      <c r="AG32" s="18">
        <v>1182.3333333333333</v>
      </c>
      <c r="AH32" s="18">
        <v>219348</v>
      </c>
      <c r="AI32" s="18">
        <v>9142</v>
      </c>
      <c r="AJ32" s="18">
        <v>1324</v>
      </c>
      <c r="AK32" s="18">
        <v>747.58064516129036</v>
      </c>
      <c r="AL32" s="18">
        <v>1199.0322580645161</v>
      </c>
      <c r="AM32" s="18">
        <v>198609</v>
      </c>
      <c r="AN32" s="18">
        <v>6136</v>
      </c>
      <c r="AO32" s="18">
        <v>969</v>
      </c>
      <c r="AP32" s="18">
        <v>836.45161290322585</v>
      </c>
      <c r="AQ32" s="18">
        <v>1200</v>
      </c>
      <c r="AR32" s="18">
        <v>226335</v>
      </c>
      <c r="AS32" s="18">
        <v>5756</v>
      </c>
      <c r="AT32" s="18">
        <v>998</v>
      </c>
      <c r="AU32" s="18">
        <v>1106.8333333333333</v>
      </c>
      <c r="AV32" s="18">
        <v>1200</v>
      </c>
      <c r="AW32" s="18">
        <v>193591</v>
      </c>
      <c r="AX32" s="18">
        <v>7074</v>
      </c>
      <c r="AY32" s="18">
        <v>1364</v>
      </c>
      <c r="AZ32" s="18">
        <v>1161.6129032258063</v>
      </c>
      <c r="BA32" s="18">
        <v>1195.8064516129032</v>
      </c>
      <c r="BB32" s="18">
        <v>190336</v>
      </c>
      <c r="BC32" s="18">
        <v>8311</v>
      </c>
      <c r="BD32" s="18">
        <v>1776</v>
      </c>
      <c r="BE32" s="18">
        <v>1132.6666666666667</v>
      </c>
      <c r="BF32" s="18">
        <v>1179.3333333333333</v>
      </c>
      <c r="BG32" s="18">
        <v>175035</v>
      </c>
      <c r="BH32" s="18">
        <v>6364</v>
      </c>
      <c r="BI32" s="18">
        <v>1264</v>
      </c>
      <c r="BJ32" s="18">
        <v>1090.6451612903227</v>
      </c>
      <c r="BK32" s="18">
        <v>1153.2258064516129</v>
      </c>
    </row>
    <row r="33" spans="1:63" x14ac:dyDescent="0.35">
      <c r="A33" s="19">
        <v>29</v>
      </c>
      <c r="B33" s="21" t="s">
        <v>77</v>
      </c>
      <c r="C33" s="21" t="s">
        <v>78</v>
      </c>
      <c r="D33" s="18">
        <v>323785</v>
      </c>
      <c r="E33" s="18">
        <v>19625</v>
      </c>
      <c r="F33" s="18">
        <v>528</v>
      </c>
      <c r="G33" s="18">
        <v>666.77419354838707</v>
      </c>
      <c r="H33" s="18">
        <v>1108.0645161290322</v>
      </c>
      <c r="I33" s="18">
        <v>330864</v>
      </c>
      <c r="J33" s="18">
        <v>29523</v>
      </c>
      <c r="K33" s="18">
        <v>0</v>
      </c>
      <c r="L33" s="18">
        <v>678.57142857142856</v>
      </c>
      <c r="M33" s="18">
        <v>1381.0714285714287</v>
      </c>
      <c r="N33" s="18">
        <v>281695</v>
      </c>
      <c r="O33" s="18">
        <v>39550</v>
      </c>
      <c r="P33" s="18">
        <v>178</v>
      </c>
      <c r="Q33" s="18">
        <v>699.19354838709683</v>
      </c>
      <c r="R33" s="18">
        <v>1600</v>
      </c>
      <c r="S33" s="18">
        <v>243298</v>
      </c>
      <c r="T33" s="18">
        <v>22300</v>
      </c>
      <c r="U33" s="18">
        <v>155</v>
      </c>
      <c r="V33" s="18">
        <v>703.33333333333337</v>
      </c>
      <c r="W33" s="18">
        <v>1464.1666666666667</v>
      </c>
      <c r="X33" s="18">
        <v>382903</v>
      </c>
      <c r="Y33" s="18">
        <v>26053</v>
      </c>
      <c r="Z33" s="18">
        <v>517</v>
      </c>
      <c r="AA33" s="18">
        <v>810.9677419354839</v>
      </c>
      <c r="AB33" s="18">
        <v>1252.258064516129</v>
      </c>
      <c r="AC33" s="18">
        <v>367694</v>
      </c>
      <c r="AD33" s="18">
        <v>22745</v>
      </c>
      <c r="AE33" s="18">
        <v>617</v>
      </c>
      <c r="AF33" s="18">
        <v>757.33333333333337</v>
      </c>
      <c r="AG33" s="18">
        <v>1241.3333333333333</v>
      </c>
      <c r="AH33" s="18">
        <v>444579</v>
      </c>
      <c r="AI33" s="18">
        <v>20723</v>
      </c>
      <c r="AJ33" s="18">
        <v>512</v>
      </c>
      <c r="AK33" s="18">
        <v>766.77419354838707</v>
      </c>
      <c r="AL33" s="18">
        <v>1260</v>
      </c>
      <c r="AM33" s="18">
        <v>270764</v>
      </c>
      <c r="AN33" s="18">
        <v>27025</v>
      </c>
      <c r="AO33" s="18">
        <v>0</v>
      </c>
      <c r="AP33" s="18">
        <v>842.90322580645159</v>
      </c>
      <c r="AQ33" s="18">
        <v>1260</v>
      </c>
      <c r="AR33" s="18">
        <v>119729</v>
      </c>
      <c r="AS33" s="18">
        <v>10568</v>
      </c>
      <c r="AT33" s="18">
        <v>0</v>
      </c>
      <c r="AU33" s="18">
        <v>1123</v>
      </c>
      <c r="AV33" s="18">
        <v>1260</v>
      </c>
      <c r="AW33" s="18">
        <v>330834</v>
      </c>
      <c r="AX33" s="18">
        <v>22793</v>
      </c>
      <c r="AY33" s="18">
        <v>0</v>
      </c>
      <c r="AZ33" s="18">
        <v>1194.8387096774193</v>
      </c>
      <c r="BA33" s="18">
        <v>1257.0967741935483</v>
      </c>
      <c r="BB33" s="18">
        <v>370491</v>
      </c>
      <c r="BC33" s="18">
        <v>43536</v>
      </c>
      <c r="BD33" s="18">
        <v>0</v>
      </c>
      <c r="BE33" s="18">
        <v>1167.3333333333333</v>
      </c>
      <c r="BF33" s="18">
        <v>1228.3333333333333</v>
      </c>
      <c r="BG33" s="18">
        <v>348869</v>
      </c>
      <c r="BH33" s="18">
        <v>18744</v>
      </c>
      <c r="BI33" s="18">
        <v>0</v>
      </c>
      <c r="BJ33" s="18">
        <v>1140</v>
      </c>
      <c r="BK33" s="18">
        <v>1230</v>
      </c>
    </row>
    <row r="34" spans="1:63" x14ac:dyDescent="0.35">
      <c r="A34" s="19">
        <v>30</v>
      </c>
      <c r="B34" s="21" t="s">
        <v>79</v>
      </c>
      <c r="C34" s="21" t="s">
        <v>80</v>
      </c>
      <c r="D34" s="18">
        <v>255339</v>
      </c>
      <c r="E34" s="18">
        <v>71</v>
      </c>
      <c r="F34" s="18">
        <v>0</v>
      </c>
      <c r="G34" s="18">
        <v>660</v>
      </c>
      <c r="H34" s="18">
        <v>1078.4516129032259</v>
      </c>
      <c r="I34" s="18">
        <v>376000</v>
      </c>
      <c r="J34" s="18">
        <v>158</v>
      </c>
      <c r="K34" s="18">
        <v>0</v>
      </c>
      <c r="L34" s="18">
        <v>674.64285714285711</v>
      </c>
      <c r="M34" s="18">
        <v>1375.3571428571429</v>
      </c>
      <c r="N34" s="18">
        <v>302412</v>
      </c>
      <c r="O34" s="18">
        <v>840</v>
      </c>
      <c r="P34" s="18">
        <v>0</v>
      </c>
      <c r="Q34" s="18">
        <v>693.54838709677415</v>
      </c>
      <c r="R34" s="18">
        <v>1609.6774193548388</v>
      </c>
      <c r="S34" s="18">
        <v>240757</v>
      </c>
      <c r="T34" s="18">
        <v>20</v>
      </c>
      <c r="U34" s="18">
        <v>0</v>
      </c>
      <c r="V34" s="18">
        <v>695.83333333333337</v>
      </c>
      <c r="W34" s="18">
        <v>1360.5</v>
      </c>
      <c r="X34" s="18">
        <v>188736</v>
      </c>
      <c r="Y34" s="18">
        <v>8204</v>
      </c>
      <c r="Z34" s="18">
        <v>0</v>
      </c>
      <c r="AA34" s="18">
        <v>791.93548387096769</v>
      </c>
      <c r="AB34" s="18">
        <v>1226.9354838709678</v>
      </c>
      <c r="AC34" s="18">
        <v>144578</v>
      </c>
      <c r="AD34" s="18">
        <v>6290</v>
      </c>
      <c r="AE34" s="18">
        <v>0</v>
      </c>
      <c r="AF34" s="18">
        <v>767.33333333333337</v>
      </c>
      <c r="AG34" s="18">
        <v>1236.3333333333333</v>
      </c>
      <c r="AH34" s="18">
        <v>206491</v>
      </c>
      <c r="AI34" s="18">
        <v>9963</v>
      </c>
      <c r="AJ34" s="18">
        <v>0</v>
      </c>
      <c r="AK34" s="18">
        <v>770.64516129032256</v>
      </c>
      <c r="AL34" s="18">
        <v>1255</v>
      </c>
      <c r="AM34" s="18">
        <v>123391</v>
      </c>
      <c r="AN34" s="18">
        <v>12821</v>
      </c>
      <c r="AO34" s="18">
        <v>0</v>
      </c>
      <c r="AP34" s="18">
        <v>872.90322580645159</v>
      </c>
      <c r="AQ34" s="18">
        <v>1255</v>
      </c>
      <c r="AR34" s="18">
        <v>211787</v>
      </c>
      <c r="AS34" s="18">
        <v>8685</v>
      </c>
      <c r="AT34" s="18">
        <v>0</v>
      </c>
      <c r="AU34" s="18">
        <v>1063.6666666666667</v>
      </c>
      <c r="AV34" s="18">
        <v>1255</v>
      </c>
      <c r="AW34" s="18">
        <v>164904</v>
      </c>
      <c r="AX34" s="18">
        <v>3734</v>
      </c>
      <c r="AY34" s="18">
        <v>0</v>
      </c>
      <c r="AZ34" s="18">
        <v>1200</v>
      </c>
      <c r="BA34" s="18">
        <v>1249.3548387096773</v>
      </c>
      <c r="BB34" s="18">
        <v>106050</v>
      </c>
      <c r="BC34" s="18">
        <v>13011</v>
      </c>
      <c r="BD34" s="18">
        <v>0</v>
      </c>
      <c r="BE34" s="18">
        <v>1142.1666666666667</v>
      </c>
      <c r="BF34" s="18">
        <v>1214.6666666666667</v>
      </c>
      <c r="BG34" s="18">
        <v>131768</v>
      </c>
      <c r="BH34" s="18">
        <v>11648</v>
      </c>
      <c r="BI34" s="18">
        <v>0</v>
      </c>
      <c r="BJ34" s="18">
        <v>1078.7096774193549</v>
      </c>
      <c r="BK34" s="18">
        <v>1200</v>
      </c>
    </row>
    <row r="35" spans="1:63" x14ac:dyDescent="0.35">
      <c r="A35" s="19">
        <v>31</v>
      </c>
      <c r="B35" s="20" t="s">
        <v>81</v>
      </c>
      <c r="C35" s="20" t="s">
        <v>82</v>
      </c>
      <c r="D35" s="18">
        <v>247146</v>
      </c>
      <c r="E35" s="18">
        <v>47903</v>
      </c>
      <c r="F35" s="18">
        <v>0</v>
      </c>
      <c r="G35" s="18">
        <v>680</v>
      </c>
      <c r="H35" s="18">
        <v>1089.3548387096773</v>
      </c>
      <c r="I35" s="18">
        <v>331972</v>
      </c>
      <c r="J35" s="18">
        <v>38654</v>
      </c>
      <c r="K35" s="18">
        <v>0</v>
      </c>
      <c r="L35" s="18">
        <v>688.03571428571433</v>
      </c>
      <c r="M35" s="18">
        <v>1372.5</v>
      </c>
      <c r="N35" s="18">
        <v>217037</v>
      </c>
      <c r="O35" s="18">
        <v>27957</v>
      </c>
      <c r="P35" s="18">
        <v>0</v>
      </c>
      <c r="Q35" s="18">
        <v>700</v>
      </c>
      <c r="R35" s="18">
        <v>1601.6129032258063</v>
      </c>
      <c r="S35" s="18">
        <v>271593</v>
      </c>
      <c r="T35" s="18">
        <v>47736</v>
      </c>
      <c r="U35" s="18">
        <v>0</v>
      </c>
      <c r="V35" s="18">
        <v>708.16666666666663</v>
      </c>
      <c r="W35" s="18">
        <v>1394</v>
      </c>
      <c r="X35" s="18">
        <v>160338</v>
      </c>
      <c r="Y35" s="18">
        <v>40842</v>
      </c>
      <c r="Z35" s="18">
        <v>0</v>
      </c>
      <c r="AA35" s="18">
        <v>801.61290322580646</v>
      </c>
      <c r="AB35" s="18">
        <v>1250</v>
      </c>
      <c r="AC35" s="18">
        <v>173859</v>
      </c>
      <c r="AD35" s="18">
        <v>43758</v>
      </c>
      <c r="AE35" s="18">
        <v>0</v>
      </c>
      <c r="AF35" s="18">
        <v>750</v>
      </c>
      <c r="AG35" s="18">
        <v>1230.3333333333333</v>
      </c>
      <c r="AH35" s="18">
        <v>252075</v>
      </c>
      <c r="AI35" s="18">
        <v>30868</v>
      </c>
      <c r="AJ35" s="18">
        <v>0</v>
      </c>
      <c r="AK35" s="18">
        <v>762.25806451612902</v>
      </c>
      <c r="AL35" s="18">
        <v>1240</v>
      </c>
      <c r="AM35" s="18">
        <v>180190</v>
      </c>
      <c r="AN35" s="18">
        <v>22274</v>
      </c>
      <c r="AO35" s="18">
        <v>0</v>
      </c>
      <c r="AP35" s="18">
        <v>831.61290322580646</v>
      </c>
      <c r="AQ35" s="18">
        <v>1232.258064516129</v>
      </c>
      <c r="AR35" s="18">
        <v>101659</v>
      </c>
      <c r="AS35" s="18">
        <v>23573</v>
      </c>
      <c r="AT35" s="18">
        <v>0</v>
      </c>
      <c r="AU35" s="18">
        <v>1099</v>
      </c>
      <c r="AV35" s="18">
        <v>1219.3333333333333</v>
      </c>
      <c r="AW35" s="18">
        <v>216932</v>
      </c>
      <c r="AX35" s="18">
        <v>44325</v>
      </c>
      <c r="AY35" s="18">
        <v>0</v>
      </c>
      <c r="AZ35" s="18">
        <v>1193.5483870967741</v>
      </c>
      <c r="BA35" s="18">
        <v>1220</v>
      </c>
      <c r="BB35" s="18">
        <v>191293</v>
      </c>
      <c r="BC35" s="18">
        <v>46307</v>
      </c>
      <c r="BD35" s="18">
        <v>0</v>
      </c>
      <c r="BE35" s="18">
        <v>1146.3333333333333</v>
      </c>
      <c r="BF35" s="18">
        <v>1209.3333333333333</v>
      </c>
      <c r="BG35" s="18">
        <v>187347</v>
      </c>
      <c r="BH35" s="18">
        <v>30901</v>
      </c>
      <c r="BI35" s="18">
        <v>0</v>
      </c>
      <c r="BJ35" s="18">
        <v>1100</v>
      </c>
      <c r="BK35" s="18">
        <v>1193.5483870967741</v>
      </c>
    </row>
    <row r="36" spans="1:63" x14ac:dyDescent="0.35">
      <c r="A36" s="19">
        <v>32</v>
      </c>
      <c r="B36" s="20" t="s">
        <v>83</v>
      </c>
      <c r="C36" s="20" t="s">
        <v>84</v>
      </c>
      <c r="D36" s="18">
        <v>177800</v>
      </c>
      <c r="E36" s="18">
        <v>23357</v>
      </c>
      <c r="F36" s="18">
        <v>0</v>
      </c>
      <c r="G36" s="18">
        <v>670</v>
      </c>
      <c r="H36" s="18">
        <v>1078.0645161290322</v>
      </c>
      <c r="I36" s="18">
        <v>160782</v>
      </c>
      <c r="J36" s="18">
        <v>20150</v>
      </c>
      <c r="K36" s="18">
        <v>0</v>
      </c>
      <c r="L36" s="18">
        <v>679.10714285714289</v>
      </c>
      <c r="M36" s="18">
        <v>1405.7142857142858</v>
      </c>
      <c r="N36" s="18">
        <v>165467</v>
      </c>
      <c r="O36" s="18">
        <v>22286</v>
      </c>
      <c r="P36" s="18">
        <v>0</v>
      </c>
      <c r="Q36" s="18">
        <v>690</v>
      </c>
      <c r="R36" s="18">
        <v>1611.2903225806451</v>
      </c>
      <c r="S36" s="18">
        <v>192852</v>
      </c>
      <c r="T36" s="18">
        <v>21729</v>
      </c>
      <c r="U36" s="18">
        <v>0</v>
      </c>
      <c r="V36" s="18">
        <v>696</v>
      </c>
      <c r="W36" s="18">
        <v>1405.6666666666667</v>
      </c>
      <c r="X36" s="18">
        <v>142820</v>
      </c>
      <c r="Y36" s="18">
        <v>19266</v>
      </c>
      <c r="Z36" s="18">
        <v>0</v>
      </c>
      <c r="AA36" s="18">
        <v>803.87096774193549</v>
      </c>
      <c r="AB36" s="18">
        <v>1245.1612903225807</v>
      </c>
      <c r="AC36" s="18">
        <v>144734</v>
      </c>
      <c r="AD36" s="18">
        <v>13820</v>
      </c>
      <c r="AE36" s="18">
        <v>0</v>
      </c>
      <c r="AF36" s="18">
        <v>715.66666666666663</v>
      </c>
      <c r="AG36" s="18">
        <v>1227.3333333333333</v>
      </c>
      <c r="AH36" s="18">
        <v>237176</v>
      </c>
      <c r="AI36" s="18">
        <v>13835</v>
      </c>
      <c r="AJ36" s="18">
        <v>0</v>
      </c>
      <c r="AK36" s="18">
        <v>757.90322580645159</v>
      </c>
      <c r="AL36" s="18">
        <v>1240</v>
      </c>
      <c r="AM36" s="18">
        <v>111504</v>
      </c>
      <c r="AN36" s="18">
        <v>7218</v>
      </c>
      <c r="AO36" s="18">
        <v>0</v>
      </c>
      <c r="AP36" s="18">
        <v>860.9677419354839</v>
      </c>
      <c r="AQ36" s="18">
        <v>1240</v>
      </c>
      <c r="AR36" s="18">
        <v>128517</v>
      </c>
      <c r="AS36" s="18">
        <v>11068</v>
      </c>
      <c r="AT36" s="18">
        <v>0</v>
      </c>
      <c r="AU36" s="18">
        <v>1086.6666666666667</v>
      </c>
      <c r="AV36" s="18">
        <v>1240</v>
      </c>
      <c r="AW36" s="18">
        <v>155540</v>
      </c>
      <c r="AX36" s="18">
        <v>21129</v>
      </c>
      <c r="AY36" s="18">
        <v>0</v>
      </c>
      <c r="AZ36" s="18">
        <v>1180.9677419354839</v>
      </c>
      <c r="BA36" s="18">
        <v>1237.0967741935483</v>
      </c>
      <c r="BB36" s="18">
        <v>159238</v>
      </c>
      <c r="BC36" s="18">
        <v>28748</v>
      </c>
      <c r="BD36" s="18">
        <v>0</v>
      </c>
      <c r="BE36" s="18">
        <v>1143</v>
      </c>
      <c r="BF36" s="18">
        <v>1208.6666666666667</v>
      </c>
      <c r="BG36" s="18">
        <v>178584</v>
      </c>
      <c r="BH36" s="18">
        <v>21522</v>
      </c>
      <c r="BI36" s="18">
        <v>0</v>
      </c>
      <c r="BJ36" s="18">
        <v>1087.4193548387098</v>
      </c>
      <c r="BK36" s="18">
        <v>1190</v>
      </c>
    </row>
    <row r="37" spans="1:63" x14ac:dyDescent="0.35">
      <c r="A37" s="19">
        <v>33</v>
      </c>
      <c r="B37" s="20" t="s">
        <v>85</v>
      </c>
      <c r="C37" s="20" t="s">
        <v>86</v>
      </c>
      <c r="D37" s="18">
        <v>286101</v>
      </c>
      <c r="E37" s="18">
        <v>26507</v>
      </c>
      <c r="F37" s="18">
        <v>0</v>
      </c>
      <c r="G37" s="18">
        <v>660</v>
      </c>
      <c r="H37" s="18">
        <v>1078.7096774193549</v>
      </c>
      <c r="I37" s="18">
        <v>325488</v>
      </c>
      <c r="J37" s="18">
        <v>13277</v>
      </c>
      <c r="K37" s="18">
        <v>0</v>
      </c>
      <c r="L37" s="18">
        <v>674.64285714285711</v>
      </c>
      <c r="M37" s="18">
        <v>1383.9285714285713</v>
      </c>
      <c r="N37" s="18">
        <v>327884</v>
      </c>
      <c r="O37" s="18">
        <v>5132</v>
      </c>
      <c r="P37" s="18">
        <v>0</v>
      </c>
      <c r="Q37" s="18">
        <v>695</v>
      </c>
      <c r="R37" s="18">
        <v>1603.2258064516129</v>
      </c>
      <c r="S37" s="18">
        <v>324247</v>
      </c>
      <c r="T37" s="18">
        <v>21433</v>
      </c>
      <c r="U37" s="18">
        <v>0</v>
      </c>
      <c r="V37" s="18">
        <v>696.33333333333337</v>
      </c>
      <c r="W37" s="18">
        <v>1360.5</v>
      </c>
      <c r="X37" s="18">
        <v>245645</v>
      </c>
      <c r="Y37" s="18">
        <v>23168</v>
      </c>
      <c r="Z37" s="18">
        <v>0</v>
      </c>
      <c r="AA37" s="18">
        <v>791.93548387096769</v>
      </c>
      <c r="AB37" s="18">
        <v>1227.0967741935483</v>
      </c>
      <c r="AC37" s="18">
        <v>260944</v>
      </c>
      <c r="AD37" s="18">
        <v>23950</v>
      </c>
      <c r="AE37" s="18">
        <v>0</v>
      </c>
      <c r="AF37" s="18">
        <v>767.33333333333337</v>
      </c>
      <c r="AG37" s="18">
        <v>1236.3333333333333</v>
      </c>
      <c r="AH37" s="18">
        <v>268199</v>
      </c>
      <c r="AI37" s="18">
        <v>6859</v>
      </c>
      <c r="AJ37" s="18">
        <v>0</v>
      </c>
      <c r="AK37" s="18">
        <v>770.64516129032256</v>
      </c>
      <c r="AL37" s="18">
        <v>1255</v>
      </c>
      <c r="AM37" s="18">
        <v>153349</v>
      </c>
      <c r="AN37" s="18">
        <v>3576</v>
      </c>
      <c r="AO37" s="18">
        <v>0</v>
      </c>
      <c r="AP37" s="18">
        <v>875.80645161290317</v>
      </c>
      <c r="AQ37" s="18">
        <v>1255</v>
      </c>
      <c r="AR37" s="18">
        <v>206596</v>
      </c>
      <c r="AS37" s="18">
        <v>4482</v>
      </c>
      <c r="AT37" s="18">
        <v>0</v>
      </c>
      <c r="AU37" s="18">
        <v>1068</v>
      </c>
      <c r="AV37" s="18">
        <v>1254.3333333333333</v>
      </c>
      <c r="AW37" s="18">
        <v>230227</v>
      </c>
      <c r="AX37" s="18">
        <v>3028</v>
      </c>
      <c r="AY37" s="18">
        <v>0</v>
      </c>
      <c r="AZ37" s="18">
        <v>1206.4516129032259</v>
      </c>
      <c r="BA37" s="18">
        <v>1244.8387096774193</v>
      </c>
      <c r="BB37" s="18">
        <v>180306</v>
      </c>
      <c r="BC37" s="18">
        <v>4265</v>
      </c>
      <c r="BD37" s="18">
        <v>0</v>
      </c>
      <c r="BE37" s="18">
        <v>1142.1666666666667</v>
      </c>
      <c r="BF37" s="18">
        <v>1215.3333333333333</v>
      </c>
      <c r="BG37" s="18">
        <v>128255</v>
      </c>
      <c r="BH37" s="18">
        <v>9928</v>
      </c>
      <c r="BI37" s="18">
        <v>0</v>
      </c>
      <c r="BJ37" s="18">
        <v>1078.7096774193549</v>
      </c>
      <c r="BK37" s="18">
        <v>1200</v>
      </c>
    </row>
    <row r="38" spans="1:63" x14ac:dyDescent="0.35">
      <c r="A38" s="19">
        <v>34</v>
      </c>
      <c r="B38" s="20" t="s">
        <v>87</v>
      </c>
      <c r="C38" s="20" t="s">
        <v>88</v>
      </c>
      <c r="D38" s="18">
        <v>124500</v>
      </c>
      <c r="E38" s="18">
        <v>6092</v>
      </c>
      <c r="F38" s="18">
        <v>0</v>
      </c>
      <c r="G38" s="18">
        <v>650.48387096774195</v>
      </c>
      <c r="H38" s="18">
        <v>1058.7096774193549</v>
      </c>
      <c r="I38" s="18">
        <v>125087</v>
      </c>
      <c r="J38" s="18">
        <v>11142</v>
      </c>
      <c r="K38" s="18">
        <v>0</v>
      </c>
      <c r="L38" s="18">
        <v>669.46428571428567</v>
      </c>
      <c r="M38" s="18">
        <v>1407.1428571428571</v>
      </c>
      <c r="N38" s="18">
        <v>126467</v>
      </c>
      <c r="O38" s="18">
        <v>10951</v>
      </c>
      <c r="P38" s="18">
        <v>0</v>
      </c>
      <c r="Q38" s="18">
        <v>695</v>
      </c>
      <c r="R38" s="18">
        <v>1590.3225806451612</v>
      </c>
      <c r="S38" s="18">
        <v>142397</v>
      </c>
      <c r="T38" s="18">
        <v>13674</v>
      </c>
      <c r="U38" s="18">
        <v>0</v>
      </c>
      <c r="V38" s="18">
        <v>695</v>
      </c>
      <c r="W38" s="18">
        <v>1353.6666666666667</v>
      </c>
      <c r="X38" s="18">
        <v>179711</v>
      </c>
      <c r="Y38" s="18">
        <v>9748</v>
      </c>
      <c r="Z38" s="18">
        <v>0</v>
      </c>
      <c r="AA38" s="18">
        <v>742.58064516129036</v>
      </c>
      <c r="AB38" s="18">
        <v>1197.4193548387098</v>
      </c>
      <c r="AC38" s="18">
        <v>153389</v>
      </c>
      <c r="AD38" s="18">
        <v>8143</v>
      </c>
      <c r="AE38" s="18">
        <v>0</v>
      </c>
      <c r="AF38" s="18">
        <v>740.33333333333337</v>
      </c>
      <c r="AG38" s="18">
        <v>1201.3333333333333</v>
      </c>
      <c r="AH38" s="18">
        <v>185701</v>
      </c>
      <c r="AI38" s="18">
        <v>6724</v>
      </c>
      <c r="AJ38" s="18">
        <v>0</v>
      </c>
      <c r="AK38" s="18">
        <v>750.80645161290317</v>
      </c>
      <c r="AL38" s="18">
        <v>1220</v>
      </c>
      <c r="AM38" s="18">
        <v>129536</v>
      </c>
      <c r="AN38" s="18">
        <v>7028</v>
      </c>
      <c r="AO38" s="18">
        <v>0</v>
      </c>
      <c r="AP38" s="18">
        <v>867.41935483870964</v>
      </c>
      <c r="AQ38" s="18">
        <v>1220</v>
      </c>
      <c r="AR38" s="18">
        <v>194647</v>
      </c>
      <c r="AS38" s="18">
        <v>7101</v>
      </c>
      <c r="AT38" s="18">
        <v>0</v>
      </c>
      <c r="AU38" s="18">
        <v>1108.8333333333333</v>
      </c>
      <c r="AV38" s="18">
        <v>1220</v>
      </c>
      <c r="AW38" s="18">
        <v>227787</v>
      </c>
      <c r="AX38" s="18">
        <v>9839</v>
      </c>
      <c r="AY38" s="18">
        <v>0</v>
      </c>
      <c r="AZ38" s="18">
        <v>1150.6451612903227</v>
      </c>
      <c r="BA38" s="18">
        <v>1211.2903225806451</v>
      </c>
      <c r="BB38" s="18">
        <v>161188</v>
      </c>
      <c r="BC38" s="18">
        <v>13769</v>
      </c>
      <c r="BD38" s="18">
        <v>0</v>
      </c>
      <c r="BE38" s="18">
        <v>1138.3333333333333</v>
      </c>
      <c r="BF38" s="18">
        <v>1179.3333333333333</v>
      </c>
      <c r="BG38" s="18">
        <v>150412</v>
      </c>
      <c r="BH38" s="18">
        <v>18258</v>
      </c>
      <c r="BI38" s="18">
        <v>0</v>
      </c>
      <c r="BJ38" s="18">
        <v>1081.6129032258063</v>
      </c>
      <c r="BK38" s="18">
        <v>1153.2258064516129</v>
      </c>
    </row>
    <row r="39" spans="1:63" x14ac:dyDescent="0.35">
      <c r="A39" s="19">
        <v>35</v>
      </c>
      <c r="B39" s="20" t="s">
        <v>89</v>
      </c>
      <c r="C39" s="20" t="s">
        <v>90</v>
      </c>
      <c r="D39" s="18">
        <v>157337</v>
      </c>
      <c r="E39" s="18">
        <v>13743</v>
      </c>
      <c r="F39" s="18">
        <v>0</v>
      </c>
      <c r="G39" s="18">
        <v>650.48387096774195</v>
      </c>
      <c r="H39" s="18">
        <v>1058.7096774193549</v>
      </c>
      <c r="I39" s="18">
        <v>139529</v>
      </c>
      <c r="J39" s="18">
        <v>7315</v>
      </c>
      <c r="K39" s="18">
        <v>0</v>
      </c>
      <c r="L39" s="18">
        <v>669.46428571428567</v>
      </c>
      <c r="M39" s="18">
        <v>1401.0714285714287</v>
      </c>
      <c r="N39" s="18">
        <v>141922</v>
      </c>
      <c r="O39" s="18">
        <v>3764</v>
      </c>
      <c r="P39" s="18">
        <v>0</v>
      </c>
      <c r="Q39" s="18">
        <v>695</v>
      </c>
      <c r="R39" s="18">
        <v>1641.9354838709678</v>
      </c>
      <c r="S39" s="18">
        <v>189935</v>
      </c>
      <c r="T39" s="18">
        <v>16467</v>
      </c>
      <c r="U39" s="18">
        <v>0</v>
      </c>
      <c r="V39" s="18">
        <v>695</v>
      </c>
      <c r="W39" s="18">
        <v>1388.6666666666667</v>
      </c>
      <c r="X39" s="18">
        <v>252946</v>
      </c>
      <c r="Y39" s="18">
        <v>14243</v>
      </c>
      <c r="Z39" s="18">
        <v>0</v>
      </c>
      <c r="AA39" s="18">
        <v>742.58064516129036</v>
      </c>
      <c r="AB39" s="18">
        <v>1197.4193548387098</v>
      </c>
      <c r="AC39" s="18">
        <v>192140</v>
      </c>
      <c r="AD39" s="18">
        <v>13059</v>
      </c>
      <c r="AE39" s="18">
        <v>0</v>
      </c>
      <c r="AF39" s="18">
        <v>740.33333333333337</v>
      </c>
      <c r="AG39" s="18">
        <v>1201.3333333333333</v>
      </c>
      <c r="AH39" s="18">
        <v>262718</v>
      </c>
      <c r="AI39" s="18">
        <v>12331</v>
      </c>
      <c r="AJ39" s="18">
        <v>0</v>
      </c>
      <c r="AK39" s="18">
        <v>750.80645161290317</v>
      </c>
      <c r="AL39" s="18">
        <v>1220</v>
      </c>
      <c r="AM39" s="18">
        <v>181260</v>
      </c>
      <c r="AN39" s="18">
        <v>9877</v>
      </c>
      <c r="AO39" s="18">
        <v>0</v>
      </c>
      <c r="AP39" s="18">
        <v>867.41935483870964</v>
      </c>
      <c r="AQ39" s="18">
        <v>1219.3548387096773</v>
      </c>
      <c r="AR39" s="18">
        <v>200754</v>
      </c>
      <c r="AS39" s="18">
        <v>12698</v>
      </c>
      <c r="AT39" s="18">
        <v>0</v>
      </c>
      <c r="AU39" s="18">
        <v>1108.8333333333333</v>
      </c>
      <c r="AV39" s="18">
        <v>1220</v>
      </c>
      <c r="AW39" s="18">
        <v>293951</v>
      </c>
      <c r="AX39" s="18">
        <v>11225</v>
      </c>
      <c r="AY39" s="18">
        <v>0</v>
      </c>
      <c r="AZ39" s="18">
        <v>1150.6451612903227</v>
      </c>
      <c r="BA39" s="18">
        <v>1211.2903225806451</v>
      </c>
      <c r="BB39" s="18">
        <v>190160</v>
      </c>
      <c r="BC39" s="18">
        <v>13569</v>
      </c>
      <c r="BD39" s="18">
        <v>0</v>
      </c>
      <c r="BE39" s="18">
        <v>1138.3333333333333</v>
      </c>
      <c r="BF39" s="18">
        <v>1179.3333333333333</v>
      </c>
      <c r="BG39" s="18">
        <v>205978</v>
      </c>
      <c r="BH39" s="18">
        <v>15993</v>
      </c>
      <c r="BI39" s="18">
        <v>0</v>
      </c>
      <c r="BJ39" s="18">
        <v>1081.6129032258063</v>
      </c>
      <c r="BK39" s="18">
        <v>1153.2258064516129</v>
      </c>
    </row>
    <row r="40" spans="1:63" x14ac:dyDescent="0.35">
      <c r="A40" s="19">
        <v>36</v>
      </c>
      <c r="B40" s="20" t="s">
        <v>91</v>
      </c>
      <c r="C40" s="20" t="s">
        <v>92</v>
      </c>
      <c r="D40" s="18">
        <v>376412</v>
      </c>
      <c r="E40" s="18">
        <v>10660</v>
      </c>
      <c r="F40" s="18">
        <v>0</v>
      </c>
      <c r="G40" s="18">
        <v>660</v>
      </c>
      <c r="H40" s="18">
        <v>1075.483870967742</v>
      </c>
      <c r="I40" s="18">
        <v>456603</v>
      </c>
      <c r="J40" s="18">
        <v>12114</v>
      </c>
      <c r="K40" s="18">
        <v>0</v>
      </c>
      <c r="L40" s="18">
        <v>672.85714285714289</v>
      </c>
      <c r="M40" s="18">
        <v>1399.8214285714287</v>
      </c>
      <c r="N40" s="18">
        <v>456341</v>
      </c>
      <c r="O40" s="18">
        <v>15469</v>
      </c>
      <c r="P40" s="18">
        <v>0</v>
      </c>
      <c r="Q40" s="18">
        <v>680</v>
      </c>
      <c r="R40" s="18">
        <v>1594.3548387096773</v>
      </c>
      <c r="S40" s="18">
        <v>454643</v>
      </c>
      <c r="T40" s="18">
        <v>13354</v>
      </c>
      <c r="U40" s="18">
        <v>0</v>
      </c>
      <c r="V40" s="18">
        <v>683.33333333333337</v>
      </c>
      <c r="W40" s="18">
        <v>1388.3333333333333</v>
      </c>
      <c r="X40" s="18">
        <v>571072</v>
      </c>
      <c r="Y40" s="18">
        <v>9400</v>
      </c>
      <c r="Z40" s="18">
        <v>0</v>
      </c>
      <c r="AA40" s="18">
        <v>692.09677419354841</v>
      </c>
      <c r="AB40" s="18">
        <v>1232.0967741935483</v>
      </c>
      <c r="AC40" s="18">
        <v>502719</v>
      </c>
      <c r="AD40" s="18">
        <v>9659</v>
      </c>
      <c r="AE40" s="18">
        <v>0</v>
      </c>
      <c r="AF40" s="18">
        <v>683.66666666666663</v>
      </c>
      <c r="AG40" s="18">
        <v>1210.3333333333333</v>
      </c>
      <c r="AH40" s="18">
        <v>655840</v>
      </c>
      <c r="AI40" s="18">
        <v>10389</v>
      </c>
      <c r="AJ40" s="18">
        <v>0</v>
      </c>
      <c r="AK40" s="18">
        <v>695.09677419354841</v>
      </c>
      <c r="AL40" s="18">
        <v>1220</v>
      </c>
      <c r="AM40" s="18">
        <v>380986</v>
      </c>
      <c r="AN40" s="18">
        <v>5968</v>
      </c>
      <c r="AO40" s="18">
        <v>0</v>
      </c>
      <c r="AP40" s="18">
        <v>703.74193548387098</v>
      </c>
      <c r="AQ40" s="18">
        <v>1220</v>
      </c>
      <c r="AR40" s="18">
        <v>324080</v>
      </c>
      <c r="AS40" s="18">
        <v>4816</v>
      </c>
      <c r="AT40" s="18">
        <v>0</v>
      </c>
      <c r="AU40" s="18">
        <v>979.66666666666663</v>
      </c>
      <c r="AV40" s="18">
        <v>1220</v>
      </c>
      <c r="AW40" s="18">
        <v>617534</v>
      </c>
      <c r="AX40" s="18">
        <v>10350</v>
      </c>
      <c r="AY40" s="18">
        <v>0</v>
      </c>
      <c r="AZ40" s="18">
        <v>1090.6451612903227</v>
      </c>
      <c r="BA40" s="18">
        <v>1220</v>
      </c>
      <c r="BB40" s="18">
        <v>484649</v>
      </c>
      <c r="BC40" s="18">
        <v>10915</v>
      </c>
      <c r="BD40" s="18">
        <v>0</v>
      </c>
      <c r="BE40" s="18">
        <v>1131.8333333333333</v>
      </c>
      <c r="BF40" s="18">
        <v>1195</v>
      </c>
      <c r="BG40" s="18">
        <v>421429</v>
      </c>
      <c r="BH40" s="18">
        <v>9449</v>
      </c>
      <c r="BI40" s="18">
        <v>0</v>
      </c>
      <c r="BJ40" s="18">
        <v>1086.7741935483871</v>
      </c>
      <c r="BK40" s="18">
        <v>1190</v>
      </c>
    </row>
    <row r="41" spans="1:63" x14ac:dyDescent="0.35">
      <c r="A41" s="19">
        <v>37</v>
      </c>
      <c r="B41" s="20" t="s">
        <v>93</v>
      </c>
      <c r="C41" s="20" t="s">
        <v>94</v>
      </c>
      <c r="D41" s="18">
        <v>256789</v>
      </c>
      <c r="E41" s="18">
        <v>8706</v>
      </c>
      <c r="F41" s="18">
        <v>0</v>
      </c>
      <c r="G41" s="18">
        <v>650.48387096774195</v>
      </c>
      <c r="H41" s="18">
        <v>1055.9677419354839</v>
      </c>
      <c r="I41" s="18">
        <v>251994</v>
      </c>
      <c r="J41" s="18">
        <v>8431</v>
      </c>
      <c r="K41" s="18">
        <v>0</v>
      </c>
      <c r="L41" s="18">
        <v>669.46428571428567</v>
      </c>
      <c r="M41" s="18">
        <v>1406.4285714285713</v>
      </c>
      <c r="N41" s="18">
        <v>251170</v>
      </c>
      <c r="O41" s="18">
        <v>13348</v>
      </c>
      <c r="P41" s="18">
        <v>0</v>
      </c>
      <c r="Q41" s="18">
        <v>695</v>
      </c>
      <c r="R41" s="18">
        <v>1590.3225806451612</v>
      </c>
      <c r="S41" s="18">
        <v>260995</v>
      </c>
      <c r="T41" s="18">
        <v>17341</v>
      </c>
      <c r="U41" s="18">
        <v>0</v>
      </c>
      <c r="V41" s="18">
        <v>695</v>
      </c>
      <c r="W41" s="18">
        <v>1353.6666666666667</v>
      </c>
      <c r="X41" s="18">
        <v>245034</v>
      </c>
      <c r="Y41" s="18">
        <v>9983</v>
      </c>
      <c r="Z41" s="18">
        <v>0</v>
      </c>
      <c r="AA41" s="18">
        <v>742.58064516129036</v>
      </c>
      <c r="AB41" s="18">
        <v>1197.0967741935483</v>
      </c>
      <c r="AC41" s="18">
        <v>222130</v>
      </c>
      <c r="AD41" s="18">
        <v>12538</v>
      </c>
      <c r="AE41" s="18">
        <v>0</v>
      </c>
      <c r="AF41" s="18">
        <v>741.33333333333337</v>
      </c>
      <c r="AG41" s="18">
        <v>1201.3333333333333</v>
      </c>
      <c r="AH41" s="18">
        <v>327974</v>
      </c>
      <c r="AI41" s="18">
        <v>17994</v>
      </c>
      <c r="AJ41" s="18">
        <v>0</v>
      </c>
      <c r="AK41" s="18">
        <v>750.80645161290317</v>
      </c>
      <c r="AL41" s="18">
        <v>1220</v>
      </c>
      <c r="AM41" s="18">
        <v>119980</v>
      </c>
      <c r="AN41" s="18">
        <v>7541</v>
      </c>
      <c r="AO41" s="18">
        <v>0</v>
      </c>
      <c r="AP41" s="18">
        <v>867.41935483870964</v>
      </c>
      <c r="AQ41" s="18">
        <v>1220</v>
      </c>
      <c r="AR41" s="18">
        <v>186094</v>
      </c>
      <c r="AS41" s="18">
        <v>11059</v>
      </c>
      <c r="AT41" s="18">
        <v>0</v>
      </c>
      <c r="AU41" s="18">
        <v>1108.8333333333333</v>
      </c>
      <c r="AV41" s="18">
        <v>1220</v>
      </c>
      <c r="AW41" s="18">
        <v>252752</v>
      </c>
      <c r="AX41" s="18">
        <v>15229</v>
      </c>
      <c r="AY41" s="18">
        <v>0</v>
      </c>
      <c r="AZ41" s="18">
        <v>1150.6451612903227</v>
      </c>
      <c r="BA41" s="18">
        <v>1211.2903225806451</v>
      </c>
      <c r="BB41" s="18">
        <v>216907</v>
      </c>
      <c r="BC41" s="18">
        <v>18746</v>
      </c>
      <c r="BD41" s="18">
        <v>0</v>
      </c>
      <c r="BE41" s="18">
        <v>1138.3333333333333</v>
      </c>
      <c r="BF41" s="18">
        <v>1179.3333333333333</v>
      </c>
      <c r="BG41" s="18">
        <v>191634</v>
      </c>
      <c r="BH41" s="18">
        <v>22706</v>
      </c>
      <c r="BI41" s="18">
        <v>0</v>
      </c>
      <c r="BJ41" s="18">
        <v>1081.6129032258063</v>
      </c>
      <c r="BK41" s="18">
        <v>1153.2258064516129</v>
      </c>
    </row>
    <row r="42" spans="1:63" x14ac:dyDescent="0.35">
      <c r="A42" s="19">
        <v>38</v>
      </c>
      <c r="B42" s="20" t="s">
        <v>95</v>
      </c>
      <c r="C42" s="20" t="s">
        <v>96</v>
      </c>
      <c r="D42" s="18">
        <v>257262</v>
      </c>
      <c r="E42" s="18">
        <v>31110</v>
      </c>
      <c r="F42" s="18">
        <v>0</v>
      </c>
      <c r="G42" s="18">
        <v>650.48387096774195</v>
      </c>
      <c r="H42" s="18">
        <v>1047.5806451612902</v>
      </c>
      <c r="I42" s="18">
        <v>254061</v>
      </c>
      <c r="J42" s="18">
        <v>22686</v>
      </c>
      <c r="K42" s="18">
        <v>0</v>
      </c>
      <c r="L42" s="18">
        <v>669.46428571428567</v>
      </c>
      <c r="M42" s="18">
        <v>1404.2857142857142</v>
      </c>
      <c r="N42" s="18">
        <v>222548</v>
      </c>
      <c r="O42" s="18">
        <v>23743</v>
      </c>
      <c r="P42" s="18">
        <v>0</v>
      </c>
      <c r="Q42" s="18">
        <v>695</v>
      </c>
      <c r="R42" s="18">
        <v>1590.3225806451612</v>
      </c>
      <c r="S42" s="18">
        <v>268078</v>
      </c>
      <c r="T42" s="18">
        <v>46266</v>
      </c>
      <c r="U42" s="18">
        <v>0</v>
      </c>
      <c r="V42" s="18">
        <v>695</v>
      </c>
      <c r="W42" s="18">
        <v>1349</v>
      </c>
      <c r="X42" s="18">
        <v>276567</v>
      </c>
      <c r="Y42" s="18">
        <v>26299</v>
      </c>
      <c r="Z42" s="18">
        <v>0</v>
      </c>
      <c r="AA42" s="18">
        <v>742.58064516129036</v>
      </c>
      <c r="AB42" s="18">
        <v>1197.4193548387098</v>
      </c>
      <c r="AC42" s="18">
        <v>231283</v>
      </c>
      <c r="AD42" s="18">
        <v>25477</v>
      </c>
      <c r="AE42" s="18">
        <v>0</v>
      </c>
      <c r="AF42" s="18">
        <v>735.33333333333337</v>
      </c>
      <c r="AG42" s="18">
        <v>1201.3333333333333</v>
      </c>
      <c r="AH42" s="18">
        <v>304825</v>
      </c>
      <c r="AI42" s="18">
        <v>19274</v>
      </c>
      <c r="AJ42" s="18">
        <v>0</v>
      </c>
      <c r="AK42" s="18">
        <v>750.80645161290317</v>
      </c>
      <c r="AL42" s="18">
        <v>1220</v>
      </c>
      <c r="AM42" s="18">
        <v>167502</v>
      </c>
      <c r="AN42" s="18">
        <v>16378</v>
      </c>
      <c r="AO42" s="18">
        <v>0</v>
      </c>
      <c r="AP42" s="18">
        <v>867.41935483870964</v>
      </c>
      <c r="AQ42" s="18">
        <v>1220</v>
      </c>
      <c r="AR42" s="18">
        <v>247830</v>
      </c>
      <c r="AS42" s="18">
        <v>16138</v>
      </c>
      <c r="AT42" s="18">
        <v>0</v>
      </c>
      <c r="AU42" s="18">
        <v>1108.8333333333333</v>
      </c>
      <c r="AV42" s="18">
        <v>1220</v>
      </c>
      <c r="AW42" s="18">
        <v>273072</v>
      </c>
      <c r="AX42" s="18">
        <v>18313</v>
      </c>
      <c r="AY42" s="18">
        <v>0</v>
      </c>
      <c r="AZ42" s="18">
        <v>1150.6451612903227</v>
      </c>
      <c r="BA42" s="18">
        <v>1211.2903225806451</v>
      </c>
      <c r="BB42" s="18">
        <v>170782</v>
      </c>
      <c r="BC42" s="18">
        <v>14402</v>
      </c>
      <c r="BD42" s="18">
        <v>0</v>
      </c>
      <c r="BE42" s="18">
        <v>1138.3333333333333</v>
      </c>
      <c r="BF42" s="18">
        <v>1179.3333333333333</v>
      </c>
      <c r="BG42" s="18">
        <v>185917</v>
      </c>
      <c r="BH42" s="18">
        <v>0</v>
      </c>
      <c r="BI42" s="18">
        <v>0</v>
      </c>
      <c r="BJ42" s="18">
        <v>1081.6129032258063</v>
      </c>
      <c r="BK42" s="18">
        <v>1153.2258064516129</v>
      </c>
    </row>
    <row r="43" spans="1:63" x14ac:dyDescent="0.35">
      <c r="A43" s="19">
        <v>39</v>
      </c>
      <c r="B43" s="20" t="s">
        <v>97</v>
      </c>
      <c r="C43" s="20" t="s">
        <v>98</v>
      </c>
      <c r="D43" s="18">
        <v>221854</v>
      </c>
      <c r="E43" s="18">
        <v>44263</v>
      </c>
      <c r="F43" s="18">
        <v>0</v>
      </c>
      <c r="G43" s="18">
        <v>652.25806451612902</v>
      </c>
      <c r="H43" s="18">
        <v>1057.258064516129</v>
      </c>
      <c r="I43" s="18">
        <v>186204</v>
      </c>
      <c r="J43" s="18">
        <v>29723</v>
      </c>
      <c r="K43" s="18">
        <v>0</v>
      </c>
      <c r="L43" s="18">
        <v>669.28571428571433</v>
      </c>
      <c r="M43" s="18">
        <v>1406.4285714285713</v>
      </c>
      <c r="N43" s="18">
        <v>221767</v>
      </c>
      <c r="O43" s="18">
        <v>23594</v>
      </c>
      <c r="P43" s="18">
        <v>0</v>
      </c>
      <c r="Q43" s="18">
        <v>695</v>
      </c>
      <c r="R43" s="18">
        <v>1590.3225806451612</v>
      </c>
      <c r="S43" s="18">
        <v>263887</v>
      </c>
      <c r="T43" s="18">
        <v>29645</v>
      </c>
      <c r="U43" s="18">
        <v>0</v>
      </c>
      <c r="V43" s="18">
        <v>695</v>
      </c>
      <c r="W43" s="18">
        <v>1357</v>
      </c>
      <c r="X43" s="18">
        <v>207810</v>
      </c>
      <c r="Y43" s="18">
        <v>35340</v>
      </c>
      <c r="Z43" s="18">
        <v>0</v>
      </c>
      <c r="AA43" s="18">
        <v>740.9677419354839</v>
      </c>
      <c r="AB43" s="18">
        <v>1197.4193548387098</v>
      </c>
      <c r="AC43" s="18">
        <v>196226</v>
      </c>
      <c r="AD43" s="18">
        <v>25499</v>
      </c>
      <c r="AE43" s="18">
        <v>0</v>
      </c>
      <c r="AF43" s="18">
        <v>726.66666666666663</v>
      </c>
      <c r="AG43" s="18">
        <v>1181.3333333333333</v>
      </c>
      <c r="AH43" s="18">
        <v>259958</v>
      </c>
      <c r="AI43" s="18">
        <v>24651</v>
      </c>
      <c r="AJ43" s="18">
        <v>0</v>
      </c>
      <c r="AK43" s="18">
        <v>746.77419354838707</v>
      </c>
      <c r="AL43" s="18">
        <v>1207.4193548387098</v>
      </c>
      <c r="AM43" s="18">
        <v>124349</v>
      </c>
      <c r="AN43" s="18">
        <v>21820</v>
      </c>
      <c r="AO43" s="18">
        <v>0</v>
      </c>
      <c r="AP43" s="18">
        <v>841.61290322580646</v>
      </c>
      <c r="AQ43" s="18">
        <v>1230</v>
      </c>
      <c r="AR43" s="18">
        <v>163217</v>
      </c>
      <c r="AS43" s="18">
        <v>24132</v>
      </c>
      <c r="AT43" s="18">
        <v>0</v>
      </c>
      <c r="AU43" s="18">
        <v>1107.5</v>
      </c>
      <c r="AV43" s="18">
        <v>1230</v>
      </c>
      <c r="AW43" s="18">
        <v>205967</v>
      </c>
      <c r="AX43" s="18">
        <v>24351</v>
      </c>
      <c r="AY43" s="18">
        <v>0</v>
      </c>
      <c r="AZ43" s="18">
        <v>1186.4516129032259</v>
      </c>
      <c r="BA43" s="18">
        <v>1218.7096774193549</v>
      </c>
      <c r="BB43" s="18">
        <v>205640</v>
      </c>
      <c r="BC43" s="18">
        <v>45823</v>
      </c>
      <c r="BD43" s="18">
        <v>0</v>
      </c>
      <c r="BE43" s="18">
        <v>1129.3333333333333</v>
      </c>
      <c r="BF43" s="18">
        <v>1171.3333333333333</v>
      </c>
      <c r="BG43" s="18">
        <v>215785</v>
      </c>
      <c r="BH43" s="18">
        <v>38861</v>
      </c>
      <c r="BI43" s="18">
        <v>0</v>
      </c>
      <c r="BJ43" s="18">
        <v>1079.0322580645161</v>
      </c>
      <c r="BK43" s="18">
        <v>1150</v>
      </c>
    </row>
    <row r="44" spans="1:63" x14ac:dyDescent="0.35">
      <c r="A44" s="19">
        <v>40</v>
      </c>
      <c r="B44" s="20" t="s">
        <v>99</v>
      </c>
      <c r="C44" s="20" t="s">
        <v>100</v>
      </c>
      <c r="D44" s="18">
        <v>209820</v>
      </c>
      <c r="E44" s="18">
        <v>38188</v>
      </c>
      <c r="F44" s="18">
        <v>1240</v>
      </c>
      <c r="G44" s="18">
        <v>652.09677419354841</v>
      </c>
      <c r="H44" s="18">
        <v>1059.3548387096773</v>
      </c>
      <c r="I44" s="18">
        <v>203657</v>
      </c>
      <c r="J44" s="18">
        <v>43732</v>
      </c>
      <c r="K44" s="18">
        <v>0</v>
      </c>
      <c r="L44" s="18">
        <v>669.28571428571433</v>
      </c>
      <c r="M44" s="18">
        <v>1407.1428571428571</v>
      </c>
      <c r="N44" s="18">
        <v>191732</v>
      </c>
      <c r="O44" s="18">
        <v>38082</v>
      </c>
      <c r="P44" s="18">
        <v>2176</v>
      </c>
      <c r="Q44" s="18">
        <v>695</v>
      </c>
      <c r="R44" s="18">
        <v>1590.3225806451612</v>
      </c>
      <c r="S44" s="18">
        <v>168967</v>
      </c>
      <c r="T44" s="18">
        <v>41578</v>
      </c>
      <c r="U44" s="18">
        <v>1689</v>
      </c>
      <c r="V44" s="18">
        <v>695</v>
      </c>
      <c r="W44" s="18">
        <v>1357</v>
      </c>
      <c r="X44" s="18">
        <v>218843</v>
      </c>
      <c r="Y44" s="18">
        <v>31604</v>
      </c>
      <c r="Z44" s="18">
        <v>1956</v>
      </c>
      <c r="AA44" s="18">
        <v>742.58064516129036</v>
      </c>
      <c r="AB44" s="18">
        <v>1197.4193548387098</v>
      </c>
      <c r="AC44" s="18">
        <v>197572</v>
      </c>
      <c r="AD44" s="18">
        <v>22835</v>
      </c>
      <c r="AE44" s="18">
        <v>1623</v>
      </c>
      <c r="AF44" s="18">
        <v>727.33333333333337</v>
      </c>
      <c r="AG44" s="18">
        <v>1182</v>
      </c>
      <c r="AH44" s="18">
        <v>252508</v>
      </c>
      <c r="AI44" s="18">
        <v>19602</v>
      </c>
      <c r="AJ44" s="18">
        <v>0</v>
      </c>
      <c r="AK44" s="18">
        <v>746.77419354838707</v>
      </c>
      <c r="AL44" s="18">
        <v>1207.4193548387098</v>
      </c>
      <c r="AM44" s="18">
        <v>139758</v>
      </c>
      <c r="AN44" s="18">
        <v>14466</v>
      </c>
      <c r="AO44" s="18">
        <v>0</v>
      </c>
      <c r="AP44" s="18">
        <v>843.22580645161293</v>
      </c>
      <c r="AQ44" s="18">
        <v>1230</v>
      </c>
      <c r="AR44" s="18">
        <v>154762</v>
      </c>
      <c r="AS44" s="18">
        <v>17196</v>
      </c>
      <c r="AT44" s="18">
        <v>1519</v>
      </c>
      <c r="AU44" s="18">
        <v>1107.5</v>
      </c>
      <c r="AV44" s="18">
        <v>1230</v>
      </c>
      <c r="AW44" s="18">
        <v>182377</v>
      </c>
      <c r="AX44" s="18">
        <v>10992</v>
      </c>
      <c r="AY44" s="18">
        <v>431</v>
      </c>
      <c r="AZ44" s="18">
        <v>1186.4516129032259</v>
      </c>
      <c r="BA44" s="18">
        <v>1218.7096774193549</v>
      </c>
      <c r="BB44" s="18">
        <v>176442</v>
      </c>
      <c r="BC44" s="18">
        <v>17870</v>
      </c>
      <c r="BD44" s="18">
        <v>785</v>
      </c>
      <c r="BE44" s="18">
        <v>1129</v>
      </c>
      <c r="BF44" s="18">
        <v>1171.3333333333333</v>
      </c>
      <c r="BG44" s="18">
        <v>190777</v>
      </c>
      <c r="BH44" s="18">
        <v>14731</v>
      </c>
      <c r="BI44" s="18">
        <v>639</v>
      </c>
      <c r="BJ44" s="18">
        <v>1079.6774193548388</v>
      </c>
      <c r="BK44" s="18">
        <v>1150</v>
      </c>
    </row>
    <row r="45" spans="1:63" x14ac:dyDescent="0.35">
      <c r="A45" s="19">
        <v>41</v>
      </c>
      <c r="B45" s="20" t="s">
        <v>101</v>
      </c>
      <c r="C45" s="20" t="s">
        <v>102</v>
      </c>
      <c r="D45" s="18">
        <v>221283</v>
      </c>
      <c r="E45" s="18">
        <v>11088</v>
      </c>
      <c r="F45" s="18">
        <v>0</v>
      </c>
      <c r="G45" s="18">
        <v>666.77419354838707</v>
      </c>
      <c r="H45" s="18">
        <v>1091.6129032258063</v>
      </c>
      <c r="I45" s="18">
        <v>243340</v>
      </c>
      <c r="J45" s="18">
        <v>12524</v>
      </c>
      <c r="K45" s="18">
        <v>0</v>
      </c>
      <c r="L45" s="18">
        <v>678.21428571428567</v>
      </c>
      <c r="M45" s="18">
        <v>1381.0714285714287</v>
      </c>
      <c r="N45" s="18">
        <v>259162</v>
      </c>
      <c r="O45" s="18">
        <v>16054</v>
      </c>
      <c r="P45" s="18">
        <v>0</v>
      </c>
      <c r="Q45" s="18">
        <v>695</v>
      </c>
      <c r="R45" s="18">
        <v>1611.2903225806451</v>
      </c>
      <c r="S45" s="18">
        <v>267670</v>
      </c>
      <c r="T45" s="18">
        <v>29245</v>
      </c>
      <c r="U45" s="18">
        <v>0</v>
      </c>
      <c r="V45" s="18">
        <v>697.83333333333337</v>
      </c>
      <c r="W45" s="18">
        <v>1526.6666666666667</v>
      </c>
      <c r="X45" s="18">
        <v>240407</v>
      </c>
      <c r="Y45" s="18">
        <v>30483</v>
      </c>
      <c r="Z45" s="18">
        <v>408</v>
      </c>
      <c r="AA45" s="18">
        <v>807.58064516129036</v>
      </c>
      <c r="AB45" s="18">
        <v>1255.483870967742</v>
      </c>
      <c r="AC45" s="18">
        <v>281594</v>
      </c>
      <c r="AD45" s="18">
        <v>33892</v>
      </c>
      <c r="AE45" s="18">
        <v>0</v>
      </c>
      <c r="AF45" s="18">
        <v>754.33333333333337</v>
      </c>
      <c r="AG45" s="18">
        <v>1241.3333333333333</v>
      </c>
      <c r="AH45" s="18">
        <v>292310</v>
      </c>
      <c r="AI45" s="18">
        <v>27425</v>
      </c>
      <c r="AJ45" s="18">
        <v>0</v>
      </c>
      <c r="AK45" s="18">
        <v>762.90322580645159</v>
      </c>
      <c r="AL45" s="18">
        <v>1260</v>
      </c>
      <c r="AM45" s="18">
        <v>247561</v>
      </c>
      <c r="AN45" s="18">
        <v>18315</v>
      </c>
      <c r="AO45" s="18">
        <v>100</v>
      </c>
      <c r="AP45" s="18">
        <v>849.67741935483866</v>
      </c>
      <c r="AQ45" s="18">
        <v>1258.0645161290322</v>
      </c>
      <c r="AR45" s="18">
        <v>138788</v>
      </c>
      <c r="AS45" s="18">
        <v>19954</v>
      </c>
      <c r="AT45" s="18">
        <v>0</v>
      </c>
      <c r="AU45" s="18">
        <v>1096</v>
      </c>
      <c r="AV45" s="18">
        <v>1260</v>
      </c>
      <c r="AW45" s="18">
        <v>269373</v>
      </c>
      <c r="AX45" s="18">
        <v>17083</v>
      </c>
      <c r="AY45" s="18">
        <v>0</v>
      </c>
      <c r="AZ45" s="18">
        <v>1192.258064516129</v>
      </c>
      <c r="BA45" s="18">
        <v>1246.4516129032259</v>
      </c>
      <c r="BB45" s="18">
        <v>305048</v>
      </c>
      <c r="BC45" s="18">
        <v>38709</v>
      </c>
      <c r="BD45" s="18">
        <v>0</v>
      </c>
      <c r="BE45" s="18">
        <v>1131.1666666666667</v>
      </c>
      <c r="BF45" s="18">
        <v>1200</v>
      </c>
      <c r="BG45" s="18">
        <v>268366</v>
      </c>
      <c r="BH45" s="18">
        <v>35999</v>
      </c>
      <c r="BI45" s="18">
        <v>0</v>
      </c>
      <c r="BJ45" s="18">
        <v>1072.5806451612902</v>
      </c>
      <c r="BK45" s="18">
        <v>1200</v>
      </c>
    </row>
    <row r="46" spans="1:63" x14ac:dyDescent="0.35">
      <c r="A46" s="19">
        <v>42</v>
      </c>
      <c r="B46" s="20" t="s">
        <v>103</v>
      </c>
      <c r="C46" s="20" t="s">
        <v>104</v>
      </c>
      <c r="D46" s="18">
        <v>380542</v>
      </c>
      <c r="E46" s="18">
        <v>127241</v>
      </c>
      <c r="F46" s="18">
        <v>8960</v>
      </c>
      <c r="G46" s="18">
        <v>654.0322580645161</v>
      </c>
      <c r="H46" s="18">
        <v>1062.9032258064517</v>
      </c>
      <c r="I46" s="18">
        <v>350959</v>
      </c>
      <c r="J46" s="18">
        <v>112244</v>
      </c>
      <c r="K46" s="18">
        <v>6217</v>
      </c>
      <c r="L46" s="18">
        <v>668.75</v>
      </c>
      <c r="M46" s="18">
        <v>1401.4285714285713</v>
      </c>
      <c r="N46" s="18">
        <v>353180</v>
      </c>
      <c r="O46" s="18">
        <v>58220</v>
      </c>
      <c r="P46" s="18">
        <v>5271</v>
      </c>
      <c r="Q46" s="18">
        <v>695</v>
      </c>
      <c r="R46" s="18">
        <v>1590.3225806451612</v>
      </c>
      <c r="S46" s="18">
        <v>391161</v>
      </c>
      <c r="T46" s="18">
        <v>76654</v>
      </c>
      <c r="U46" s="18">
        <v>4353</v>
      </c>
      <c r="V46" s="18">
        <v>696.16666666666663</v>
      </c>
      <c r="W46" s="18">
        <v>1362</v>
      </c>
      <c r="X46" s="18">
        <v>271903</v>
      </c>
      <c r="Y46" s="18">
        <v>44533</v>
      </c>
      <c r="Z46" s="18">
        <v>4532</v>
      </c>
      <c r="AA46" s="18">
        <v>770</v>
      </c>
      <c r="AB46" s="18">
        <v>1214.516129032258</v>
      </c>
      <c r="AC46" s="18">
        <v>295502</v>
      </c>
      <c r="AD46" s="18">
        <v>45078</v>
      </c>
      <c r="AE46" s="18">
        <v>5120</v>
      </c>
      <c r="AF46" s="18">
        <v>752.66666666666663</v>
      </c>
      <c r="AG46" s="18">
        <v>1189.3333333333333</v>
      </c>
      <c r="AH46" s="18">
        <v>426438</v>
      </c>
      <c r="AI46" s="18">
        <v>47596</v>
      </c>
      <c r="AJ46" s="18">
        <v>9219</v>
      </c>
      <c r="AK46" s="18">
        <v>751.45161290322585</v>
      </c>
      <c r="AL46" s="18">
        <v>1208.0645161290322</v>
      </c>
      <c r="AM46" s="18">
        <v>192177</v>
      </c>
      <c r="AN46" s="18">
        <v>37679</v>
      </c>
      <c r="AO46" s="18">
        <v>1457</v>
      </c>
      <c r="AP46" s="18">
        <v>847.25806451612902</v>
      </c>
      <c r="AQ46" s="18">
        <v>1230</v>
      </c>
      <c r="AR46" s="18">
        <v>223343</v>
      </c>
      <c r="AS46" s="18">
        <v>41952</v>
      </c>
      <c r="AT46" s="18">
        <v>0</v>
      </c>
      <c r="AU46" s="18">
        <v>1108.8333333333333</v>
      </c>
      <c r="AV46" s="18">
        <v>1230</v>
      </c>
      <c r="AW46" s="18">
        <v>349757</v>
      </c>
      <c r="AX46" s="18">
        <v>50452</v>
      </c>
      <c r="AY46" s="18">
        <v>1450</v>
      </c>
      <c r="AZ46" s="18">
        <v>1179.6774193548388</v>
      </c>
      <c r="BA46" s="18">
        <v>1218.3870967741937</v>
      </c>
      <c r="BB46" s="18">
        <v>365564</v>
      </c>
      <c r="BC46" s="18">
        <v>65966</v>
      </c>
      <c r="BD46" s="18">
        <v>0</v>
      </c>
      <c r="BE46" s="18">
        <v>1138</v>
      </c>
      <c r="BF46" s="18">
        <v>1170.3333333333333</v>
      </c>
      <c r="BG46" s="18">
        <v>347679</v>
      </c>
      <c r="BH46" s="18">
        <v>61673</v>
      </c>
      <c r="BI46" s="18">
        <v>410</v>
      </c>
      <c r="BJ46" s="18">
        <v>1084.516129032258</v>
      </c>
      <c r="BK46" s="18">
        <v>1150</v>
      </c>
    </row>
    <row r="47" spans="1:63" x14ac:dyDescent="0.35">
      <c r="A47" s="19">
        <v>43</v>
      </c>
      <c r="B47" s="20" t="s">
        <v>105</v>
      </c>
      <c r="C47" s="20" t="s">
        <v>106</v>
      </c>
      <c r="D47" s="18">
        <v>164612</v>
      </c>
      <c r="E47" s="18">
        <v>23334</v>
      </c>
      <c r="F47" s="18">
        <v>0</v>
      </c>
      <c r="G47" s="18">
        <v>653.87096774193549</v>
      </c>
      <c r="H47" s="18">
        <v>1062.9032258064517</v>
      </c>
      <c r="I47" s="18">
        <v>250057</v>
      </c>
      <c r="J47" s="18">
        <v>22773</v>
      </c>
      <c r="K47" s="18">
        <v>0</v>
      </c>
      <c r="L47" s="18">
        <v>670.17857142857144</v>
      </c>
      <c r="M47" s="18">
        <v>1408.5714285714287</v>
      </c>
      <c r="N47" s="18">
        <v>267931</v>
      </c>
      <c r="O47" s="18">
        <v>24182</v>
      </c>
      <c r="P47" s="18">
        <v>0</v>
      </c>
      <c r="Q47" s="18">
        <v>695</v>
      </c>
      <c r="R47" s="18">
        <v>1596.7741935483871</v>
      </c>
      <c r="S47" s="18">
        <v>279794</v>
      </c>
      <c r="T47" s="18">
        <v>28074</v>
      </c>
      <c r="U47" s="18">
        <v>0</v>
      </c>
      <c r="V47" s="18">
        <v>696</v>
      </c>
      <c r="W47" s="18">
        <v>1362</v>
      </c>
      <c r="X47" s="18">
        <v>203571</v>
      </c>
      <c r="Y47" s="18">
        <v>25573</v>
      </c>
      <c r="Z47" s="18">
        <v>0</v>
      </c>
      <c r="AA47" s="18">
        <v>770</v>
      </c>
      <c r="AB47" s="18">
        <v>1214.516129032258</v>
      </c>
      <c r="AC47" s="18">
        <v>179549</v>
      </c>
      <c r="AD47" s="18">
        <v>26359</v>
      </c>
      <c r="AE47" s="18">
        <v>0</v>
      </c>
      <c r="AF47" s="18">
        <v>755</v>
      </c>
      <c r="AG47" s="18">
        <v>1189.3333333333333</v>
      </c>
      <c r="AH47" s="18">
        <v>337692</v>
      </c>
      <c r="AI47" s="18">
        <v>26799</v>
      </c>
      <c r="AJ47" s="18">
        <v>0</v>
      </c>
      <c r="AK47" s="18">
        <v>750.48387096774195</v>
      </c>
      <c r="AL47" s="18">
        <v>1206.7741935483871</v>
      </c>
      <c r="AM47" s="18">
        <v>145210</v>
      </c>
      <c r="AN47" s="18">
        <v>19522</v>
      </c>
      <c r="AO47" s="18">
        <v>0</v>
      </c>
      <c r="AP47" s="18">
        <v>847.25806451612902</v>
      </c>
      <c r="AQ47" s="18">
        <v>1230</v>
      </c>
      <c r="AR47" s="18">
        <v>249685</v>
      </c>
      <c r="AS47" s="18">
        <v>19097</v>
      </c>
      <c r="AT47" s="18">
        <v>0</v>
      </c>
      <c r="AU47" s="18">
        <v>1109.5</v>
      </c>
      <c r="AV47" s="18">
        <v>1230</v>
      </c>
      <c r="AW47" s="18">
        <v>268288</v>
      </c>
      <c r="AX47" s="18">
        <v>24263</v>
      </c>
      <c r="AY47" s="18">
        <v>0</v>
      </c>
      <c r="AZ47" s="18">
        <v>1179.6774193548388</v>
      </c>
      <c r="BA47" s="18">
        <v>1218.3870967741937</v>
      </c>
      <c r="BB47" s="18">
        <v>270720</v>
      </c>
      <c r="BC47" s="18">
        <v>36156</v>
      </c>
      <c r="BD47" s="18">
        <v>0</v>
      </c>
      <c r="BE47" s="18">
        <v>1137</v>
      </c>
      <c r="BF47" s="18">
        <v>1170.3333333333333</v>
      </c>
      <c r="BG47" s="18">
        <v>248851</v>
      </c>
      <c r="BH47" s="18">
        <v>37966</v>
      </c>
      <c r="BI47" s="18">
        <v>993</v>
      </c>
      <c r="BJ47" s="18">
        <v>1084.516129032258</v>
      </c>
      <c r="BK47" s="18">
        <v>1150</v>
      </c>
    </row>
    <row r="48" spans="1:63" x14ac:dyDescent="0.35">
      <c r="A48" s="19">
        <v>44</v>
      </c>
      <c r="B48" s="20" t="s">
        <v>107</v>
      </c>
      <c r="C48" s="20" t="s">
        <v>108</v>
      </c>
      <c r="D48" s="18">
        <v>37369</v>
      </c>
      <c r="E48" s="18">
        <v>2372</v>
      </c>
      <c r="F48" s="18">
        <v>44</v>
      </c>
      <c r="G48" s="18">
        <v>666.77419354838707</v>
      </c>
      <c r="H48" s="18">
        <v>1080.8064516129032</v>
      </c>
      <c r="I48" s="18">
        <v>8992</v>
      </c>
      <c r="J48" s="18">
        <v>3495</v>
      </c>
      <c r="K48" s="18">
        <v>34</v>
      </c>
      <c r="L48" s="18">
        <v>687.85714285714289</v>
      </c>
      <c r="M48" s="18">
        <v>1392.5</v>
      </c>
      <c r="N48" s="18">
        <v>10514</v>
      </c>
      <c r="O48" s="18">
        <v>3119</v>
      </c>
      <c r="P48" s="18">
        <v>1221</v>
      </c>
      <c r="Q48" s="18">
        <v>695</v>
      </c>
      <c r="R48" s="18">
        <v>1604.8387096774193</v>
      </c>
      <c r="S48" s="18">
        <v>4791</v>
      </c>
      <c r="T48" s="18">
        <v>574</v>
      </c>
      <c r="U48" s="18">
        <v>469</v>
      </c>
      <c r="V48" s="18">
        <v>700.5</v>
      </c>
      <c r="W48" s="18">
        <v>1440</v>
      </c>
      <c r="X48" s="18">
        <v>24714</v>
      </c>
      <c r="Y48" s="18">
        <v>1199</v>
      </c>
      <c r="Z48" s="18">
        <v>1544</v>
      </c>
      <c r="AA48" s="18">
        <v>799.67741935483866</v>
      </c>
      <c r="AB48" s="18">
        <v>1254.516129032258</v>
      </c>
      <c r="AC48" s="18">
        <v>12103</v>
      </c>
      <c r="AD48" s="18">
        <v>1778</v>
      </c>
      <c r="AE48" s="18">
        <v>16</v>
      </c>
      <c r="AF48" s="18">
        <v>759</v>
      </c>
      <c r="AG48" s="18">
        <v>1251.3333333333333</v>
      </c>
      <c r="AH48" s="18">
        <v>12849</v>
      </c>
      <c r="AI48" s="18">
        <v>310</v>
      </c>
      <c r="AJ48" s="18">
        <v>8</v>
      </c>
      <c r="AK48" s="18">
        <v>776.77419354838707</v>
      </c>
      <c r="AL48" s="18">
        <v>1262.258064516129</v>
      </c>
      <c r="AM48" s="18">
        <v>59734</v>
      </c>
      <c r="AN48" s="18">
        <v>1311</v>
      </c>
      <c r="AO48" s="18">
        <v>38</v>
      </c>
      <c r="AP48" s="18">
        <v>876.77419354838707</v>
      </c>
      <c r="AQ48" s="18">
        <v>1250</v>
      </c>
      <c r="AR48" s="18">
        <v>76220</v>
      </c>
      <c r="AS48" s="18">
        <v>708</v>
      </c>
      <c r="AT48" s="18">
        <v>40</v>
      </c>
      <c r="AU48" s="18">
        <v>1145.6666666666667</v>
      </c>
      <c r="AV48" s="18">
        <v>1248.3333333333333</v>
      </c>
      <c r="AW48" s="18">
        <v>21714</v>
      </c>
      <c r="AX48" s="18">
        <v>1268</v>
      </c>
      <c r="AY48" s="18">
        <v>25</v>
      </c>
      <c r="AZ48" s="18">
        <v>1219.3548387096773</v>
      </c>
      <c r="BA48" s="18">
        <v>1241.2903225806451</v>
      </c>
      <c r="BB48" s="18">
        <v>33057</v>
      </c>
      <c r="BC48" s="18">
        <v>3811</v>
      </c>
      <c r="BD48" s="18">
        <v>36</v>
      </c>
      <c r="BE48" s="18">
        <v>1156.3333333333333</v>
      </c>
      <c r="BF48" s="18">
        <v>1212.6666666666667</v>
      </c>
      <c r="BG48" s="18">
        <v>108123</v>
      </c>
      <c r="BH48" s="18">
        <v>9015</v>
      </c>
      <c r="BI48" s="18">
        <v>110</v>
      </c>
      <c r="BJ48" s="18">
        <v>1090.9677419354839</v>
      </c>
      <c r="BK48" s="18">
        <v>1200</v>
      </c>
    </row>
    <row r="49" spans="1:63" x14ac:dyDescent="0.35">
      <c r="A49" s="19">
        <v>45</v>
      </c>
      <c r="B49" s="20" t="s">
        <v>109</v>
      </c>
      <c r="C49" s="20" t="s">
        <v>110</v>
      </c>
      <c r="D49" s="18">
        <v>242212</v>
      </c>
      <c r="E49" s="18">
        <v>24309</v>
      </c>
      <c r="F49" s="18">
        <v>0</v>
      </c>
      <c r="G49" s="18">
        <v>656.29032258064512</v>
      </c>
      <c r="H49" s="18">
        <v>1065.8064516129032</v>
      </c>
      <c r="I49" s="18">
        <v>259241</v>
      </c>
      <c r="J49" s="18">
        <v>19469</v>
      </c>
      <c r="K49" s="18">
        <v>0</v>
      </c>
      <c r="L49" s="18">
        <v>669.46428571428567</v>
      </c>
      <c r="M49" s="18">
        <v>1401.0714285714287</v>
      </c>
      <c r="N49" s="18">
        <v>256562</v>
      </c>
      <c r="O49" s="18">
        <v>22161</v>
      </c>
      <c r="P49" s="18">
        <v>0</v>
      </c>
      <c r="Q49" s="18">
        <v>695</v>
      </c>
      <c r="R49" s="18">
        <v>1590.3225806451612</v>
      </c>
      <c r="S49" s="18">
        <v>270599</v>
      </c>
      <c r="T49" s="18">
        <v>27470</v>
      </c>
      <c r="U49" s="18">
        <v>0</v>
      </c>
      <c r="V49" s="18">
        <v>695</v>
      </c>
      <c r="W49" s="18">
        <v>1353.6666666666667</v>
      </c>
      <c r="X49" s="18">
        <v>203045</v>
      </c>
      <c r="Y49" s="18">
        <v>24451</v>
      </c>
      <c r="Z49" s="18">
        <v>0</v>
      </c>
      <c r="AA49" s="18">
        <v>741.61290322580646</v>
      </c>
      <c r="AB49" s="18">
        <v>1197.4193548387098</v>
      </c>
      <c r="AC49" s="18">
        <v>230398</v>
      </c>
      <c r="AD49" s="18">
        <v>22479</v>
      </c>
      <c r="AE49" s="18">
        <v>0</v>
      </c>
      <c r="AF49" s="18">
        <v>731.66666666666663</v>
      </c>
      <c r="AG49" s="18">
        <v>1182.3333333333333</v>
      </c>
      <c r="AH49" s="18">
        <v>247264</v>
      </c>
      <c r="AI49" s="18">
        <v>20252</v>
      </c>
      <c r="AJ49" s="18">
        <v>0</v>
      </c>
      <c r="AK49" s="18">
        <v>747.58064516129036</v>
      </c>
      <c r="AL49" s="18">
        <v>1199.0322580645161</v>
      </c>
      <c r="AM49" s="18">
        <v>140268</v>
      </c>
      <c r="AN49" s="18">
        <v>17455</v>
      </c>
      <c r="AO49" s="18">
        <v>0</v>
      </c>
      <c r="AP49" s="18">
        <v>836.45161290322585</v>
      </c>
      <c r="AQ49" s="18">
        <v>1200</v>
      </c>
      <c r="AR49" s="18">
        <v>176782</v>
      </c>
      <c r="AS49" s="18">
        <v>16952</v>
      </c>
      <c r="AT49" s="18">
        <v>0</v>
      </c>
      <c r="AU49" s="18">
        <v>1106.1666666666667</v>
      </c>
      <c r="AV49" s="18">
        <v>1199.3333333333333</v>
      </c>
      <c r="AW49" s="18">
        <v>214380</v>
      </c>
      <c r="AX49" s="18">
        <v>18156</v>
      </c>
      <c r="AY49" s="18">
        <v>0</v>
      </c>
      <c r="AZ49" s="18">
        <v>1161.6129032258063</v>
      </c>
      <c r="BA49" s="18">
        <v>1196.7741935483871</v>
      </c>
      <c r="BB49" s="18">
        <v>182463</v>
      </c>
      <c r="BC49" s="18">
        <v>23140</v>
      </c>
      <c r="BD49" s="18">
        <v>0</v>
      </c>
      <c r="BE49" s="18">
        <v>1132.3333333333333</v>
      </c>
      <c r="BF49" s="18">
        <v>1178.6666666666667</v>
      </c>
      <c r="BG49" s="18">
        <v>187164</v>
      </c>
      <c r="BH49" s="18">
        <v>24028</v>
      </c>
      <c r="BI49" s="18">
        <v>0</v>
      </c>
      <c r="BJ49" s="18">
        <v>1090.9677419354839</v>
      </c>
      <c r="BK49" s="18">
        <v>1153.2258064516129</v>
      </c>
    </row>
    <row r="50" spans="1:63" x14ac:dyDescent="0.35">
      <c r="A50" s="19">
        <v>46</v>
      </c>
      <c r="B50" s="20" t="s">
        <v>111</v>
      </c>
      <c r="C50" s="20" t="s">
        <v>112</v>
      </c>
      <c r="D50" s="18">
        <v>376994</v>
      </c>
      <c r="E50" s="18">
        <v>7640</v>
      </c>
      <c r="F50" s="18">
        <v>0</v>
      </c>
      <c r="G50" s="18">
        <v>660</v>
      </c>
      <c r="H50" s="18">
        <v>1075.483870967742</v>
      </c>
      <c r="I50" s="18">
        <v>536909</v>
      </c>
      <c r="J50" s="18">
        <v>14817</v>
      </c>
      <c r="K50" s="18">
        <v>0</v>
      </c>
      <c r="L50" s="18">
        <v>673.39285714285711</v>
      </c>
      <c r="M50" s="18">
        <v>1389.1071428571429</v>
      </c>
      <c r="N50" s="18">
        <v>683645</v>
      </c>
      <c r="O50" s="18">
        <v>14077</v>
      </c>
      <c r="P50" s="18">
        <v>0</v>
      </c>
      <c r="Q50" s="18">
        <v>680</v>
      </c>
      <c r="R50" s="18">
        <v>1600.8064516129032</v>
      </c>
      <c r="S50" s="18">
        <v>503153</v>
      </c>
      <c r="T50" s="18">
        <v>10418</v>
      </c>
      <c r="U50" s="18">
        <v>0</v>
      </c>
      <c r="V50" s="18">
        <v>683.83333333333337</v>
      </c>
      <c r="W50" s="18">
        <v>1389</v>
      </c>
      <c r="X50" s="18">
        <v>607689</v>
      </c>
      <c r="Y50" s="18">
        <v>8897</v>
      </c>
      <c r="Z50" s="18">
        <v>0</v>
      </c>
      <c r="AA50" s="18">
        <v>692.41935483870964</v>
      </c>
      <c r="AB50" s="18">
        <v>1224.1935483870968</v>
      </c>
      <c r="AC50" s="18">
        <v>472612</v>
      </c>
      <c r="AD50" s="18">
        <v>11511</v>
      </c>
      <c r="AE50" s="18">
        <v>0</v>
      </c>
      <c r="AF50" s="18">
        <v>685.33333333333337</v>
      </c>
      <c r="AG50" s="18">
        <v>1211.3333333333333</v>
      </c>
      <c r="AH50" s="18">
        <v>686913</v>
      </c>
      <c r="AI50" s="18">
        <v>8717</v>
      </c>
      <c r="AJ50" s="18">
        <v>0</v>
      </c>
      <c r="AK50" s="18">
        <v>695.09677419354841</v>
      </c>
      <c r="AL50" s="18">
        <v>1219.3548387096773</v>
      </c>
      <c r="AM50" s="18">
        <v>435477</v>
      </c>
      <c r="AN50" s="18">
        <v>5622</v>
      </c>
      <c r="AO50" s="18">
        <v>0</v>
      </c>
      <c r="AP50" s="18">
        <v>703.74193548387098</v>
      </c>
      <c r="AQ50" s="18">
        <v>1220</v>
      </c>
      <c r="AR50" s="18">
        <v>521399</v>
      </c>
      <c r="AS50" s="18">
        <v>6594</v>
      </c>
      <c r="AT50" s="18">
        <v>0</v>
      </c>
      <c r="AU50" s="18">
        <v>981</v>
      </c>
      <c r="AV50" s="18">
        <v>1220</v>
      </c>
      <c r="AW50" s="18">
        <v>633700</v>
      </c>
      <c r="AX50" s="18">
        <v>8942</v>
      </c>
      <c r="AY50" s="18">
        <v>0</v>
      </c>
      <c r="AZ50" s="18">
        <v>1093.8709677419354</v>
      </c>
      <c r="BA50" s="18">
        <v>1217.5806451612902</v>
      </c>
      <c r="BB50" s="18">
        <v>435158</v>
      </c>
      <c r="BC50" s="18">
        <v>8075</v>
      </c>
      <c r="BD50" s="18">
        <v>0</v>
      </c>
      <c r="BE50" s="18">
        <v>1131.8333333333333</v>
      </c>
      <c r="BF50" s="18">
        <v>1195</v>
      </c>
      <c r="BG50" s="18">
        <v>336418</v>
      </c>
      <c r="BH50" s="18">
        <v>4853</v>
      </c>
      <c r="BI50" s="18">
        <v>0</v>
      </c>
      <c r="BJ50" s="18">
        <v>1084.1935483870968</v>
      </c>
      <c r="BK50" s="18">
        <v>1190</v>
      </c>
    </row>
    <row r="51" spans="1:63" x14ac:dyDescent="0.35">
      <c r="A51" s="19">
        <v>47</v>
      </c>
      <c r="B51" s="20" t="s">
        <v>113</v>
      </c>
      <c r="C51" s="20" t="s">
        <v>114</v>
      </c>
      <c r="D51" s="18">
        <v>172509</v>
      </c>
      <c r="E51" s="18">
        <v>11793</v>
      </c>
      <c r="F51" s="18">
        <v>0</v>
      </c>
      <c r="G51" s="18">
        <v>656.29032258064512</v>
      </c>
      <c r="H51" s="18">
        <v>1065.8064516129032</v>
      </c>
      <c r="I51" s="18">
        <v>178590</v>
      </c>
      <c r="J51" s="18">
        <v>14284</v>
      </c>
      <c r="K51" s="18">
        <v>0</v>
      </c>
      <c r="L51" s="18">
        <v>668.75</v>
      </c>
      <c r="M51" s="18">
        <v>1385</v>
      </c>
      <c r="N51" s="18">
        <v>188862</v>
      </c>
      <c r="O51" s="18">
        <v>13939</v>
      </c>
      <c r="P51" s="18">
        <v>0</v>
      </c>
      <c r="Q51" s="18">
        <v>695</v>
      </c>
      <c r="R51" s="18">
        <v>1587.0967741935483</v>
      </c>
      <c r="S51" s="18">
        <v>175725</v>
      </c>
      <c r="T51" s="18">
        <v>17862</v>
      </c>
      <c r="U51" s="18">
        <v>0</v>
      </c>
      <c r="V51" s="18">
        <v>695</v>
      </c>
      <c r="W51" s="18">
        <v>1353.6666666666667</v>
      </c>
      <c r="X51" s="18">
        <v>208244</v>
      </c>
      <c r="Y51" s="18">
        <v>20748</v>
      </c>
      <c r="Z51" s="18">
        <v>0</v>
      </c>
      <c r="AA51" s="18">
        <v>741.61290322580646</v>
      </c>
      <c r="AB51" s="18">
        <v>1198.3870967741937</v>
      </c>
      <c r="AC51" s="18">
        <v>165529</v>
      </c>
      <c r="AD51" s="18">
        <v>18199</v>
      </c>
      <c r="AE51" s="18">
        <v>0</v>
      </c>
      <c r="AF51" s="18">
        <v>731.66666666666663</v>
      </c>
      <c r="AG51" s="18">
        <v>1182.3333333333333</v>
      </c>
      <c r="AH51" s="18">
        <v>181278</v>
      </c>
      <c r="AI51" s="18">
        <v>20584</v>
      </c>
      <c r="AJ51" s="18">
        <v>0</v>
      </c>
      <c r="AK51" s="18">
        <v>747.58064516129036</v>
      </c>
      <c r="AL51" s="18">
        <v>1199.0322580645161</v>
      </c>
      <c r="AM51" s="18">
        <v>173820</v>
      </c>
      <c r="AN51" s="18">
        <v>16776</v>
      </c>
      <c r="AO51" s="18">
        <v>0</v>
      </c>
      <c r="AP51" s="18">
        <v>836.45161290322585</v>
      </c>
      <c r="AQ51" s="18">
        <v>1200</v>
      </c>
      <c r="AR51" s="18">
        <v>257196</v>
      </c>
      <c r="AS51" s="18">
        <v>34923</v>
      </c>
      <c r="AT51" s="18">
        <v>0</v>
      </c>
      <c r="AU51" s="18">
        <v>1106.8333333333333</v>
      </c>
      <c r="AV51" s="18">
        <v>1200</v>
      </c>
      <c r="AW51" s="18">
        <v>215375</v>
      </c>
      <c r="AX51" s="18">
        <v>32048</v>
      </c>
      <c r="AY51" s="18">
        <v>0</v>
      </c>
      <c r="AZ51" s="18">
        <v>1161.6129032258063</v>
      </c>
      <c r="BA51" s="18">
        <v>1196.7741935483871</v>
      </c>
      <c r="BB51" s="18">
        <v>211454</v>
      </c>
      <c r="BC51" s="18">
        <v>24559</v>
      </c>
      <c r="BD51" s="18">
        <v>0</v>
      </c>
      <c r="BE51" s="18">
        <v>1132.6666666666667</v>
      </c>
      <c r="BF51" s="18">
        <v>1179.3333333333333</v>
      </c>
      <c r="BG51" s="18">
        <v>201474</v>
      </c>
      <c r="BH51" s="18">
        <v>20845</v>
      </c>
      <c r="BI51" s="18">
        <v>0</v>
      </c>
      <c r="BJ51" s="18">
        <v>1090.6451612903227</v>
      </c>
      <c r="BK51" s="18">
        <v>1153.2258064516129</v>
      </c>
    </row>
    <row r="52" spans="1:63" x14ac:dyDescent="0.35">
      <c r="A52" s="19">
        <v>48</v>
      </c>
      <c r="B52" s="20" t="s">
        <v>115</v>
      </c>
      <c r="C52" s="20" t="s">
        <v>116</v>
      </c>
      <c r="D52" s="18">
        <v>752117</v>
      </c>
      <c r="E52" s="18">
        <v>37420</v>
      </c>
      <c r="F52" s="18">
        <v>0</v>
      </c>
      <c r="G52" s="18">
        <v>650.32258064516134</v>
      </c>
      <c r="H52" s="18">
        <v>1043.3870967741937</v>
      </c>
      <c r="I52" s="18">
        <v>580495</v>
      </c>
      <c r="J52" s="18">
        <v>41772</v>
      </c>
      <c r="K52" s="18">
        <v>0</v>
      </c>
      <c r="L52" s="18">
        <v>666.42857142857144</v>
      </c>
      <c r="M52" s="18">
        <v>1395.3571428571429</v>
      </c>
      <c r="N52" s="18">
        <v>644842</v>
      </c>
      <c r="O52" s="18">
        <v>44766</v>
      </c>
      <c r="P52" s="18">
        <v>0</v>
      </c>
      <c r="Q52" s="18">
        <v>680.48387096774195</v>
      </c>
      <c r="R52" s="18">
        <v>1559.6774193548388</v>
      </c>
      <c r="S52" s="18">
        <v>729962</v>
      </c>
      <c r="T52" s="18">
        <v>53443</v>
      </c>
      <c r="U52" s="18">
        <v>305</v>
      </c>
      <c r="V52" s="18">
        <v>680</v>
      </c>
      <c r="W52" s="18">
        <v>1339.3333333333333</v>
      </c>
      <c r="X52" s="18">
        <v>903148</v>
      </c>
      <c r="Y52" s="18">
        <v>50687</v>
      </c>
      <c r="Z52" s="18">
        <v>2193</v>
      </c>
      <c r="AA52" s="18">
        <v>718.54838709677415</v>
      </c>
      <c r="AB52" s="18">
        <v>1188.7096774193549</v>
      </c>
      <c r="AC52" s="18">
        <v>669172</v>
      </c>
      <c r="AD52" s="18">
        <v>37240</v>
      </c>
      <c r="AE52" s="18">
        <v>3130</v>
      </c>
      <c r="AF52" s="18">
        <v>720</v>
      </c>
      <c r="AG52" s="18">
        <v>1178.3333333333333</v>
      </c>
      <c r="AH52" s="18">
        <v>777311</v>
      </c>
      <c r="AI52" s="18">
        <v>36603</v>
      </c>
      <c r="AJ52" s="18">
        <v>2858</v>
      </c>
      <c r="AK52" s="18">
        <v>741.29032258064512</v>
      </c>
      <c r="AL52" s="18">
        <v>1197.0967741935483</v>
      </c>
      <c r="AM52" s="18">
        <v>691270</v>
      </c>
      <c r="AN52" s="18">
        <v>40174</v>
      </c>
      <c r="AO52" s="18">
        <v>3762</v>
      </c>
      <c r="AP52" s="18">
        <v>826.45161290322585</v>
      </c>
      <c r="AQ52" s="18">
        <v>1200</v>
      </c>
      <c r="AR52" s="18">
        <v>472599</v>
      </c>
      <c r="AS52" s="18">
        <v>37990</v>
      </c>
      <c r="AT52" s="18">
        <v>2879</v>
      </c>
      <c r="AU52" s="18">
        <v>1098.8333333333333</v>
      </c>
      <c r="AV52" s="18">
        <v>1198.3333333333333</v>
      </c>
      <c r="AW52" s="18">
        <v>571008</v>
      </c>
      <c r="AX52" s="18">
        <v>38698</v>
      </c>
      <c r="AY52" s="18">
        <v>323</v>
      </c>
      <c r="AZ52" s="18">
        <v>1145.483870967742</v>
      </c>
      <c r="BA52" s="18">
        <v>1187.0967741935483</v>
      </c>
      <c r="BB52" s="18">
        <v>548391</v>
      </c>
      <c r="BC52" s="18">
        <v>41013</v>
      </c>
      <c r="BD52" s="18">
        <v>1623</v>
      </c>
      <c r="BE52" s="18">
        <v>1127.3333333333333</v>
      </c>
      <c r="BF52" s="18">
        <v>1160.6666666666667</v>
      </c>
      <c r="BG52" s="18">
        <v>575636</v>
      </c>
      <c r="BH52" s="18">
        <v>40040</v>
      </c>
      <c r="BI52" s="18">
        <v>1817</v>
      </c>
      <c r="BJ52" s="18">
        <v>1081.2903225806451</v>
      </c>
      <c r="BK52" s="18">
        <v>1150</v>
      </c>
    </row>
    <row r="53" spans="1:63" x14ac:dyDescent="0.35">
      <c r="A53" s="19">
        <v>49</v>
      </c>
      <c r="B53" s="20" t="s">
        <v>117</v>
      </c>
      <c r="C53" s="20" t="s">
        <v>118</v>
      </c>
      <c r="D53" s="18">
        <v>121641</v>
      </c>
      <c r="E53" s="18">
        <v>6832</v>
      </c>
      <c r="F53" s="18">
        <v>0</v>
      </c>
      <c r="G53" s="18">
        <v>635.64516129032256</v>
      </c>
      <c r="H53" s="18">
        <v>1037.9032258064517</v>
      </c>
      <c r="I53" s="18">
        <v>142530</v>
      </c>
      <c r="J53" s="18">
        <v>38016</v>
      </c>
      <c r="K53" s="18">
        <v>0</v>
      </c>
      <c r="L53" s="18">
        <v>649.46428571428567</v>
      </c>
      <c r="M53" s="18">
        <v>1370.3571428571429</v>
      </c>
      <c r="N53" s="18">
        <v>192018</v>
      </c>
      <c r="O53" s="18">
        <v>7934</v>
      </c>
      <c r="P53" s="18">
        <v>0</v>
      </c>
      <c r="Q53" s="18">
        <v>655</v>
      </c>
      <c r="R53" s="18">
        <v>1599.0322580645161</v>
      </c>
      <c r="S53" s="18">
        <v>182906</v>
      </c>
      <c r="T53" s="18">
        <v>7568</v>
      </c>
      <c r="U53" s="18">
        <v>0</v>
      </c>
      <c r="V53" s="18">
        <v>663</v>
      </c>
      <c r="W53" s="18">
        <v>1422.1666666666667</v>
      </c>
      <c r="X53" s="18">
        <v>278298</v>
      </c>
      <c r="Y53" s="18">
        <v>23000</v>
      </c>
      <c r="Z53" s="18">
        <v>0</v>
      </c>
      <c r="AA53" s="18">
        <v>739.51612903225805</v>
      </c>
      <c r="AB53" s="18">
        <v>1200</v>
      </c>
      <c r="AC53" s="18">
        <v>94421</v>
      </c>
      <c r="AD53" s="18">
        <v>20534</v>
      </c>
      <c r="AE53" s="18">
        <v>0</v>
      </c>
      <c r="AF53" s="18">
        <v>716.16666666666663</v>
      </c>
      <c r="AG53" s="18">
        <v>1201.3333333333333</v>
      </c>
      <c r="AH53" s="18">
        <v>220697</v>
      </c>
      <c r="AI53" s="18">
        <v>7190</v>
      </c>
      <c r="AJ53" s="18">
        <v>0</v>
      </c>
      <c r="AK53" s="18">
        <v>729.67741935483866</v>
      </c>
      <c r="AL53" s="18">
        <v>1220</v>
      </c>
      <c r="AM53" s="18">
        <v>446514</v>
      </c>
      <c r="AN53" s="18">
        <v>6453</v>
      </c>
      <c r="AO53" s="18">
        <v>0</v>
      </c>
      <c r="AP53" s="18">
        <v>817.25806451612902</v>
      </c>
      <c r="AQ53" s="18">
        <v>1195.483870967742</v>
      </c>
      <c r="AR53" s="18">
        <v>268629</v>
      </c>
      <c r="AS53" s="18">
        <v>8384</v>
      </c>
      <c r="AT53" s="18">
        <v>0</v>
      </c>
      <c r="AU53" s="18">
        <v>1104.6666666666667</v>
      </c>
      <c r="AV53" s="18">
        <v>1180</v>
      </c>
      <c r="AW53" s="18">
        <v>151682</v>
      </c>
      <c r="AX53" s="18">
        <v>43391</v>
      </c>
      <c r="AY53" s="18">
        <v>0</v>
      </c>
      <c r="AZ53" s="18">
        <v>1156.7741935483871</v>
      </c>
      <c r="BA53" s="18">
        <v>1185.8064516129032</v>
      </c>
      <c r="BB53" s="18">
        <v>123980</v>
      </c>
      <c r="BC53" s="18">
        <v>27806</v>
      </c>
      <c r="BD53" s="18">
        <v>0</v>
      </c>
      <c r="BE53" s="18">
        <v>1118</v>
      </c>
      <c r="BF53" s="18">
        <v>1180</v>
      </c>
      <c r="BG53" s="18">
        <v>102911</v>
      </c>
      <c r="BH53" s="18">
        <v>37375</v>
      </c>
      <c r="BI53" s="18">
        <v>0</v>
      </c>
      <c r="BJ53" s="18">
        <v>1067.741935483871</v>
      </c>
      <c r="BK53" s="18">
        <v>1178.0645161290322</v>
      </c>
    </row>
    <row r="54" spans="1:63" x14ac:dyDescent="0.35">
      <c r="A54" s="19">
        <v>50</v>
      </c>
      <c r="B54" s="20" t="s">
        <v>119</v>
      </c>
      <c r="C54" s="20" t="s">
        <v>120</v>
      </c>
      <c r="D54" s="18">
        <v>195321</v>
      </c>
      <c r="E54" s="18">
        <v>11428</v>
      </c>
      <c r="F54" s="18">
        <v>0</v>
      </c>
      <c r="G54" s="18">
        <v>656.29032258064512</v>
      </c>
      <c r="H54" s="18">
        <v>1067.4193548387098</v>
      </c>
      <c r="I54" s="18">
        <v>204501</v>
      </c>
      <c r="J54" s="18">
        <v>10013</v>
      </c>
      <c r="K54" s="18">
        <v>0</v>
      </c>
      <c r="L54" s="18">
        <v>668.75</v>
      </c>
      <c r="M54" s="18">
        <v>1385</v>
      </c>
      <c r="N54" s="18">
        <v>227095</v>
      </c>
      <c r="O54" s="18">
        <v>10552</v>
      </c>
      <c r="P54" s="18">
        <v>0</v>
      </c>
      <c r="Q54" s="18">
        <v>695</v>
      </c>
      <c r="R54" s="18">
        <v>1591.9354838709678</v>
      </c>
      <c r="S54" s="18">
        <v>221502</v>
      </c>
      <c r="T54" s="18">
        <v>14509</v>
      </c>
      <c r="U54" s="18">
        <v>0</v>
      </c>
      <c r="V54" s="18">
        <v>695</v>
      </c>
      <c r="W54" s="18">
        <v>1353.6666666666667</v>
      </c>
      <c r="X54" s="18">
        <v>239488</v>
      </c>
      <c r="Y54" s="18">
        <v>13892</v>
      </c>
      <c r="Z54" s="18">
        <v>0</v>
      </c>
      <c r="AA54" s="18">
        <v>741.45161290322585</v>
      </c>
      <c r="AB54" s="18">
        <v>1224.1935483870968</v>
      </c>
      <c r="AC54" s="18">
        <v>219538</v>
      </c>
      <c r="AD54" s="18">
        <v>12651</v>
      </c>
      <c r="AE54" s="18">
        <v>0</v>
      </c>
      <c r="AF54" s="18">
        <v>731.66666666666663</v>
      </c>
      <c r="AG54" s="18">
        <v>1182.3333333333333</v>
      </c>
      <c r="AH54" s="18">
        <v>207972</v>
      </c>
      <c r="AI54" s="18">
        <v>9447</v>
      </c>
      <c r="AJ54" s="18">
        <v>0</v>
      </c>
      <c r="AK54" s="18">
        <v>747.58064516129036</v>
      </c>
      <c r="AL54" s="18">
        <v>1199.0322580645161</v>
      </c>
      <c r="AM54" s="18">
        <v>228458</v>
      </c>
      <c r="AN54" s="18">
        <v>11412</v>
      </c>
      <c r="AO54" s="18">
        <v>0</v>
      </c>
      <c r="AP54" s="18">
        <v>835.48387096774195</v>
      </c>
      <c r="AQ54" s="18">
        <v>1200</v>
      </c>
      <c r="AR54" s="18">
        <v>175123</v>
      </c>
      <c r="AS54" s="18">
        <v>8578</v>
      </c>
      <c r="AT54" s="18">
        <v>0</v>
      </c>
      <c r="AU54" s="18">
        <v>1105.8333333333333</v>
      </c>
      <c r="AV54" s="18">
        <v>1200</v>
      </c>
      <c r="AW54" s="18">
        <v>190209</v>
      </c>
      <c r="AX54" s="18">
        <v>8788</v>
      </c>
      <c r="AY54" s="18">
        <v>0</v>
      </c>
      <c r="AZ54" s="18">
        <v>1161.6129032258063</v>
      </c>
      <c r="BA54" s="18">
        <v>1195.8064516129032</v>
      </c>
      <c r="BB54" s="18">
        <v>201412</v>
      </c>
      <c r="BC54" s="18">
        <v>13574</v>
      </c>
      <c r="BD54" s="18">
        <v>0</v>
      </c>
      <c r="BE54" s="18">
        <v>1132.6666666666667</v>
      </c>
      <c r="BF54" s="18">
        <v>1179.3333333333333</v>
      </c>
      <c r="BG54" s="18">
        <v>196761</v>
      </c>
      <c r="BH54" s="18">
        <v>11359</v>
      </c>
      <c r="BI54" s="18">
        <v>0</v>
      </c>
      <c r="BJ54" s="18">
        <v>1090.9677419354839</v>
      </c>
      <c r="BK54" s="18">
        <v>1153.2258064516129</v>
      </c>
    </row>
    <row r="55" spans="1:63" x14ac:dyDescent="0.35">
      <c r="A55" s="19">
        <v>51</v>
      </c>
      <c r="B55" s="20" t="s">
        <v>121</v>
      </c>
      <c r="C55" s="20" t="s">
        <v>122</v>
      </c>
      <c r="D55" s="18">
        <v>166994</v>
      </c>
      <c r="E55" s="18">
        <v>3959</v>
      </c>
      <c r="F55" s="18">
        <v>0</v>
      </c>
      <c r="G55" s="18">
        <v>669.0322580645161</v>
      </c>
      <c r="H55" s="18">
        <v>1077.4193548387098</v>
      </c>
      <c r="I55" s="18">
        <v>150578</v>
      </c>
      <c r="J55" s="18">
        <v>6802</v>
      </c>
      <c r="K55" s="18">
        <v>0</v>
      </c>
      <c r="L55" s="18">
        <v>674.46428571428567</v>
      </c>
      <c r="M55" s="18">
        <v>1389.1071428571429</v>
      </c>
      <c r="N55" s="18">
        <v>173123</v>
      </c>
      <c r="O55" s="18">
        <v>7003</v>
      </c>
      <c r="P55" s="18">
        <v>0</v>
      </c>
      <c r="Q55" s="18">
        <v>689.19354838709683</v>
      </c>
      <c r="R55" s="18">
        <v>1608.0645161290322</v>
      </c>
      <c r="S55" s="18">
        <v>273594</v>
      </c>
      <c r="T55" s="18">
        <v>7227</v>
      </c>
      <c r="U55" s="18">
        <v>0</v>
      </c>
      <c r="V55" s="18">
        <v>702.33333333333337</v>
      </c>
      <c r="W55" s="18">
        <v>1400.6666666666667</v>
      </c>
      <c r="X55" s="18">
        <v>134982</v>
      </c>
      <c r="Y55" s="18">
        <v>4282</v>
      </c>
      <c r="Z55" s="18">
        <v>0</v>
      </c>
      <c r="AA55" s="18">
        <v>810.32258064516134</v>
      </c>
      <c r="AB55" s="18">
        <v>1243.2258064516129</v>
      </c>
      <c r="AC55" s="18">
        <v>160111</v>
      </c>
      <c r="AD55" s="18">
        <v>2485</v>
      </c>
      <c r="AE55" s="18">
        <v>0</v>
      </c>
      <c r="AF55" s="18">
        <v>744.66666666666663</v>
      </c>
      <c r="AG55" s="18">
        <v>1251.3333333333333</v>
      </c>
      <c r="AH55" s="18">
        <v>255586</v>
      </c>
      <c r="AI55" s="18">
        <v>2913</v>
      </c>
      <c r="AJ55" s="18">
        <v>0</v>
      </c>
      <c r="AK55" s="18">
        <v>756.12903225806451</v>
      </c>
      <c r="AL55" s="18">
        <v>1252.5806451612902</v>
      </c>
      <c r="AM55" s="18">
        <v>90817</v>
      </c>
      <c r="AN55" s="18">
        <v>1211</v>
      </c>
      <c r="AO55" s="18">
        <v>0</v>
      </c>
      <c r="AP55" s="18">
        <v>831.93548387096769</v>
      </c>
      <c r="AQ55" s="18">
        <v>1237.741935483871</v>
      </c>
      <c r="AR55" s="18">
        <v>109932</v>
      </c>
      <c r="AS55" s="18">
        <v>3409</v>
      </c>
      <c r="AT55" s="18">
        <v>0</v>
      </c>
      <c r="AU55" s="18">
        <v>1071.3333333333333</v>
      </c>
      <c r="AV55" s="18">
        <v>1220</v>
      </c>
      <c r="AW55" s="18">
        <v>181426</v>
      </c>
      <c r="AX55" s="18">
        <v>5926</v>
      </c>
      <c r="AY55" s="18">
        <v>0</v>
      </c>
      <c r="AZ55" s="18">
        <v>1199.0322580645161</v>
      </c>
      <c r="BA55" s="18">
        <v>1220</v>
      </c>
      <c r="BB55" s="18">
        <v>183072</v>
      </c>
      <c r="BC55" s="18">
        <v>7671</v>
      </c>
      <c r="BD55" s="18">
        <v>0</v>
      </c>
      <c r="BE55" s="18">
        <v>1145.8333333333333</v>
      </c>
      <c r="BF55" s="18">
        <v>1209.3333333333333</v>
      </c>
      <c r="BG55" s="18">
        <v>187256</v>
      </c>
      <c r="BH55" s="18">
        <v>5236</v>
      </c>
      <c r="BI55" s="18">
        <v>0</v>
      </c>
      <c r="BJ55" s="18">
        <v>1107.4193548387098</v>
      </c>
      <c r="BK55" s="18">
        <v>1193.5483870967741</v>
      </c>
    </row>
    <row r="56" spans="1:63" x14ac:dyDescent="0.35">
      <c r="A56" s="19">
        <v>52</v>
      </c>
      <c r="B56" s="20" t="s">
        <v>123</v>
      </c>
      <c r="C56" s="20" t="s">
        <v>124</v>
      </c>
      <c r="D56" s="18">
        <v>170435</v>
      </c>
      <c r="E56" s="18">
        <v>1104</v>
      </c>
      <c r="F56" s="18">
        <v>0</v>
      </c>
      <c r="G56" s="18">
        <v>635.64516129032256</v>
      </c>
      <c r="H56" s="18">
        <v>1037.9032258064517</v>
      </c>
      <c r="I56" s="18">
        <v>175952</v>
      </c>
      <c r="J56" s="18">
        <v>1536</v>
      </c>
      <c r="K56" s="18">
        <v>0</v>
      </c>
      <c r="L56" s="18">
        <v>654.46428571428567</v>
      </c>
      <c r="M56" s="18">
        <v>1365</v>
      </c>
      <c r="N56" s="18">
        <v>151424</v>
      </c>
      <c r="O56" s="18">
        <v>2149</v>
      </c>
      <c r="P56" s="18">
        <v>0</v>
      </c>
      <c r="Q56" s="18">
        <v>675</v>
      </c>
      <c r="R56" s="18">
        <v>1583.8709677419354</v>
      </c>
      <c r="S56" s="18">
        <v>125449</v>
      </c>
      <c r="T56" s="18">
        <v>994</v>
      </c>
      <c r="U56" s="18">
        <v>156</v>
      </c>
      <c r="V56" s="18">
        <v>677.33333333333337</v>
      </c>
      <c r="W56" s="18">
        <v>1422.1666666666667</v>
      </c>
      <c r="X56" s="18">
        <v>197938</v>
      </c>
      <c r="Y56" s="18">
        <v>918</v>
      </c>
      <c r="Z56" s="18">
        <v>601</v>
      </c>
      <c r="AA56" s="18">
        <v>739.51612903225805</v>
      </c>
      <c r="AB56" s="18">
        <v>1201.2903225806451</v>
      </c>
      <c r="AC56" s="18">
        <v>128196</v>
      </c>
      <c r="AD56" s="18">
        <v>394</v>
      </c>
      <c r="AE56" s="18">
        <v>627</v>
      </c>
      <c r="AF56" s="18">
        <v>716.16666666666663</v>
      </c>
      <c r="AG56" s="18">
        <v>1201.3333333333333</v>
      </c>
      <c r="AH56" s="18">
        <v>270793</v>
      </c>
      <c r="AI56" s="18">
        <v>851</v>
      </c>
      <c r="AJ56" s="18">
        <v>400</v>
      </c>
      <c r="AK56" s="18">
        <v>729.77419354838707</v>
      </c>
      <c r="AL56" s="18">
        <v>1220</v>
      </c>
      <c r="AM56" s="18">
        <v>310864</v>
      </c>
      <c r="AN56" s="18">
        <v>455</v>
      </c>
      <c r="AO56" s="18">
        <v>0</v>
      </c>
      <c r="AP56" s="18">
        <v>817.25806451612902</v>
      </c>
      <c r="AQ56" s="18">
        <v>1195.483870967742</v>
      </c>
      <c r="AR56" s="18">
        <v>116783</v>
      </c>
      <c r="AS56" s="18">
        <v>1248</v>
      </c>
      <c r="AT56" s="18">
        <v>33</v>
      </c>
      <c r="AU56" s="18">
        <v>1104.6666666666667</v>
      </c>
      <c r="AV56" s="18">
        <v>1180</v>
      </c>
      <c r="AW56" s="18">
        <v>196619</v>
      </c>
      <c r="AX56" s="18">
        <v>1563</v>
      </c>
      <c r="AY56" s="18">
        <v>0</v>
      </c>
      <c r="AZ56" s="18">
        <v>1156.7741935483871</v>
      </c>
      <c r="BA56" s="18">
        <v>1185.8064516129032</v>
      </c>
      <c r="BB56" s="18">
        <v>251638</v>
      </c>
      <c r="BC56" s="18">
        <v>7202</v>
      </c>
      <c r="BD56" s="18">
        <v>0</v>
      </c>
      <c r="BE56" s="18">
        <v>1117.6666666666667</v>
      </c>
      <c r="BF56" s="18">
        <v>1180</v>
      </c>
      <c r="BG56" s="18">
        <v>194002</v>
      </c>
      <c r="BH56" s="18">
        <v>12448</v>
      </c>
      <c r="BI56" s="18">
        <v>0</v>
      </c>
      <c r="BJ56" s="18">
        <v>1067.0967741935483</v>
      </c>
      <c r="BK56" s="18">
        <v>1178.3870967741937</v>
      </c>
    </row>
    <row r="57" spans="1:63" x14ac:dyDescent="0.35">
      <c r="A57" s="19">
        <v>53</v>
      </c>
      <c r="B57" s="20" t="s">
        <v>125</v>
      </c>
      <c r="C57" s="20" t="s">
        <v>126</v>
      </c>
      <c r="D57" s="18">
        <v>77171</v>
      </c>
      <c r="E57" s="18">
        <v>15695</v>
      </c>
      <c r="F57" s="18">
        <v>0</v>
      </c>
      <c r="G57" s="18">
        <v>680</v>
      </c>
      <c r="H57" s="18">
        <v>1074.8387096774193</v>
      </c>
      <c r="I57" s="18">
        <v>115636</v>
      </c>
      <c r="J57" s="18">
        <v>15273</v>
      </c>
      <c r="K57" s="18">
        <v>0</v>
      </c>
      <c r="L57" s="18">
        <v>688.03571428571433</v>
      </c>
      <c r="M57" s="18">
        <v>1405.7142857142858</v>
      </c>
      <c r="N57" s="18">
        <v>77046</v>
      </c>
      <c r="O57" s="18">
        <v>16984</v>
      </c>
      <c r="P57" s="18">
        <v>0</v>
      </c>
      <c r="Q57" s="18">
        <v>700</v>
      </c>
      <c r="R57" s="18">
        <v>1606.4516129032259</v>
      </c>
      <c r="S57" s="18">
        <v>428</v>
      </c>
      <c r="T57" s="18">
        <v>0</v>
      </c>
      <c r="U57" s="18">
        <v>0</v>
      </c>
      <c r="V57" s="18">
        <v>708.5</v>
      </c>
      <c r="W57" s="18">
        <v>1405.6666666666667</v>
      </c>
      <c r="X57" s="18">
        <v>137182</v>
      </c>
      <c r="Y57" s="18">
        <v>4755</v>
      </c>
      <c r="Z57" s="18">
        <v>0</v>
      </c>
      <c r="AA57" s="18">
        <v>810.32258064516134</v>
      </c>
      <c r="AB57" s="18">
        <v>1250</v>
      </c>
      <c r="AC57" s="18">
        <v>83597</v>
      </c>
      <c r="AD57" s="18">
        <v>4804</v>
      </c>
      <c r="AE57" s="18">
        <v>0</v>
      </c>
      <c r="AF57" s="18">
        <v>740.66666666666663</v>
      </c>
      <c r="AG57" s="18">
        <v>1231.6666666666667</v>
      </c>
      <c r="AH57" s="18">
        <v>209465</v>
      </c>
      <c r="AI57" s="18">
        <v>4927</v>
      </c>
      <c r="AJ57" s="18">
        <v>0</v>
      </c>
      <c r="AK57" s="18">
        <v>771.29032258064512</v>
      </c>
      <c r="AL57" s="18">
        <v>1240</v>
      </c>
      <c r="AM57" s="18">
        <v>66458</v>
      </c>
      <c r="AN57" s="18">
        <v>822</v>
      </c>
      <c r="AO57" s="18">
        <v>0</v>
      </c>
      <c r="AP57" s="18">
        <v>836.12903225806451</v>
      </c>
      <c r="AQ57" s="18">
        <v>1240</v>
      </c>
      <c r="AR57" s="18">
        <v>58823</v>
      </c>
      <c r="AS57" s="18">
        <v>2083</v>
      </c>
      <c r="AT57" s="18">
        <v>0</v>
      </c>
      <c r="AU57" s="18">
        <v>1109</v>
      </c>
      <c r="AV57" s="18">
        <v>1240</v>
      </c>
      <c r="AW57" s="18">
        <v>61875</v>
      </c>
      <c r="AX57" s="18">
        <v>11440</v>
      </c>
      <c r="AY57" s="18">
        <v>0</v>
      </c>
      <c r="AZ57" s="18">
        <v>1199.6774193548388</v>
      </c>
      <c r="BA57" s="18">
        <v>1240</v>
      </c>
      <c r="BB57" s="18">
        <v>40246</v>
      </c>
      <c r="BC57" s="18">
        <v>4223</v>
      </c>
      <c r="BD57" s="18">
        <v>0</v>
      </c>
      <c r="BE57" s="18">
        <v>1155</v>
      </c>
      <c r="BF57" s="18">
        <v>1209.3333333333333</v>
      </c>
      <c r="BG57" s="18">
        <v>25450</v>
      </c>
      <c r="BH57" s="18">
        <v>3303</v>
      </c>
      <c r="BI57" s="18">
        <v>0</v>
      </c>
      <c r="BJ57" s="18">
        <v>1101.2903225806451</v>
      </c>
      <c r="BK57" s="18">
        <v>1193.2258064516129</v>
      </c>
    </row>
    <row r="58" spans="1:63" x14ac:dyDescent="0.35">
      <c r="A58" s="19">
        <v>54</v>
      </c>
      <c r="B58" s="20" t="s">
        <v>127</v>
      </c>
      <c r="C58" s="20" t="s">
        <v>128</v>
      </c>
      <c r="D58" s="18">
        <v>16341</v>
      </c>
      <c r="E58" s="18">
        <v>0</v>
      </c>
      <c r="F58" s="18">
        <v>0</v>
      </c>
      <c r="G58" s="18">
        <v>650</v>
      </c>
      <c r="H58" s="18">
        <v>1074.8387096774193</v>
      </c>
      <c r="I58" s="18">
        <v>21882</v>
      </c>
      <c r="J58" s="18">
        <v>0</v>
      </c>
      <c r="K58" s="18">
        <v>0</v>
      </c>
      <c r="L58" s="18">
        <v>686.96428571428567</v>
      </c>
      <c r="M58" s="18">
        <v>1398.5714285714287</v>
      </c>
      <c r="N58" s="18">
        <v>28489</v>
      </c>
      <c r="O58" s="18">
        <v>0</v>
      </c>
      <c r="P58" s="18">
        <v>0</v>
      </c>
      <c r="Q58" s="18">
        <v>700</v>
      </c>
      <c r="R58" s="18">
        <v>1606.4516129032259</v>
      </c>
      <c r="S58" s="18">
        <v>10890</v>
      </c>
      <c r="T58" s="18">
        <v>0</v>
      </c>
      <c r="U58" s="18">
        <v>0</v>
      </c>
      <c r="V58" s="18">
        <v>708.5</v>
      </c>
      <c r="W58" s="18">
        <v>1405.6666666666667</v>
      </c>
      <c r="X58" s="18">
        <v>90603</v>
      </c>
      <c r="Y58" s="18">
        <v>2619</v>
      </c>
      <c r="Z58" s="18">
        <v>0</v>
      </c>
      <c r="AA58" s="18">
        <v>810.32258064516134</v>
      </c>
      <c r="AB58" s="18">
        <v>1250</v>
      </c>
      <c r="AC58" s="18">
        <v>90361</v>
      </c>
      <c r="AD58" s="18">
        <v>894</v>
      </c>
      <c r="AE58" s="18">
        <v>0</v>
      </c>
      <c r="AF58" s="18">
        <v>740.66666666666663</v>
      </c>
      <c r="AG58" s="18">
        <v>1231.3333333333333</v>
      </c>
      <c r="AH58" s="18">
        <v>121395</v>
      </c>
      <c r="AI58" s="18">
        <v>655</v>
      </c>
      <c r="AJ58" s="18">
        <v>0</v>
      </c>
      <c r="AK58" s="18">
        <v>771.29032258064512</v>
      </c>
      <c r="AL58" s="18">
        <v>1240</v>
      </c>
      <c r="AM58" s="18">
        <v>41659</v>
      </c>
      <c r="AN58" s="18">
        <v>318</v>
      </c>
      <c r="AO58" s="18">
        <v>0</v>
      </c>
      <c r="AP58" s="18">
        <v>836.12903225806451</v>
      </c>
      <c r="AQ58" s="18">
        <v>1240</v>
      </c>
      <c r="AR58" s="18">
        <v>47847</v>
      </c>
      <c r="AS58" s="18">
        <v>288</v>
      </c>
      <c r="AT58" s="18">
        <v>0</v>
      </c>
      <c r="AU58" s="18">
        <v>1109</v>
      </c>
      <c r="AV58" s="18">
        <v>1240</v>
      </c>
      <c r="AW58" s="18">
        <v>37266</v>
      </c>
      <c r="AX58" s="18">
        <v>2694</v>
      </c>
      <c r="AY58" s="18">
        <v>0</v>
      </c>
      <c r="AZ58" s="18">
        <v>1199.6774193548388</v>
      </c>
      <c r="BA58" s="18">
        <v>1240</v>
      </c>
      <c r="BB58" s="18">
        <v>25834</v>
      </c>
      <c r="BC58" s="18">
        <v>1846</v>
      </c>
      <c r="BD58" s="18">
        <v>0</v>
      </c>
      <c r="BE58" s="18">
        <v>1155</v>
      </c>
      <c r="BF58" s="18">
        <v>1209.3333333333333</v>
      </c>
      <c r="BG58" s="18">
        <v>21589</v>
      </c>
      <c r="BH58" s="18">
        <v>656</v>
      </c>
      <c r="BI58" s="18">
        <v>0</v>
      </c>
      <c r="BJ58" s="18">
        <v>1101.2903225806451</v>
      </c>
      <c r="BK58" s="18">
        <v>1193.5483870967741</v>
      </c>
    </row>
    <row r="59" spans="1:63" x14ac:dyDescent="0.35">
      <c r="A59" s="19">
        <v>55</v>
      </c>
      <c r="B59" s="20" t="s">
        <v>129</v>
      </c>
      <c r="C59" s="20" t="s">
        <v>130</v>
      </c>
      <c r="D59" s="18">
        <v>1201421</v>
      </c>
      <c r="E59" s="18">
        <v>483662</v>
      </c>
      <c r="F59" s="18">
        <v>0</v>
      </c>
      <c r="G59" s="18">
        <v>625</v>
      </c>
      <c r="H59" s="18">
        <v>1032.258064516129</v>
      </c>
      <c r="I59" s="18">
        <v>1290332</v>
      </c>
      <c r="J59" s="18">
        <v>475451</v>
      </c>
      <c r="K59" s="18">
        <v>0</v>
      </c>
      <c r="L59" s="18">
        <v>635.53571428571433</v>
      </c>
      <c r="M59" s="18">
        <v>1384.2857142857142</v>
      </c>
      <c r="N59" s="18">
        <v>1060221</v>
      </c>
      <c r="O59" s="18">
        <v>499521</v>
      </c>
      <c r="P59" s="18">
        <v>0</v>
      </c>
      <c r="Q59" s="18">
        <v>636.77419354838707</v>
      </c>
      <c r="R59" s="18">
        <v>1501.6129032258063</v>
      </c>
      <c r="S59" s="18">
        <v>1531817</v>
      </c>
      <c r="T59" s="18">
        <v>485741</v>
      </c>
      <c r="U59" s="18">
        <v>0</v>
      </c>
      <c r="V59" s="18">
        <v>645.5</v>
      </c>
      <c r="W59" s="18">
        <v>1358.3333333333333</v>
      </c>
      <c r="X59" s="18">
        <v>1140863</v>
      </c>
      <c r="Y59" s="18">
        <v>416799</v>
      </c>
      <c r="Z59" s="18">
        <v>0</v>
      </c>
      <c r="AA59" s="18">
        <v>686.06451612903231</v>
      </c>
      <c r="AB59" s="18">
        <v>1168.0645161290322</v>
      </c>
      <c r="AC59" s="18">
        <v>1302265</v>
      </c>
      <c r="AD59" s="18">
        <v>309324</v>
      </c>
      <c r="AE59" s="18">
        <v>0</v>
      </c>
      <c r="AF59" s="18">
        <v>623.66666666666663</v>
      </c>
      <c r="AG59" s="18">
        <v>1166.6666666666667</v>
      </c>
      <c r="AH59" s="18">
        <v>1513942</v>
      </c>
      <c r="AI59" s="18">
        <v>183184</v>
      </c>
      <c r="AJ59" s="18">
        <v>0</v>
      </c>
      <c r="AK59" s="18">
        <v>735.48387096774195</v>
      </c>
      <c r="AL59" s="18">
        <v>1220</v>
      </c>
      <c r="AM59" s="18">
        <v>828382</v>
      </c>
      <c r="AN59" s="18">
        <v>90739</v>
      </c>
      <c r="AO59" s="18">
        <v>0</v>
      </c>
      <c r="AP59" s="18">
        <v>792.58064516129036</v>
      </c>
      <c r="AQ59" s="18">
        <v>1220</v>
      </c>
      <c r="AR59" s="18">
        <v>1235597</v>
      </c>
      <c r="AS59" s="18">
        <v>111644</v>
      </c>
      <c r="AT59" s="18">
        <v>0</v>
      </c>
      <c r="AU59" s="18">
        <v>956.66666666666663</v>
      </c>
      <c r="AV59" s="18">
        <v>1220</v>
      </c>
      <c r="AW59" s="18">
        <v>1147627</v>
      </c>
      <c r="AX59" s="18">
        <v>148292</v>
      </c>
      <c r="AY59" s="18">
        <v>0</v>
      </c>
      <c r="AZ59" s="18">
        <v>1075.483870967742</v>
      </c>
      <c r="BA59" s="18">
        <v>1214.1935483870968</v>
      </c>
      <c r="BB59" s="18">
        <v>711793</v>
      </c>
      <c r="BC59" s="18">
        <v>206859</v>
      </c>
      <c r="BD59" s="18">
        <v>0</v>
      </c>
      <c r="BE59" s="18">
        <v>1091.3333333333333</v>
      </c>
      <c r="BF59" s="18">
        <v>1178.3333333333333</v>
      </c>
      <c r="BG59" s="18">
        <v>882155</v>
      </c>
      <c r="BH59" s="18">
        <v>240172</v>
      </c>
      <c r="BI59" s="18">
        <v>0</v>
      </c>
      <c r="BJ59" s="18">
        <v>1059.0322580645161</v>
      </c>
      <c r="BK59" s="18">
        <v>1160.9677419354839</v>
      </c>
    </row>
    <row r="60" spans="1:63" x14ac:dyDescent="0.35">
      <c r="A60" s="19">
        <v>56</v>
      </c>
      <c r="B60" s="20" t="s">
        <v>131</v>
      </c>
      <c r="C60" s="20" t="s">
        <v>132</v>
      </c>
      <c r="D60" s="18">
        <v>239484</v>
      </c>
      <c r="E60" s="18">
        <v>38935</v>
      </c>
      <c r="F60" s="18">
        <v>3366</v>
      </c>
      <c r="G60" s="18">
        <v>656.29032258064512</v>
      </c>
      <c r="H60" s="18">
        <v>1065.8064516129032</v>
      </c>
      <c r="I60" s="18">
        <v>265679</v>
      </c>
      <c r="J60" s="18">
        <v>34896</v>
      </c>
      <c r="K60" s="18">
        <v>3142</v>
      </c>
      <c r="L60" s="18">
        <v>669.46428571428567</v>
      </c>
      <c r="M60" s="18">
        <v>1406.4285714285713</v>
      </c>
      <c r="N60" s="18">
        <v>265673</v>
      </c>
      <c r="O60" s="18">
        <v>34345</v>
      </c>
      <c r="P60" s="18">
        <v>2472</v>
      </c>
      <c r="Q60" s="18">
        <v>695</v>
      </c>
      <c r="R60" s="18">
        <v>1590.3225806451612</v>
      </c>
      <c r="S60" s="18">
        <v>297720</v>
      </c>
      <c r="T60" s="18">
        <v>41996</v>
      </c>
      <c r="U60" s="18">
        <v>552</v>
      </c>
      <c r="V60" s="18">
        <v>695</v>
      </c>
      <c r="W60" s="18">
        <v>1353.6666666666667</v>
      </c>
      <c r="X60" s="18">
        <v>266970</v>
      </c>
      <c r="Y60" s="18">
        <v>45312</v>
      </c>
      <c r="Z60" s="18">
        <v>2506</v>
      </c>
      <c r="AA60" s="18">
        <v>741.61290322580646</v>
      </c>
      <c r="AB60" s="18">
        <v>1197.4193548387098</v>
      </c>
      <c r="AC60" s="18">
        <v>238827</v>
      </c>
      <c r="AD60" s="18">
        <v>42319</v>
      </c>
      <c r="AE60" s="18">
        <v>2527</v>
      </c>
      <c r="AF60" s="18">
        <v>731.66666666666663</v>
      </c>
      <c r="AG60" s="18">
        <v>1182.3333333333333</v>
      </c>
      <c r="AH60" s="18">
        <v>254648</v>
      </c>
      <c r="AI60" s="18">
        <v>39906</v>
      </c>
      <c r="AJ60" s="18">
        <v>2951</v>
      </c>
      <c r="AK60" s="18">
        <v>747.58064516129036</v>
      </c>
      <c r="AL60" s="18">
        <v>1199.0322580645161</v>
      </c>
      <c r="AM60" s="18">
        <v>160991</v>
      </c>
      <c r="AN60" s="18">
        <v>35633</v>
      </c>
      <c r="AO60" s="18">
        <v>2831</v>
      </c>
      <c r="AP60" s="18">
        <v>836.45161290322585</v>
      </c>
      <c r="AQ60" s="18">
        <v>1200</v>
      </c>
      <c r="AR60" s="18">
        <v>209241</v>
      </c>
      <c r="AS60" s="18">
        <v>26821</v>
      </c>
      <c r="AT60" s="18">
        <v>2523</v>
      </c>
      <c r="AU60" s="18">
        <v>1103.5</v>
      </c>
      <c r="AV60" s="18">
        <v>1200</v>
      </c>
      <c r="AW60" s="18">
        <v>255976</v>
      </c>
      <c r="AX60" s="18">
        <v>32124</v>
      </c>
      <c r="AY60" s="18">
        <v>761</v>
      </c>
      <c r="AZ60" s="18">
        <v>1161.6129032258063</v>
      </c>
      <c r="BA60" s="18">
        <v>1195.8064516129032</v>
      </c>
      <c r="BB60" s="18">
        <v>268517</v>
      </c>
      <c r="BC60" s="18">
        <v>46327</v>
      </c>
      <c r="BD60" s="18">
        <v>1875</v>
      </c>
      <c r="BE60" s="18">
        <v>1132.6666666666667</v>
      </c>
      <c r="BF60" s="18">
        <v>1179.3333333333333</v>
      </c>
      <c r="BG60" s="18">
        <v>258354</v>
      </c>
      <c r="BH60" s="18">
        <v>42555</v>
      </c>
      <c r="BI60" s="18">
        <v>2287</v>
      </c>
      <c r="BJ60" s="18">
        <v>1091.9354838709678</v>
      </c>
      <c r="BK60" s="18">
        <v>1153.2258064516129</v>
      </c>
    </row>
    <row r="61" spans="1:63" x14ac:dyDescent="0.35">
      <c r="A61" s="19">
        <v>57</v>
      </c>
      <c r="B61" s="20" t="s">
        <v>133</v>
      </c>
      <c r="C61" s="20" t="s">
        <v>134</v>
      </c>
      <c r="D61" s="18">
        <v>332044</v>
      </c>
      <c r="E61" s="18">
        <v>29996</v>
      </c>
      <c r="F61" s="18">
        <v>0</v>
      </c>
      <c r="G61" s="18">
        <v>650.64516129032256</v>
      </c>
      <c r="H61" s="18">
        <v>1045.1612903225807</v>
      </c>
      <c r="I61" s="18">
        <v>234891</v>
      </c>
      <c r="J61" s="18">
        <v>23143</v>
      </c>
      <c r="K61" s="18">
        <v>0</v>
      </c>
      <c r="L61" s="18">
        <v>666.60714285714289</v>
      </c>
      <c r="M61" s="18">
        <v>1395.3571428571429</v>
      </c>
      <c r="N61" s="18">
        <v>274256</v>
      </c>
      <c r="O61" s="18">
        <v>42660</v>
      </c>
      <c r="P61" s="18">
        <v>0</v>
      </c>
      <c r="Q61" s="18">
        <v>680</v>
      </c>
      <c r="R61" s="18">
        <v>1562.9032258064517</v>
      </c>
      <c r="S61" s="18">
        <v>302102</v>
      </c>
      <c r="T61" s="18">
        <v>43841</v>
      </c>
      <c r="U61" s="18">
        <v>0</v>
      </c>
      <c r="V61" s="18">
        <v>680</v>
      </c>
      <c r="W61" s="18">
        <v>1339.3333333333333</v>
      </c>
      <c r="X61" s="18">
        <v>279128</v>
      </c>
      <c r="Y61" s="18">
        <v>44828</v>
      </c>
      <c r="Z61" s="18">
        <v>0</v>
      </c>
      <c r="AA61" s="18">
        <v>718.54838709677415</v>
      </c>
      <c r="AB61" s="18">
        <v>1187.0967741935483</v>
      </c>
      <c r="AC61" s="18">
        <v>230942</v>
      </c>
      <c r="AD61" s="18">
        <v>40227</v>
      </c>
      <c r="AE61" s="18">
        <v>0</v>
      </c>
      <c r="AF61" s="18">
        <v>725</v>
      </c>
      <c r="AG61" s="18">
        <v>1182.3333333333333</v>
      </c>
      <c r="AH61" s="18">
        <v>240466</v>
      </c>
      <c r="AI61" s="18">
        <v>37551</v>
      </c>
      <c r="AJ61" s="18">
        <v>0</v>
      </c>
      <c r="AK61" s="18">
        <v>756.61290322580646</v>
      </c>
      <c r="AL61" s="18">
        <v>1190</v>
      </c>
      <c r="AM61" s="18">
        <v>137179</v>
      </c>
      <c r="AN61" s="18">
        <v>42126</v>
      </c>
      <c r="AO61" s="18">
        <v>0</v>
      </c>
      <c r="AP61" s="18">
        <v>867.09677419354841</v>
      </c>
      <c r="AQ61" s="18">
        <v>1190</v>
      </c>
      <c r="AR61" s="18">
        <v>185626</v>
      </c>
      <c r="AS61" s="18">
        <v>42695</v>
      </c>
      <c r="AT61" s="18">
        <v>0</v>
      </c>
      <c r="AU61" s="18">
        <v>1108.1666666666667</v>
      </c>
      <c r="AV61" s="18">
        <v>1190</v>
      </c>
      <c r="AW61" s="18">
        <v>185029</v>
      </c>
      <c r="AX61" s="18">
        <v>42091</v>
      </c>
      <c r="AY61" s="18">
        <v>0</v>
      </c>
      <c r="AZ61" s="18">
        <v>1160</v>
      </c>
      <c r="BA61" s="18">
        <v>1193.8709677419354</v>
      </c>
      <c r="BB61" s="18">
        <v>162397</v>
      </c>
      <c r="BC61" s="18">
        <v>45712</v>
      </c>
      <c r="BD61" s="18">
        <v>0</v>
      </c>
      <c r="BE61" s="18">
        <v>1127.3333333333333</v>
      </c>
      <c r="BF61" s="18">
        <v>1168.6666666666667</v>
      </c>
      <c r="BG61" s="18">
        <v>196621</v>
      </c>
      <c r="BH61" s="18">
        <v>39455</v>
      </c>
      <c r="BI61" s="18">
        <v>0</v>
      </c>
      <c r="BJ61" s="18">
        <v>1083.8709677419354</v>
      </c>
      <c r="BK61" s="18">
        <v>1150</v>
      </c>
    </row>
    <row r="62" spans="1:63" x14ac:dyDescent="0.35">
      <c r="A62" s="19">
        <v>58</v>
      </c>
      <c r="B62" s="20" t="s">
        <v>135</v>
      </c>
      <c r="C62" s="20" t="s">
        <v>136</v>
      </c>
      <c r="D62" s="18">
        <v>140599</v>
      </c>
      <c r="E62" s="18">
        <v>1513</v>
      </c>
      <c r="F62" s="18">
        <v>0</v>
      </c>
      <c r="G62" s="18">
        <v>660</v>
      </c>
      <c r="H62" s="18">
        <v>1078.0645161290322</v>
      </c>
      <c r="I62" s="18">
        <v>149730</v>
      </c>
      <c r="J62" s="18">
        <v>962</v>
      </c>
      <c r="K62" s="18">
        <v>0</v>
      </c>
      <c r="L62" s="18">
        <v>674.64285714285711</v>
      </c>
      <c r="M62" s="18">
        <v>1388.2142857142858</v>
      </c>
      <c r="N62" s="18">
        <v>163492</v>
      </c>
      <c r="O62" s="18">
        <v>850</v>
      </c>
      <c r="P62" s="18">
        <v>0</v>
      </c>
      <c r="Q62" s="18">
        <v>695</v>
      </c>
      <c r="R62" s="18">
        <v>1610.483870967742</v>
      </c>
      <c r="S62" s="18">
        <v>142400</v>
      </c>
      <c r="T62" s="18">
        <v>3751</v>
      </c>
      <c r="U62" s="18">
        <v>0</v>
      </c>
      <c r="V62" s="18">
        <v>695.83333333333337</v>
      </c>
      <c r="W62" s="18">
        <v>1360.5</v>
      </c>
      <c r="X62" s="18">
        <v>150404</v>
      </c>
      <c r="Y62" s="18">
        <v>3073</v>
      </c>
      <c r="Z62" s="18">
        <v>0</v>
      </c>
      <c r="AA62" s="18">
        <v>791.93548387096769</v>
      </c>
      <c r="AB62" s="18">
        <v>1227.0967741935483</v>
      </c>
      <c r="AC62" s="18">
        <v>118226</v>
      </c>
      <c r="AD62" s="18">
        <v>2507</v>
      </c>
      <c r="AE62" s="18">
        <v>0</v>
      </c>
      <c r="AF62" s="18">
        <v>767.33333333333337</v>
      </c>
      <c r="AG62" s="18">
        <v>1236.3333333333333</v>
      </c>
      <c r="AH62" s="18">
        <v>168019</v>
      </c>
      <c r="AI62" s="18">
        <v>2442</v>
      </c>
      <c r="AJ62" s="18">
        <v>0</v>
      </c>
      <c r="AK62" s="18">
        <v>770.64516129032256</v>
      </c>
      <c r="AL62" s="18">
        <v>1255</v>
      </c>
      <c r="AM62" s="18">
        <v>108662</v>
      </c>
      <c r="AN62" s="18">
        <v>2915</v>
      </c>
      <c r="AO62" s="18">
        <v>0</v>
      </c>
      <c r="AP62" s="18">
        <v>875.80645161290317</v>
      </c>
      <c r="AQ62" s="18">
        <v>1255</v>
      </c>
      <c r="AR62" s="18">
        <v>110277</v>
      </c>
      <c r="AS62" s="18">
        <v>1585</v>
      </c>
      <c r="AT62" s="18">
        <v>0</v>
      </c>
      <c r="AU62" s="18">
        <v>1063.6666666666667</v>
      </c>
      <c r="AV62" s="18">
        <v>1255</v>
      </c>
      <c r="AW62" s="18">
        <v>154714</v>
      </c>
      <c r="AX62" s="18">
        <v>4473</v>
      </c>
      <c r="AY62" s="18">
        <v>0</v>
      </c>
      <c r="AZ62" s="18">
        <v>1206.4516129032259</v>
      </c>
      <c r="BA62" s="18">
        <v>1247.0967741935483</v>
      </c>
      <c r="BB62" s="18">
        <v>154418</v>
      </c>
      <c r="BC62" s="18">
        <v>4802</v>
      </c>
      <c r="BD62" s="18">
        <v>0</v>
      </c>
      <c r="BE62" s="18">
        <v>1143.8333333333333</v>
      </c>
      <c r="BF62" s="18">
        <v>1215.3333333333333</v>
      </c>
      <c r="BG62" s="18">
        <v>99281</v>
      </c>
      <c r="BH62" s="18">
        <v>3253</v>
      </c>
      <c r="BI62" s="18">
        <v>0</v>
      </c>
      <c r="BJ62" s="18">
        <v>1078.7096774193549</v>
      </c>
      <c r="BK62" s="18">
        <v>1200</v>
      </c>
    </row>
    <row r="63" spans="1:63" x14ac:dyDescent="0.35">
      <c r="A63" s="19">
        <v>59</v>
      </c>
      <c r="B63" s="20" t="s">
        <v>137</v>
      </c>
      <c r="C63" s="20" t="s">
        <v>138</v>
      </c>
      <c r="D63" s="18">
        <v>417660</v>
      </c>
      <c r="E63" s="18">
        <v>22961</v>
      </c>
      <c r="F63" s="18">
        <v>0</v>
      </c>
      <c r="G63" s="18">
        <v>666.77419354838707</v>
      </c>
      <c r="H63" s="18">
        <v>1107.0967741935483</v>
      </c>
      <c r="I63" s="18">
        <v>339993</v>
      </c>
      <c r="J63" s="18">
        <v>35142</v>
      </c>
      <c r="K63" s="18">
        <v>0</v>
      </c>
      <c r="L63" s="18">
        <v>678.57142857142856</v>
      </c>
      <c r="M63" s="18">
        <v>1373.2142857142858</v>
      </c>
      <c r="N63" s="18">
        <v>364974</v>
      </c>
      <c r="O63" s="18">
        <v>29380</v>
      </c>
      <c r="P63" s="18">
        <v>2413</v>
      </c>
      <c r="Q63" s="18">
        <v>700</v>
      </c>
      <c r="R63" s="18">
        <v>1607.258064516129</v>
      </c>
      <c r="S63" s="18">
        <v>323696</v>
      </c>
      <c r="T63" s="18">
        <v>32921</v>
      </c>
      <c r="U63" s="18">
        <v>1745</v>
      </c>
      <c r="V63" s="18">
        <v>703.16666666666663</v>
      </c>
      <c r="W63" s="18">
        <v>1464.1666666666667</v>
      </c>
      <c r="X63" s="18">
        <v>382262</v>
      </c>
      <c r="Y63" s="18">
        <v>42184</v>
      </c>
      <c r="Z63" s="18">
        <v>1651</v>
      </c>
      <c r="AA63" s="18">
        <v>810.32258064516134</v>
      </c>
      <c r="AB63" s="18">
        <v>1253.5483870967741</v>
      </c>
      <c r="AC63" s="18">
        <v>417120</v>
      </c>
      <c r="AD63" s="18">
        <v>45473</v>
      </c>
      <c r="AE63" s="18">
        <v>1899</v>
      </c>
      <c r="AF63" s="18">
        <v>757.33333333333337</v>
      </c>
      <c r="AG63" s="18">
        <v>1241.3333333333333</v>
      </c>
      <c r="AH63" s="18">
        <v>483068</v>
      </c>
      <c r="AI63" s="18">
        <v>30006</v>
      </c>
      <c r="AJ63" s="18">
        <v>2207</v>
      </c>
      <c r="AK63" s="18">
        <v>766.77419354838707</v>
      </c>
      <c r="AL63" s="18">
        <v>1260</v>
      </c>
      <c r="AM63" s="18">
        <v>318827</v>
      </c>
      <c r="AN63" s="18">
        <v>11277</v>
      </c>
      <c r="AO63" s="18">
        <v>2185</v>
      </c>
      <c r="AP63" s="18">
        <v>843.54838709677415</v>
      </c>
      <c r="AQ63" s="18">
        <v>1256.1290322580646</v>
      </c>
      <c r="AR63" s="18">
        <v>242219</v>
      </c>
      <c r="AS63" s="18">
        <v>8379</v>
      </c>
      <c r="AT63" s="18">
        <v>2494</v>
      </c>
      <c r="AU63" s="18">
        <v>1118</v>
      </c>
      <c r="AV63" s="18">
        <v>1260</v>
      </c>
      <c r="AW63" s="18">
        <v>384496</v>
      </c>
      <c r="AX63" s="18">
        <v>26277</v>
      </c>
      <c r="AY63" s="18">
        <v>2200</v>
      </c>
      <c r="AZ63" s="18">
        <v>1196.7741935483871</v>
      </c>
      <c r="BA63" s="18">
        <v>1260</v>
      </c>
      <c r="BB63" s="18">
        <v>400179</v>
      </c>
      <c r="BC63" s="18">
        <v>19065</v>
      </c>
      <c r="BD63" s="18">
        <v>0</v>
      </c>
      <c r="BE63" s="18">
        <v>1168</v>
      </c>
      <c r="BF63" s="18">
        <v>1229</v>
      </c>
      <c r="BG63" s="18">
        <v>413547</v>
      </c>
      <c r="BH63" s="18">
        <v>43149</v>
      </c>
      <c r="BI63" s="18">
        <v>0</v>
      </c>
      <c r="BJ63" s="18">
        <v>1137.4193548387098</v>
      </c>
      <c r="BK63" s="18">
        <v>1228.3870967741937</v>
      </c>
    </row>
    <row r="64" spans="1:63" x14ac:dyDescent="0.35">
      <c r="A64" s="19">
        <v>60</v>
      </c>
      <c r="B64" s="21" t="s">
        <v>139</v>
      </c>
      <c r="C64" s="21" t="s">
        <v>140</v>
      </c>
      <c r="D64" s="18">
        <v>269441</v>
      </c>
      <c r="E64" s="18">
        <v>17221</v>
      </c>
      <c r="F64" s="18">
        <v>0</v>
      </c>
      <c r="G64" s="18">
        <v>666.77419354838707</v>
      </c>
      <c r="H64" s="18">
        <v>1108.0645161290322</v>
      </c>
      <c r="I64" s="18">
        <v>286219</v>
      </c>
      <c r="J64" s="18">
        <v>29446</v>
      </c>
      <c r="K64" s="18">
        <v>0</v>
      </c>
      <c r="L64" s="18">
        <v>678.57142857142856</v>
      </c>
      <c r="M64" s="18">
        <v>1381.0714285714287</v>
      </c>
      <c r="N64" s="18">
        <v>249804</v>
      </c>
      <c r="O64" s="18">
        <v>32568</v>
      </c>
      <c r="P64" s="18">
        <v>0</v>
      </c>
      <c r="Q64" s="18">
        <v>700</v>
      </c>
      <c r="R64" s="18">
        <v>1600</v>
      </c>
      <c r="S64" s="18">
        <v>217973</v>
      </c>
      <c r="T64" s="18">
        <v>21241</v>
      </c>
      <c r="U64" s="18">
        <v>0</v>
      </c>
      <c r="V64" s="18">
        <v>703.33333333333337</v>
      </c>
      <c r="W64" s="18">
        <v>1464.1666666666667</v>
      </c>
      <c r="X64" s="18">
        <v>357509</v>
      </c>
      <c r="Y64" s="18">
        <v>33294</v>
      </c>
      <c r="Z64" s="18">
        <v>0</v>
      </c>
      <c r="AA64" s="18">
        <v>810.9677419354839</v>
      </c>
      <c r="AB64" s="18">
        <v>1255.483870967742</v>
      </c>
      <c r="AC64" s="18">
        <v>395219</v>
      </c>
      <c r="AD64" s="18">
        <v>23178</v>
      </c>
      <c r="AE64" s="18">
        <v>0</v>
      </c>
      <c r="AF64" s="18">
        <v>757.33333333333337</v>
      </c>
      <c r="AG64" s="18">
        <v>1241.3333333333333</v>
      </c>
      <c r="AH64" s="18">
        <v>404942</v>
      </c>
      <c r="AI64" s="18">
        <v>18667</v>
      </c>
      <c r="AJ64" s="18">
        <v>0</v>
      </c>
      <c r="AK64" s="18">
        <v>766.77419354838707</v>
      </c>
      <c r="AL64" s="18">
        <v>1260</v>
      </c>
      <c r="AM64" s="18">
        <v>282398</v>
      </c>
      <c r="AN64" s="18">
        <v>28726</v>
      </c>
      <c r="AO64" s="18">
        <v>0</v>
      </c>
      <c r="AP64" s="18">
        <v>842.25806451612902</v>
      </c>
      <c r="AQ64" s="18">
        <v>1260</v>
      </c>
      <c r="AR64" s="18">
        <v>183201</v>
      </c>
      <c r="AS64" s="18">
        <v>27540</v>
      </c>
      <c r="AT64" s="18">
        <v>0</v>
      </c>
      <c r="AU64" s="18">
        <v>1124.6666666666667</v>
      </c>
      <c r="AV64" s="18">
        <v>1260</v>
      </c>
      <c r="AW64" s="18">
        <v>317354</v>
      </c>
      <c r="AX64" s="18">
        <v>29600</v>
      </c>
      <c r="AY64" s="18">
        <v>0</v>
      </c>
      <c r="AZ64" s="18">
        <v>1194.8387096774193</v>
      </c>
      <c r="BA64" s="18">
        <v>1257.0967741935483</v>
      </c>
      <c r="BB64" s="18">
        <v>320432</v>
      </c>
      <c r="BC64" s="18">
        <v>29776</v>
      </c>
      <c r="BD64" s="18">
        <v>0</v>
      </c>
      <c r="BE64" s="18">
        <v>1167.3333333333333</v>
      </c>
      <c r="BF64" s="18">
        <v>1230</v>
      </c>
      <c r="BG64" s="18">
        <v>323657</v>
      </c>
      <c r="BH64" s="18">
        <v>17552</v>
      </c>
      <c r="BI64" s="18">
        <v>0</v>
      </c>
      <c r="BJ64" s="18">
        <v>1140</v>
      </c>
      <c r="BK64" s="18">
        <v>1230</v>
      </c>
    </row>
    <row r="65" spans="1:63" x14ac:dyDescent="0.35">
      <c r="A65" s="19">
        <v>61</v>
      </c>
      <c r="B65" s="20" t="s">
        <v>141</v>
      </c>
      <c r="C65" s="20" t="s">
        <v>142</v>
      </c>
      <c r="D65" s="18">
        <v>499302</v>
      </c>
      <c r="E65" s="18">
        <v>17134</v>
      </c>
      <c r="F65" s="18">
        <v>0</v>
      </c>
      <c r="G65" s="18">
        <v>666.77419354838707</v>
      </c>
      <c r="H65" s="18">
        <v>1108.0645161290322</v>
      </c>
      <c r="I65" s="18">
        <v>406796</v>
      </c>
      <c r="J65" s="18">
        <v>48209</v>
      </c>
      <c r="K65" s="18">
        <v>0</v>
      </c>
      <c r="L65" s="18">
        <v>678.57142857142856</v>
      </c>
      <c r="M65" s="18">
        <v>1381.0714285714287</v>
      </c>
      <c r="N65" s="18">
        <v>409367</v>
      </c>
      <c r="O65" s="18">
        <v>32412</v>
      </c>
      <c r="P65" s="18">
        <v>1476</v>
      </c>
      <c r="Q65" s="18">
        <v>700</v>
      </c>
      <c r="R65" s="18">
        <v>1603.2258064516129</v>
      </c>
      <c r="S65" s="18">
        <v>457181</v>
      </c>
      <c r="T65" s="18">
        <v>19296</v>
      </c>
      <c r="U65" s="18">
        <v>1423</v>
      </c>
      <c r="V65" s="18">
        <v>703.33333333333337</v>
      </c>
      <c r="W65" s="18">
        <v>1464.1666666666667</v>
      </c>
      <c r="X65" s="18">
        <v>418251</v>
      </c>
      <c r="Y65" s="18">
        <v>22713</v>
      </c>
      <c r="Z65" s="18">
        <v>1249</v>
      </c>
      <c r="AA65" s="18">
        <v>810.9677419354839</v>
      </c>
      <c r="AB65" s="18">
        <v>1255.483870967742</v>
      </c>
      <c r="AC65" s="18">
        <v>532910</v>
      </c>
      <c r="AD65" s="18">
        <v>28160</v>
      </c>
      <c r="AE65" s="18">
        <v>1176</v>
      </c>
      <c r="AF65" s="18">
        <v>757.33333333333337</v>
      </c>
      <c r="AG65" s="18">
        <v>1241.3333333333333</v>
      </c>
      <c r="AH65" s="18">
        <v>505927</v>
      </c>
      <c r="AI65" s="18">
        <v>19265</v>
      </c>
      <c r="AJ65" s="18">
        <v>1639</v>
      </c>
      <c r="AK65" s="18">
        <v>766.77419354838707</v>
      </c>
      <c r="AL65" s="18">
        <v>1260</v>
      </c>
      <c r="AM65" s="18">
        <v>359659</v>
      </c>
      <c r="AN65" s="18">
        <v>15806</v>
      </c>
      <c r="AO65" s="18">
        <v>1672</v>
      </c>
      <c r="AP65" s="18">
        <v>843.54838709677415</v>
      </c>
      <c r="AQ65" s="18">
        <v>1256.1290322580646</v>
      </c>
      <c r="AR65" s="18">
        <v>213921</v>
      </c>
      <c r="AS65" s="18">
        <v>11553</v>
      </c>
      <c r="AT65" s="18">
        <v>1177</v>
      </c>
      <c r="AU65" s="18">
        <v>1116.6666666666667</v>
      </c>
      <c r="AV65" s="18">
        <v>1260</v>
      </c>
      <c r="AW65" s="18">
        <v>495011</v>
      </c>
      <c r="AX65" s="18">
        <v>17976</v>
      </c>
      <c r="AY65" s="18">
        <v>2189</v>
      </c>
      <c r="AZ65" s="18">
        <v>1196.7741935483871</v>
      </c>
      <c r="BA65" s="18">
        <v>1260</v>
      </c>
      <c r="BB65" s="18">
        <v>464250</v>
      </c>
      <c r="BC65" s="18">
        <v>38067</v>
      </c>
      <c r="BD65" s="18">
        <v>3238</v>
      </c>
      <c r="BE65" s="18">
        <v>1168</v>
      </c>
      <c r="BF65" s="18">
        <v>1230</v>
      </c>
      <c r="BG65" s="18">
        <v>486838</v>
      </c>
      <c r="BH65" s="18">
        <v>36178</v>
      </c>
      <c r="BI65" s="18">
        <v>932</v>
      </c>
      <c r="BJ65" s="18">
        <v>1137.4193548387098</v>
      </c>
      <c r="BK65" s="18">
        <v>1230</v>
      </c>
    </row>
    <row r="66" spans="1:63" x14ac:dyDescent="0.35">
      <c r="A66" s="19">
        <v>62</v>
      </c>
      <c r="B66" s="20" t="s">
        <v>143</v>
      </c>
      <c r="C66" s="20" t="s">
        <v>144</v>
      </c>
      <c r="D66" s="18">
        <v>221877</v>
      </c>
      <c r="E66" s="18">
        <v>41776</v>
      </c>
      <c r="F66" s="18">
        <v>1536</v>
      </c>
      <c r="G66" s="18">
        <v>619.19354838709683</v>
      </c>
      <c r="H66" s="18">
        <v>1058.5483870967741</v>
      </c>
      <c r="I66" s="18">
        <v>193529</v>
      </c>
      <c r="J66" s="18">
        <v>35825</v>
      </c>
      <c r="K66" s="18">
        <v>3255</v>
      </c>
      <c r="L66" s="18">
        <v>647.14285714285711</v>
      </c>
      <c r="M66" s="18">
        <v>1389.4642857142858</v>
      </c>
      <c r="N66" s="18">
        <v>201515</v>
      </c>
      <c r="O66" s="18">
        <v>25641</v>
      </c>
      <c r="P66" s="18">
        <v>1777</v>
      </c>
      <c r="Q66" s="18">
        <v>663.87096774193549</v>
      </c>
      <c r="R66" s="18">
        <v>1562.9032258064517</v>
      </c>
      <c r="S66" s="18">
        <v>261245</v>
      </c>
      <c r="T66" s="18">
        <v>21953</v>
      </c>
      <c r="U66" s="18">
        <v>1490</v>
      </c>
      <c r="V66" s="18">
        <v>665.66666666666663</v>
      </c>
      <c r="W66" s="18">
        <v>1384.1666666666667</v>
      </c>
      <c r="X66" s="18">
        <v>106296</v>
      </c>
      <c r="Y66" s="18">
        <v>20980</v>
      </c>
      <c r="Z66" s="18">
        <v>1509</v>
      </c>
      <c r="AA66" s="18">
        <v>748.06451612903231</v>
      </c>
      <c r="AB66" s="18">
        <v>1229.6774193548388</v>
      </c>
      <c r="AC66" s="18">
        <v>214562</v>
      </c>
      <c r="AD66" s="18">
        <v>22395</v>
      </c>
      <c r="AE66" s="18">
        <v>3551</v>
      </c>
      <c r="AF66" s="18">
        <v>670.66666666666663</v>
      </c>
      <c r="AG66" s="18">
        <v>1218.3333333333333</v>
      </c>
      <c r="AH66" s="18">
        <v>210321</v>
      </c>
      <c r="AI66" s="18">
        <v>27319</v>
      </c>
      <c r="AJ66" s="18">
        <v>1332</v>
      </c>
      <c r="AK66" s="18">
        <v>734.19354838709683</v>
      </c>
      <c r="AL66" s="18">
        <v>1200</v>
      </c>
      <c r="AM66" s="18">
        <v>103741</v>
      </c>
      <c r="AN66" s="18">
        <v>18063</v>
      </c>
      <c r="AO66" s="18">
        <v>1049</v>
      </c>
      <c r="AP66" s="18">
        <v>818.06451612903231</v>
      </c>
      <c r="AQ66" s="18">
        <v>1200</v>
      </c>
      <c r="AR66" s="18">
        <v>139756</v>
      </c>
      <c r="AS66" s="18">
        <v>23471</v>
      </c>
      <c r="AT66" s="18">
        <v>1313</v>
      </c>
      <c r="AU66" s="18">
        <v>998.66666666666663</v>
      </c>
      <c r="AV66" s="18">
        <v>1200</v>
      </c>
      <c r="AW66" s="18">
        <v>126823</v>
      </c>
      <c r="AX66" s="18">
        <v>34088</v>
      </c>
      <c r="AY66" s="18">
        <v>1668</v>
      </c>
      <c r="AZ66" s="18">
        <v>1088.3870967741937</v>
      </c>
      <c r="BA66" s="18">
        <v>1200</v>
      </c>
      <c r="BB66" s="18">
        <v>119102</v>
      </c>
      <c r="BC66" s="18">
        <v>29057</v>
      </c>
      <c r="BD66" s="18">
        <v>1605</v>
      </c>
      <c r="BE66" s="18">
        <v>1090.6666666666667</v>
      </c>
      <c r="BF66" s="18">
        <v>1177.6666666666667</v>
      </c>
      <c r="BG66" s="18">
        <v>133694</v>
      </c>
      <c r="BH66" s="18">
        <v>26201</v>
      </c>
      <c r="BI66" s="18">
        <v>1502</v>
      </c>
      <c r="BJ66" s="18">
        <v>1044.516129032258</v>
      </c>
      <c r="BK66" s="18">
        <v>1150</v>
      </c>
    </row>
    <row r="67" spans="1:63" x14ac:dyDescent="0.35">
      <c r="A67" s="19">
        <v>63</v>
      </c>
      <c r="B67" s="20" t="s">
        <v>145</v>
      </c>
      <c r="C67" s="20" t="s">
        <v>146</v>
      </c>
      <c r="D67" s="18">
        <v>230674</v>
      </c>
      <c r="E67" s="18">
        <v>34346</v>
      </c>
      <c r="F67" s="18">
        <v>2401</v>
      </c>
      <c r="G67" s="18">
        <v>619.19354838709683</v>
      </c>
      <c r="H67" s="18">
        <v>1058.3870967741937</v>
      </c>
      <c r="I67" s="18">
        <v>141463</v>
      </c>
      <c r="J67" s="18">
        <v>34381</v>
      </c>
      <c r="K67" s="18">
        <v>21</v>
      </c>
      <c r="L67" s="18">
        <v>647.14285714285711</v>
      </c>
      <c r="M67" s="18">
        <v>1389.6428571428571</v>
      </c>
      <c r="N67" s="18">
        <v>167512</v>
      </c>
      <c r="O67" s="18">
        <v>22574</v>
      </c>
      <c r="P67" s="18">
        <v>1729</v>
      </c>
      <c r="Q67" s="18">
        <v>663.87096774193549</v>
      </c>
      <c r="R67" s="18">
        <v>1562.9032258064517</v>
      </c>
      <c r="S67" s="18">
        <v>257460</v>
      </c>
      <c r="T67" s="18">
        <v>30359</v>
      </c>
      <c r="U67" s="18">
        <v>2675</v>
      </c>
      <c r="V67" s="18">
        <v>665.66666666666663</v>
      </c>
      <c r="W67" s="18">
        <v>1385</v>
      </c>
      <c r="X67" s="18">
        <v>106510</v>
      </c>
      <c r="Y67" s="18">
        <v>7790</v>
      </c>
      <c r="Z67" s="18">
        <v>3335</v>
      </c>
      <c r="AA67" s="18">
        <v>749.35483870967744</v>
      </c>
      <c r="AB67" s="18">
        <v>1230.9677419354839</v>
      </c>
      <c r="AC67" s="18">
        <v>144411</v>
      </c>
      <c r="AD67" s="18">
        <v>6946</v>
      </c>
      <c r="AE67" s="18">
        <v>2215</v>
      </c>
      <c r="AF67" s="18">
        <v>670.66666666666663</v>
      </c>
      <c r="AG67" s="18">
        <v>1219.3333333333333</v>
      </c>
      <c r="AH67" s="18">
        <v>145813</v>
      </c>
      <c r="AI67" s="18">
        <v>8561</v>
      </c>
      <c r="AJ67" s="18">
        <v>992</v>
      </c>
      <c r="AK67" s="18">
        <v>734.19354838709683</v>
      </c>
      <c r="AL67" s="18">
        <v>1200</v>
      </c>
      <c r="AM67" s="18">
        <v>118251</v>
      </c>
      <c r="AN67" s="18">
        <v>6259</v>
      </c>
      <c r="AO67" s="18">
        <v>801</v>
      </c>
      <c r="AP67" s="18">
        <v>818.06451612903231</v>
      </c>
      <c r="AQ67" s="18">
        <v>1200</v>
      </c>
      <c r="AR67" s="18">
        <v>136004</v>
      </c>
      <c r="AS67" s="18">
        <v>7356</v>
      </c>
      <c r="AT67" s="18">
        <v>704</v>
      </c>
      <c r="AU67" s="18">
        <v>998.66666666666663</v>
      </c>
      <c r="AV67" s="18">
        <v>1200</v>
      </c>
      <c r="AW67" s="18">
        <v>77822</v>
      </c>
      <c r="AX67" s="18">
        <v>9496</v>
      </c>
      <c r="AY67" s="18">
        <v>782</v>
      </c>
      <c r="AZ67" s="18">
        <v>1088.3870967741937</v>
      </c>
      <c r="BA67" s="18">
        <v>1200</v>
      </c>
      <c r="BB67" s="18">
        <v>73844</v>
      </c>
      <c r="BC67" s="18">
        <v>9344</v>
      </c>
      <c r="BD67" s="18">
        <v>377</v>
      </c>
      <c r="BE67" s="18">
        <v>1090.6666666666667</v>
      </c>
      <c r="BF67" s="18">
        <v>1177.6666666666667</v>
      </c>
      <c r="BG67" s="18">
        <v>80188</v>
      </c>
      <c r="BH67" s="18">
        <v>11385</v>
      </c>
      <c r="BI67" s="18">
        <v>1071</v>
      </c>
      <c r="BJ67" s="18">
        <v>1044.516129032258</v>
      </c>
      <c r="BK67" s="18">
        <v>1150</v>
      </c>
    </row>
    <row r="68" spans="1:63" x14ac:dyDescent="0.35">
      <c r="A68" s="19">
        <v>64</v>
      </c>
      <c r="B68" s="20" t="s">
        <v>147</v>
      </c>
      <c r="C68" s="20" t="s">
        <v>148</v>
      </c>
      <c r="D68" s="18">
        <v>216563</v>
      </c>
      <c r="E68" s="18">
        <v>75515</v>
      </c>
      <c r="F68" s="18">
        <v>3165</v>
      </c>
      <c r="G68" s="18">
        <v>619.19354838709683</v>
      </c>
      <c r="H68" s="18">
        <v>1058.5483870967741</v>
      </c>
      <c r="I68" s="18">
        <v>176830</v>
      </c>
      <c r="J68" s="18">
        <v>63965</v>
      </c>
      <c r="K68" s="18">
        <v>1001</v>
      </c>
      <c r="L68" s="18">
        <v>646.42857142857144</v>
      </c>
      <c r="M68" s="18">
        <v>1393.9285714285713</v>
      </c>
      <c r="N68" s="18">
        <v>175079</v>
      </c>
      <c r="O68" s="18">
        <v>48575</v>
      </c>
      <c r="P68" s="18">
        <v>2006</v>
      </c>
      <c r="Q68" s="18">
        <v>663.87096774193549</v>
      </c>
      <c r="R68" s="18">
        <v>1562.9032258064517</v>
      </c>
      <c r="S68" s="18">
        <v>244773</v>
      </c>
      <c r="T68" s="18">
        <v>51286</v>
      </c>
      <c r="U68" s="18">
        <v>3497</v>
      </c>
      <c r="V68" s="18">
        <v>665.66666666666663</v>
      </c>
      <c r="W68" s="18">
        <v>1385</v>
      </c>
      <c r="X68" s="18">
        <v>81481</v>
      </c>
      <c r="Y68" s="18">
        <v>28227</v>
      </c>
      <c r="Z68" s="18">
        <v>1408</v>
      </c>
      <c r="AA68" s="18">
        <v>748.70967741935488</v>
      </c>
      <c r="AB68" s="18">
        <v>1229.6774193548388</v>
      </c>
      <c r="AC68" s="18">
        <v>117934</v>
      </c>
      <c r="AD68" s="18">
        <v>26144</v>
      </c>
      <c r="AE68" s="18">
        <v>2684</v>
      </c>
      <c r="AF68" s="18">
        <v>670.66666666666663</v>
      </c>
      <c r="AG68" s="18">
        <v>1219.3333333333333</v>
      </c>
      <c r="AH68" s="18">
        <v>231191</v>
      </c>
      <c r="AI68" s="18">
        <v>29603</v>
      </c>
      <c r="AJ68" s="18">
        <v>2808</v>
      </c>
      <c r="AK68" s="18">
        <v>734.19354838709683</v>
      </c>
      <c r="AL68" s="18">
        <v>1200</v>
      </c>
      <c r="AM68" s="18">
        <v>124153</v>
      </c>
      <c r="AN68" s="18">
        <v>21217</v>
      </c>
      <c r="AO68" s="18">
        <v>2012</v>
      </c>
      <c r="AP68" s="18">
        <v>818.06451612903231</v>
      </c>
      <c r="AQ68" s="18">
        <v>1200</v>
      </c>
      <c r="AR68" s="18">
        <v>157539</v>
      </c>
      <c r="AS68" s="18">
        <v>25151</v>
      </c>
      <c r="AT68" s="18">
        <v>1291</v>
      </c>
      <c r="AU68" s="18">
        <v>998.66666666666663</v>
      </c>
      <c r="AV68" s="18">
        <v>1200</v>
      </c>
      <c r="AW68" s="18">
        <v>100064</v>
      </c>
      <c r="AX68" s="18">
        <v>38848</v>
      </c>
      <c r="AY68" s="18">
        <v>1573</v>
      </c>
      <c r="AZ68" s="18">
        <v>1088.3870967741937</v>
      </c>
      <c r="BA68" s="18">
        <v>1200</v>
      </c>
      <c r="BB68" s="18">
        <v>66947</v>
      </c>
      <c r="BC68" s="18">
        <v>30698</v>
      </c>
      <c r="BD68" s="18">
        <v>10276</v>
      </c>
      <c r="BE68" s="18">
        <v>1090.6666666666667</v>
      </c>
      <c r="BF68" s="18">
        <v>1177.6666666666667</v>
      </c>
      <c r="BG68" s="18">
        <v>63219</v>
      </c>
      <c r="BH68" s="18">
        <v>27068</v>
      </c>
      <c r="BI68" s="18">
        <v>5564</v>
      </c>
      <c r="BJ68" s="18">
        <v>1044.516129032258</v>
      </c>
      <c r="BK68" s="18">
        <v>1150</v>
      </c>
    </row>
    <row r="69" spans="1:63" x14ac:dyDescent="0.35">
      <c r="A69" s="19">
        <v>65</v>
      </c>
      <c r="B69" s="20" t="s">
        <v>149</v>
      </c>
      <c r="C69" s="20" t="s">
        <v>150</v>
      </c>
      <c r="D69" s="18">
        <v>209906</v>
      </c>
      <c r="E69" s="18">
        <v>25553</v>
      </c>
      <c r="F69" s="18">
        <v>513</v>
      </c>
      <c r="G69" s="18">
        <v>625</v>
      </c>
      <c r="H69" s="18">
        <v>1058.3870967741937</v>
      </c>
      <c r="I69" s="18">
        <v>185762</v>
      </c>
      <c r="J69" s="18">
        <v>19035</v>
      </c>
      <c r="K69" s="18">
        <v>2774</v>
      </c>
      <c r="L69" s="18">
        <v>646.42857142857144</v>
      </c>
      <c r="M69" s="18">
        <v>1393.9285714285713</v>
      </c>
      <c r="N69" s="18">
        <v>192113</v>
      </c>
      <c r="O69" s="18">
        <v>17060</v>
      </c>
      <c r="P69" s="18">
        <v>859</v>
      </c>
      <c r="Q69" s="18">
        <v>663.87096774193549</v>
      </c>
      <c r="R69" s="18">
        <v>1562.9032258064517</v>
      </c>
      <c r="S69" s="18">
        <v>223371</v>
      </c>
      <c r="T69" s="18">
        <v>18593</v>
      </c>
      <c r="U69" s="18">
        <v>1308</v>
      </c>
      <c r="V69" s="18">
        <v>665.66666666666663</v>
      </c>
      <c r="W69" s="18">
        <v>1385</v>
      </c>
      <c r="X69" s="18">
        <v>50689</v>
      </c>
      <c r="Y69" s="18">
        <v>16244</v>
      </c>
      <c r="Z69" s="18">
        <v>2511</v>
      </c>
      <c r="AA69" s="18">
        <v>748.70967741935488</v>
      </c>
      <c r="AB69" s="18">
        <v>1229.6774193548388</v>
      </c>
      <c r="AC69" s="18">
        <v>160199</v>
      </c>
      <c r="AD69" s="18">
        <v>12728</v>
      </c>
      <c r="AE69" s="18">
        <v>1318</v>
      </c>
      <c r="AF69" s="18">
        <v>670.66666666666663</v>
      </c>
      <c r="AG69" s="18">
        <v>1219.3333333333333</v>
      </c>
      <c r="AH69" s="18">
        <v>170932</v>
      </c>
      <c r="AI69" s="18">
        <v>13806</v>
      </c>
      <c r="AJ69" s="18">
        <v>596</v>
      </c>
      <c r="AK69" s="18">
        <v>734.19354838709683</v>
      </c>
      <c r="AL69" s="18">
        <v>1200</v>
      </c>
      <c r="AM69" s="18">
        <v>91599</v>
      </c>
      <c r="AN69" s="18">
        <v>13065</v>
      </c>
      <c r="AO69" s="18">
        <v>2842</v>
      </c>
      <c r="AP69" s="18">
        <v>815.48387096774195</v>
      </c>
      <c r="AQ69" s="18">
        <v>1200</v>
      </c>
      <c r="AR69" s="18">
        <v>124898</v>
      </c>
      <c r="AS69" s="18">
        <v>11494</v>
      </c>
      <c r="AT69" s="18">
        <v>980</v>
      </c>
      <c r="AU69" s="18">
        <v>998.66666666666663</v>
      </c>
      <c r="AV69" s="18">
        <v>1200</v>
      </c>
      <c r="AW69" s="18">
        <v>163950</v>
      </c>
      <c r="AX69" s="18">
        <v>13384</v>
      </c>
      <c r="AY69" s="18">
        <v>105</v>
      </c>
      <c r="AZ69" s="18">
        <v>1088.3870967741937</v>
      </c>
      <c r="BA69" s="18">
        <v>1200</v>
      </c>
      <c r="BB69" s="18">
        <v>144238</v>
      </c>
      <c r="BC69" s="18">
        <v>14447</v>
      </c>
      <c r="BD69" s="18">
        <v>130</v>
      </c>
      <c r="BE69" s="18">
        <v>1090.6666666666667</v>
      </c>
      <c r="BF69" s="18">
        <v>1178.3333333333333</v>
      </c>
      <c r="BG69" s="18">
        <v>138675</v>
      </c>
      <c r="BH69" s="18">
        <v>7716</v>
      </c>
      <c r="BI69" s="18">
        <v>377</v>
      </c>
      <c r="BJ69" s="18">
        <v>1044.516129032258</v>
      </c>
      <c r="BK69" s="18">
        <v>1150</v>
      </c>
    </row>
    <row r="70" spans="1:63" x14ac:dyDescent="0.35">
      <c r="A70" s="19">
        <v>66</v>
      </c>
      <c r="B70" s="20" t="s">
        <v>151</v>
      </c>
      <c r="C70" s="20" t="s">
        <v>152</v>
      </c>
      <c r="D70" s="18">
        <v>165855</v>
      </c>
      <c r="E70" s="18">
        <v>58449</v>
      </c>
      <c r="F70" s="18">
        <v>983</v>
      </c>
      <c r="G70" s="18">
        <v>625</v>
      </c>
      <c r="H70" s="18">
        <v>1058.5483870967741</v>
      </c>
      <c r="I70" s="18">
        <v>165759</v>
      </c>
      <c r="J70" s="18">
        <v>50510</v>
      </c>
      <c r="K70" s="18">
        <v>1678</v>
      </c>
      <c r="L70" s="18">
        <v>646.78571428571433</v>
      </c>
      <c r="M70" s="18">
        <v>1393.9285714285713</v>
      </c>
      <c r="N70" s="18">
        <v>162313</v>
      </c>
      <c r="O70" s="18">
        <v>32777</v>
      </c>
      <c r="P70" s="18">
        <v>735</v>
      </c>
      <c r="Q70" s="18">
        <v>663.87096774193549</v>
      </c>
      <c r="R70" s="18">
        <v>1562.9032258064517</v>
      </c>
      <c r="S70" s="18">
        <v>235559</v>
      </c>
      <c r="T70" s="18">
        <v>32915</v>
      </c>
      <c r="U70" s="18">
        <v>840</v>
      </c>
      <c r="V70" s="18">
        <v>665.66666666666663</v>
      </c>
      <c r="W70" s="18">
        <v>1385</v>
      </c>
      <c r="X70" s="18">
        <v>57707</v>
      </c>
      <c r="Y70" s="18">
        <v>19728</v>
      </c>
      <c r="Z70" s="18">
        <v>330</v>
      </c>
      <c r="AA70" s="18">
        <v>748.06451612903231</v>
      </c>
      <c r="AB70" s="18">
        <v>1229.6774193548388</v>
      </c>
      <c r="AC70" s="18">
        <v>98385</v>
      </c>
      <c r="AD70" s="18">
        <v>13411</v>
      </c>
      <c r="AE70" s="18">
        <v>1096</v>
      </c>
      <c r="AF70" s="18">
        <v>670.66666666666663</v>
      </c>
      <c r="AG70" s="18">
        <v>1219.3333333333333</v>
      </c>
      <c r="AH70" s="18">
        <v>146693</v>
      </c>
      <c r="AI70" s="18">
        <v>18037</v>
      </c>
      <c r="AJ70" s="18">
        <v>294</v>
      </c>
      <c r="AK70" s="18">
        <v>734.19354838709683</v>
      </c>
      <c r="AL70" s="18">
        <v>1200</v>
      </c>
      <c r="AM70" s="18">
        <v>89836</v>
      </c>
      <c r="AN70" s="18">
        <v>14032</v>
      </c>
      <c r="AO70" s="18">
        <v>516</v>
      </c>
      <c r="AP70" s="18">
        <v>818.06451612903231</v>
      </c>
      <c r="AQ70" s="18">
        <v>1200</v>
      </c>
      <c r="AR70" s="18">
        <v>132911</v>
      </c>
      <c r="AS70" s="18">
        <v>17768</v>
      </c>
      <c r="AT70" s="18">
        <v>236</v>
      </c>
      <c r="AU70" s="18">
        <v>998.66666666666663</v>
      </c>
      <c r="AV70" s="18">
        <v>1200</v>
      </c>
      <c r="AW70" s="18">
        <v>103159</v>
      </c>
      <c r="AX70" s="18">
        <v>18356</v>
      </c>
      <c r="AY70" s="18">
        <v>305</v>
      </c>
      <c r="AZ70" s="18">
        <v>1088.3870967741937</v>
      </c>
      <c r="BA70" s="18">
        <v>1200</v>
      </c>
      <c r="BB70" s="18">
        <v>83951</v>
      </c>
      <c r="BC70" s="18">
        <v>15470</v>
      </c>
      <c r="BD70" s="18">
        <v>966</v>
      </c>
      <c r="BE70" s="18">
        <v>1090.6666666666667</v>
      </c>
      <c r="BF70" s="18">
        <v>1177.6666666666667</v>
      </c>
      <c r="BG70" s="18">
        <v>78628</v>
      </c>
      <c r="BH70" s="18">
        <v>15427</v>
      </c>
      <c r="BI70" s="18">
        <v>458</v>
      </c>
      <c r="BJ70" s="18">
        <v>1044.516129032258</v>
      </c>
      <c r="BK70" s="18">
        <v>1150</v>
      </c>
    </row>
    <row r="71" spans="1:63" x14ac:dyDescent="0.35">
      <c r="A71" s="19">
        <v>67</v>
      </c>
      <c r="B71" s="20" t="s">
        <v>153</v>
      </c>
      <c r="C71" s="20" t="s">
        <v>154</v>
      </c>
      <c r="D71" s="18">
        <v>537750</v>
      </c>
      <c r="E71" s="18">
        <v>38166</v>
      </c>
      <c r="F71" s="18">
        <v>3111</v>
      </c>
      <c r="G71" s="18">
        <v>620</v>
      </c>
      <c r="H71" s="18">
        <v>1061.6129032258063</v>
      </c>
      <c r="I71" s="18">
        <v>539086</v>
      </c>
      <c r="J71" s="18">
        <v>38101</v>
      </c>
      <c r="K71" s="18">
        <v>2765</v>
      </c>
      <c r="L71" s="18">
        <v>632.14285714285711</v>
      </c>
      <c r="M71" s="18">
        <v>1384.2857142857142</v>
      </c>
      <c r="N71" s="18">
        <v>473648</v>
      </c>
      <c r="O71" s="18">
        <v>40665</v>
      </c>
      <c r="P71" s="18">
        <v>2720</v>
      </c>
      <c r="Q71" s="18">
        <v>635.48387096774195</v>
      </c>
      <c r="R71" s="18">
        <v>1533.8709677419354</v>
      </c>
      <c r="S71" s="18">
        <v>526444</v>
      </c>
      <c r="T71" s="18">
        <v>38011</v>
      </c>
      <c r="U71" s="18">
        <v>3237</v>
      </c>
      <c r="V71" s="18">
        <v>641.33333333333337</v>
      </c>
      <c r="W71" s="18">
        <v>1381.6666666666667</v>
      </c>
      <c r="X71" s="18">
        <v>436183</v>
      </c>
      <c r="Y71" s="18">
        <v>21112</v>
      </c>
      <c r="Z71" s="18">
        <v>3034</v>
      </c>
      <c r="AA71" s="18">
        <v>687.58064516129036</v>
      </c>
      <c r="AB71" s="18">
        <v>1224.1935483870968</v>
      </c>
      <c r="AC71" s="18">
        <v>398858</v>
      </c>
      <c r="AD71" s="18">
        <v>24313</v>
      </c>
      <c r="AE71" s="18">
        <v>2869</v>
      </c>
      <c r="AF71" s="18">
        <v>628</v>
      </c>
      <c r="AG71" s="18">
        <v>1201.3333333333333</v>
      </c>
      <c r="AH71" s="18">
        <v>528600</v>
      </c>
      <c r="AI71" s="18">
        <v>19216</v>
      </c>
      <c r="AJ71" s="18">
        <v>2905</v>
      </c>
      <c r="AK71" s="18">
        <v>714.51612903225805</v>
      </c>
      <c r="AL71" s="18">
        <v>1220</v>
      </c>
      <c r="AM71" s="18">
        <v>332311</v>
      </c>
      <c r="AN71" s="18">
        <v>10398</v>
      </c>
      <c r="AO71" s="18">
        <v>2116</v>
      </c>
      <c r="AP71" s="18">
        <v>791.29032258064512</v>
      </c>
      <c r="AQ71" s="18">
        <v>1220</v>
      </c>
      <c r="AR71" s="18">
        <v>477575</v>
      </c>
      <c r="AS71" s="18">
        <v>18072</v>
      </c>
      <c r="AT71" s="18">
        <v>2358</v>
      </c>
      <c r="AU71" s="18">
        <v>955.33333333333337</v>
      </c>
      <c r="AV71" s="18">
        <v>1220</v>
      </c>
      <c r="AW71" s="18">
        <v>451428</v>
      </c>
      <c r="AX71" s="18">
        <v>18719</v>
      </c>
      <c r="AY71" s="18">
        <v>2304</v>
      </c>
      <c r="AZ71" s="18">
        <v>1075.483870967742</v>
      </c>
      <c r="BA71" s="18">
        <v>1214.1935483870968</v>
      </c>
      <c r="BB71" s="18">
        <v>372482</v>
      </c>
      <c r="BC71" s="18">
        <v>19318</v>
      </c>
      <c r="BD71" s="18">
        <v>2243</v>
      </c>
      <c r="BE71" s="18">
        <v>1091.3333333333333</v>
      </c>
      <c r="BF71" s="18">
        <v>1185</v>
      </c>
      <c r="BG71" s="18">
        <v>337052</v>
      </c>
      <c r="BH71" s="18">
        <v>14983</v>
      </c>
      <c r="BI71" s="18">
        <v>2279</v>
      </c>
      <c r="BJ71" s="18">
        <v>1077.0967741935483</v>
      </c>
      <c r="BK71" s="18">
        <v>1170</v>
      </c>
    </row>
    <row r="72" spans="1:63" x14ac:dyDescent="0.35">
      <c r="A72" s="19">
        <v>68</v>
      </c>
      <c r="B72" s="20" t="s">
        <v>155</v>
      </c>
      <c r="C72" s="20" t="s">
        <v>156</v>
      </c>
      <c r="D72" s="18">
        <v>98494</v>
      </c>
      <c r="E72" s="18">
        <v>359</v>
      </c>
      <c r="F72" s="18">
        <v>0</v>
      </c>
      <c r="G72" s="18">
        <v>660</v>
      </c>
      <c r="H72" s="18">
        <v>1076.4516129032259</v>
      </c>
      <c r="I72" s="18">
        <v>111912</v>
      </c>
      <c r="J72" s="18">
        <v>0</v>
      </c>
      <c r="K72" s="18">
        <v>0</v>
      </c>
      <c r="L72" s="18">
        <v>674.64285714285711</v>
      </c>
      <c r="M72" s="18">
        <v>1376.0714285714287</v>
      </c>
      <c r="N72" s="18">
        <v>135748</v>
      </c>
      <c r="O72" s="18">
        <v>169</v>
      </c>
      <c r="P72" s="18">
        <v>0</v>
      </c>
      <c r="Q72" s="18">
        <v>695</v>
      </c>
      <c r="R72" s="18">
        <v>1607.258064516129</v>
      </c>
      <c r="S72" s="18">
        <v>114251</v>
      </c>
      <c r="T72" s="18">
        <v>0</v>
      </c>
      <c r="U72" s="18">
        <v>0</v>
      </c>
      <c r="V72" s="18">
        <v>696.33333333333337</v>
      </c>
      <c r="W72" s="18">
        <v>1360.5</v>
      </c>
      <c r="X72" s="18">
        <v>111383</v>
      </c>
      <c r="Y72" s="18">
        <v>98</v>
      </c>
      <c r="Z72" s="18">
        <v>0</v>
      </c>
      <c r="AA72" s="18">
        <v>791.93548387096769</v>
      </c>
      <c r="AB72" s="18">
        <v>1227.0967741935483</v>
      </c>
      <c r="AC72" s="18">
        <v>99167</v>
      </c>
      <c r="AD72" s="18">
        <v>171</v>
      </c>
      <c r="AE72" s="18">
        <v>0</v>
      </c>
      <c r="AF72" s="18">
        <v>767.33333333333337</v>
      </c>
      <c r="AG72" s="18">
        <v>1236.3333333333333</v>
      </c>
      <c r="AH72" s="18">
        <v>104646</v>
      </c>
      <c r="AI72" s="18">
        <v>1368</v>
      </c>
      <c r="AJ72" s="18">
        <v>0</v>
      </c>
      <c r="AK72" s="18">
        <v>770.64516129032256</v>
      </c>
      <c r="AL72" s="18">
        <v>1255</v>
      </c>
      <c r="AM72" s="18">
        <v>50740</v>
      </c>
      <c r="AN72" s="18">
        <v>768</v>
      </c>
      <c r="AO72" s="18">
        <v>0</v>
      </c>
      <c r="AP72" s="18">
        <v>875.80645161290317</v>
      </c>
      <c r="AQ72" s="18">
        <v>1255</v>
      </c>
      <c r="AR72" s="18">
        <v>91937</v>
      </c>
      <c r="AS72" s="18">
        <v>1533</v>
      </c>
      <c r="AT72" s="18">
        <v>0</v>
      </c>
      <c r="AU72" s="18">
        <v>1064.6666666666667</v>
      </c>
      <c r="AV72" s="18">
        <v>1255</v>
      </c>
      <c r="AW72" s="18">
        <v>99942</v>
      </c>
      <c r="AX72" s="18">
        <v>1549</v>
      </c>
      <c r="AY72" s="18">
        <v>0</v>
      </c>
      <c r="AZ72" s="18">
        <v>1206.4516129032259</v>
      </c>
      <c r="BA72" s="18">
        <v>1244.8387096774193</v>
      </c>
      <c r="BB72" s="18">
        <v>83322</v>
      </c>
      <c r="BC72" s="18">
        <v>3138</v>
      </c>
      <c r="BD72" s="18">
        <v>0</v>
      </c>
      <c r="BE72" s="18">
        <v>1143.8333333333333</v>
      </c>
      <c r="BF72" s="18">
        <v>1215.3333333333333</v>
      </c>
      <c r="BG72" s="18">
        <v>97583</v>
      </c>
      <c r="BH72" s="18">
        <v>4205</v>
      </c>
      <c r="BI72" s="18">
        <v>0</v>
      </c>
      <c r="BJ72" s="18">
        <v>1078.7096774193549</v>
      </c>
      <c r="BK72" s="18">
        <v>1200</v>
      </c>
    </row>
    <row r="73" spans="1:63" x14ac:dyDescent="0.35">
      <c r="A73" s="19">
        <v>69</v>
      </c>
      <c r="B73" s="20" t="s">
        <v>157</v>
      </c>
      <c r="C73" s="20" t="s">
        <v>158</v>
      </c>
      <c r="D73" s="18">
        <v>230607</v>
      </c>
      <c r="E73" s="18">
        <v>47853</v>
      </c>
      <c r="F73" s="18">
        <v>3304</v>
      </c>
      <c r="G73" s="18">
        <v>656.29032258064512</v>
      </c>
      <c r="H73" s="18">
        <v>1065.8064516129032</v>
      </c>
      <c r="I73" s="18">
        <v>207155</v>
      </c>
      <c r="J73" s="18">
        <v>32531</v>
      </c>
      <c r="K73" s="18">
        <v>3550</v>
      </c>
      <c r="L73" s="18">
        <v>669.46428571428567</v>
      </c>
      <c r="M73" s="18">
        <v>1406.4285714285713</v>
      </c>
      <c r="N73" s="18">
        <v>202780</v>
      </c>
      <c r="O73" s="18">
        <v>32129</v>
      </c>
      <c r="P73" s="18">
        <v>4141</v>
      </c>
      <c r="Q73" s="18">
        <v>695</v>
      </c>
      <c r="R73" s="18">
        <v>1590.3225806451612</v>
      </c>
      <c r="S73" s="18">
        <v>217167</v>
      </c>
      <c r="T73" s="18">
        <v>39620</v>
      </c>
      <c r="U73" s="18">
        <v>697</v>
      </c>
      <c r="V73" s="18">
        <v>695</v>
      </c>
      <c r="W73" s="18">
        <v>1353.6666666666667</v>
      </c>
      <c r="X73" s="18">
        <v>247716</v>
      </c>
      <c r="Y73" s="18">
        <v>38994</v>
      </c>
      <c r="Z73" s="18">
        <v>2546</v>
      </c>
      <c r="AA73" s="18">
        <v>740.64516129032256</v>
      </c>
      <c r="AB73" s="18">
        <v>1194.8387096774193</v>
      </c>
      <c r="AC73" s="18">
        <v>241316</v>
      </c>
      <c r="AD73" s="18">
        <v>38363</v>
      </c>
      <c r="AE73" s="18">
        <v>3497</v>
      </c>
      <c r="AF73" s="18">
        <v>731.66666666666663</v>
      </c>
      <c r="AG73" s="18">
        <v>1182.3333333333333</v>
      </c>
      <c r="AH73" s="18">
        <v>261330</v>
      </c>
      <c r="AI73" s="18">
        <v>39048</v>
      </c>
      <c r="AJ73" s="18">
        <v>5512</v>
      </c>
      <c r="AK73" s="18">
        <v>747.58064516129036</v>
      </c>
      <c r="AL73" s="18">
        <v>1199.0322580645161</v>
      </c>
      <c r="AM73" s="18">
        <v>139810</v>
      </c>
      <c r="AN73" s="18">
        <v>50412</v>
      </c>
      <c r="AO73" s="18">
        <v>3529</v>
      </c>
      <c r="AP73" s="18">
        <v>836.45161290322585</v>
      </c>
      <c r="AQ73" s="18">
        <v>1200</v>
      </c>
      <c r="AR73" s="18">
        <v>170977</v>
      </c>
      <c r="AS73" s="18">
        <v>40705</v>
      </c>
      <c r="AT73" s="18">
        <v>0</v>
      </c>
      <c r="AU73" s="18">
        <v>1103.5</v>
      </c>
      <c r="AV73" s="18">
        <v>1200</v>
      </c>
      <c r="AW73" s="18">
        <v>226368</v>
      </c>
      <c r="AX73" s="18">
        <v>57631</v>
      </c>
      <c r="AY73" s="18">
        <v>0</v>
      </c>
      <c r="AZ73" s="18">
        <v>1161.6129032258063</v>
      </c>
      <c r="BA73" s="18">
        <v>1195.8064516129032</v>
      </c>
      <c r="BB73" s="18">
        <v>241803</v>
      </c>
      <c r="BC73" s="18">
        <v>59680</v>
      </c>
      <c r="BD73" s="18">
        <v>0</v>
      </c>
      <c r="BE73" s="18">
        <v>1132.6666666666667</v>
      </c>
      <c r="BF73" s="18">
        <v>1179.3333333333333</v>
      </c>
      <c r="BG73" s="18">
        <v>304847</v>
      </c>
      <c r="BH73" s="18">
        <v>38063</v>
      </c>
      <c r="BI73" s="18">
        <v>0</v>
      </c>
      <c r="BJ73" s="18">
        <v>1089.3548387096773</v>
      </c>
      <c r="BK73" s="18">
        <v>1153.2258064516129</v>
      </c>
    </row>
    <row r="74" spans="1:63" x14ac:dyDescent="0.35">
      <c r="A74" s="19">
        <v>70</v>
      </c>
      <c r="B74" s="20" t="s">
        <v>159</v>
      </c>
      <c r="C74" s="20" t="s">
        <v>160</v>
      </c>
      <c r="D74" s="18">
        <v>104621</v>
      </c>
      <c r="E74" s="18">
        <v>1225</v>
      </c>
      <c r="F74" s="18">
        <v>1181</v>
      </c>
      <c r="G74" s="18">
        <v>656.29032258064512</v>
      </c>
      <c r="H74" s="18">
        <v>1065.8064516129032</v>
      </c>
      <c r="I74" s="18">
        <v>115776</v>
      </c>
      <c r="J74" s="18">
        <v>2714</v>
      </c>
      <c r="K74" s="18">
        <v>678</v>
      </c>
      <c r="L74" s="18">
        <v>669.46428571428567</v>
      </c>
      <c r="M74" s="18">
        <v>1407.1428571428571</v>
      </c>
      <c r="N74" s="18">
        <v>115679</v>
      </c>
      <c r="O74" s="18">
        <v>4494</v>
      </c>
      <c r="P74" s="18">
        <v>1255</v>
      </c>
      <c r="Q74" s="18">
        <v>695</v>
      </c>
      <c r="R74" s="18">
        <v>1593.5483870967741</v>
      </c>
      <c r="S74" s="18">
        <v>118523</v>
      </c>
      <c r="T74" s="18">
        <v>4060</v>
      </c>
      <c r="U74" s="18">
        <v>1890</v>
      </c>
      <c r="V74" s="18">
        <v>695</v>
      </c>
      <c r="W74" s="18">
        <v>1353.6666666666667</v>
      </c>
      <c r="X74" s="18">
        <v>130463</v>
      </c>
      <c r="Y74" s="18">
        <v>5361</v>
      </c>
      <c r="Z74" s="18">
        <v>2022</v>
      </c>
      <c r="AA74" s="18">
        <v>741.61290322580646</v>
      </c>
      <c r="AB74" s="18">
        <v>1197.4193548387098</v>
      </c>
      <c r="AC74" s="18">
        <v>110497</v>
      </c>
      <c r="AD74" s="18">
        <v>3397</v>
      </c>
      <c r="AE74" s="18">
        <v>1868</v>
      </c>
      <c r="AF74" s="18">
        <v>731.66666666666663</v>
      </c>
      <c r="AG74" s="18">
        <v>1182.3333333333333</v>
      </c>
      <c r="AH74" s="18">
        <v>107983</v>
      </c>
      <c r="AI74" s="18">
        <v>3371</v>
      </c>
      <c r="AJ74" s="18">
        <v>73</v>
      </c>
      <c r="AK74" s="18">
        <v>747.58064516129036</v>
      </c>
      <c r="AL74" s="18">
        <v>1199.0322580645161</v>
      </c>
      <c r="AM74" s="18">
        <v>107364</v>
      </c>
      <c r="AN74" s="18">
        <v>4845</v>
      </c>
      <c r="AO74" s="18">
        <v>0</v>
      </c>
      <c r="AP74" s="18">
        <v>836.45161290322585</v>
      </c>
      <c r="AQ74" s="18">
        <v>1200</v>
      </c>
      <c r="AR74" s="18">
        <v>128763</v>
      </c>
      <c r="AS74" s="18">
        <v>8907</v>
      </c>
      <c r="AT74" s="18">
        <v>0</v>
      </c>
      <c r="AU74" s="18">
        <v>1106.8333333333333</v>
      </c>
      <c r="AV74" s="18">
        <v>1200</v>
      </c>
      <c r="AW74" s="18">
        <v>131794</v>
      </c>
      <c r="AX74" s="18">
        <v>13751</v>
      </c>
      <c r="AY74" s="18">
        <v>15</v>
      </c>
      <c r="AZ74" s="18">
        <v>1161.6129032258063</v>
      </c>
      <c r="BA74" s="18">
        <v>1196.7741935483871</v>
      </c>
      <c r="BB74" s="18">
        <v>115593</v>
      </c>
      <c r="BC74" s="18">
        <v>20882</v>
      </c>
      <c r="BD74" s="18">
        <v>1229</v>
      </c>
      <c r="BE74" s="18">
        <v>1132.6666666666667</v>
      </c>
      <c r="BF74" s="18">
        <v>1179.3333333333333</v>
      </c>
      <c r="BG74" s="18">
        <v>107073</v>
      </c>
      <c r="BH74" s="18">
        <v>6716</v>
      </c>
      <c r="BI74" s="18">
        <v>733</v>
      </c>
      <c r="BJ74" s="18">
        <v>1090.6451612903227</v>
      </c>
      <c r="BK74" s="18">
        <v>1153.2258064516129</v>
      </c>
    </row>
    <row r="75" spans="1:63" x14ac:dyDescent="0.35">
      <c r="A75" s="19">
        <v>71</v>
      </c>
      <c r="B75" s="20" t="s">
        <v>161</v>
      </c>
      <c r="C75" s="20" t="s">
        <v>162</v>
      </c>
      <c r="D75" s="18">
        <v>153751</v>
      </c>
      <c r="E75" s="18">
        <v>8646</v>
      </c>
      <c r="F75" s="18">
        <v>0</v>
      </c>
      <c r="G75" s="18">
        <v>647.58064516129036</v>
      </c>
      <c r="H75" s="18">
        <v>1058.3870967741937</v>
      </c>
      <c r="I75" s="18">
        <v>142502</v>
      </c>
      <c r="J75" s="18">
        <v>9516</v>
      </c>
      <c r="K75" s="18">
        <v>0</v>
      </c>
      <c r="L75" s="18">
        <v>668.92857142857144</v>
      </c>
      <c r="M75" s="18">
        <v>1406.0714285714287</v>
      </c>
      <c r="N75" s="18">
        <v>131465</v>
      </c>
      <c r="O75" s="18">
        <v>9422</v>
      </c>
      <c r="P75" s="18">
        <v>0</v>
      </c>
      <c r="Q75" s="18">
        <v>694.0322580645161</v>
      </c>
      <c r="R75" s="18">
        <v>1587.0967741935483</v>
      </c>
      <c r="S75" s="18">
        <v>141345</v>
      </c>
      <c r="T75" s="18">
        <v>10587</v>
      </c>
      <c r="U75" s="18">
        <v>0</v>
      </c>
      <c r="V75" s="18">
        <v>681.33333333333337</v>
      </c>
      <c r="W75" s="18">
        <v>1353.6666666666667</v>
      </c>
      <c r="X75" s="18">
        <v>184700</v>
      </c>
      <c r="Y75" s="18">
        <v>9069</v>
      </c>
      <c r="Z75" s="18">
        <v>0</v>
      </c>
      <c r="AA75" s="18">
        <v>742.58064516129036</v>
      </c>
      <c r="AB75" s="18">
        <v>1197.4193548387098</v>
      </c>
      <c r="AC75" s="18">
        <v>178900</v>
      </c>
      <c r="AD75" s="18">
        <v>9001</v>
      </c>
      <c r="AE75" s="18">
        <v>0</v>
      </c>
      <c r="AF75" s="18">
        <v>735.33333333333337</v>
      </c>
      <c r="AG75" s="18">
        <v>1201.3333333333333</v>
      </c>
      <c r="AH75" s="18">
        <v>196743</v>
      </c>
      <c r="AI75" s="18">
        <v>7367</v>
      </c>
      <c r="AJ75" s="18">
        <v>0</v>
      </c>
      <c r="AK75" s="18">
        <v>750.80645161290317</v>
      </c>
      <c r="AL75" s="18">
        <v>1220</v>
      </c>
      <c r="AM75" s="18">
        <v>100306</v>
      </c>
      <c r="AN75" s="18">
        <v>10224</v>
      </c>
      <c r="AO75" s="18">
        <v>0</v>
      </c>
      <c r="AP75" s="18">
        <v>867.41935483870964</v>
      </c>
      <c r="AQ75" s="18">
        <v>1220</v>
      </c>
      <c r="AR75" s="18">
        <v>201888</v>
      </c>
      <c r="AS75" s="18">
        <v>25943</v>
      </c>
      <c r="AT75" s="18">
        <v>0</v>
      </c>
      <c r="AU75" s="18">
        <v>1108.1666666666667</v>
      </c>
      <c r="AV75" s="18">
        <v>1220</v>
      </c>
      <c r="AW75" s="18">
        <v>268942</v>
      </c>
      <c r="AX75" s="18">
        <v>28089</v>
      </c>
      <c r="AY75" s="18">
        <v>0</v>
      </c>
      <c r="AZ75" s="18">
        <v>1150.6451612903227</v>
      </c>
      <c r="BA75" s="18">
        <v>1211.2903225806451</v>
      </c>
      <c r="BB75" s="18">
        <v>264834</v>
      </c>
      <c r="BC75" s="18">
        <v>25964</v>
      </c>
      <c r="BD75" s="18">
        <v>0</v>
      </c>
      <c r="BE75" s="18">
        <v>1138.3333333333333</v>
      </c>
      <c r="BF75" s="18">
        <v>1179.3333333333333</v>
      </c>
      <c r="BG75" s="18">
        <v>257654</v>
      </c>
      <c r="BH75" s="18">
        <v>19113</v>
      </c>
      <c r="BI75" s="18">
        <v>0</v>
      </c>
      <c r="BJ75" s="18">
        <v>1081.6129032258063</v>
      </c>
      <c r="BK75" s="18">
        <v>1153.2258064516129</v>
      </c>
    </row>
    <row r="76" spans="1:63" x14ac:dyDescent="0.35">
      <c r="A76" s="19">
        <v>72</v>
      </c>
      <c r="B76" s="20" t="s">
        <v>163</v>
      </c>
      <c r="C76" s="20" t="s">
        <v>164</v>
      </c>
      <c r="D76" s="18">
        <v>175569</v>
      </c>
      <c r="E76" s="18">
        <v>14967</v>
      </c>
      <c r="F76" s="18">
        <v>0</v>
      </c>
      <c r="G76" s="18">
        <v>657.58064516129036</v>
      </c>
      <c r="H76" s="18">
        <v>1066.1290322580646</v>
      </c>
      <c r="I76" s="18">
        <v>185008</v>
      </c>
      <c r="J76" s="18">
        <v>8263</v>
      </c>
      <c r="K76" s="18">
        <v>0</v>
      </c>
      <c r="L76" s="18">
        <v>669.46428571428567</v>
      </c>
      <c r="M76" s="18">
        <v>1407.1428571428571</v>
      </c>
      <c r="N76" s="18">
        <v>212182</v>
      </c>
      <c r="O76" s="18">
        <v>8745</v>
      </c>
      <c r="P76" s="18">
        <v>0</v>
      </c>
      <c r="Q76" s="18">
        <v>695</v>
      </c>
      <c r="R76" s="18">
        <v>1590.3225806451612</v>
      </c>
      <c r="S76" s="18">
        <v>243068</v>
      </c>
      <c r="T76" s="18">
        <v>18031</v>
      </c>
      <c r="U76" s="18">
        <v>0</v>
      </c>
      <c r="V76" s="18">
        <v>695</v>
      </c>
      <c r="W76" s="18">
        <v>1353.6666666666667</v>
      </c>
      <c r="X76" s="18">
        <v>234337</v>
      </c>
      <c r="Y76" s="18">
        <v>20362</v>
      </c>
      <c r="Z76" s="18">
        <v>0</v>
      </c>
      <c r="AA76" s="18">
        <v>747.41935483870964</v>
      </c>
      <c r="AB76" s="18">
        <v>1197.4193548387098</v>
      </c>
      <c r="AC76" s="18">
        <v>186793</v>
      </c>
      <c r="AD76" s="18">
        <v>16695</v>
      </c>
      <c r="AE76" s="18">
        <v>0</v>
      </c>
      <c r="AF76" s="18">
        <v>739.66666666666663</v>
      </c>
      <c r="AG76" s="18">
        <v>1201.3333333333333</v>
      </c>
      <c r="AH76" s="18">
        <v>235163</v>
      </c>
      <c r="AI76" s="18">
        <v>19396</v>
      </c>
      <c r="AJ76" s="18">
        <v>0</v>
      </c>
      <c r="AK76" s="18">
        <v>749.35483870967744</v>
      </c>
      <c r="AL76" s="18">
        <v>1192.9032258064517</v>
      </c>
      <c r="AM76" s="18">
        <v>159747</v>
      </c>
      <c r="AN76" s="18">
        <v>16897</v>
      </c>
      <c r="AO76" s="18">
        <v>0</v>
      </c>
      <c r="AP76" s="18">
        <v>854.51612903225805</v>
      </c>
      <c r="AQ76" s="18">
        <v>1191.9354838709678</v>
      </c>
      <c r="AR76" s="18">
        <v>160041</v>
      </c>
      <c r="AS76" s="18">
        <v>18576</v>
      </c>
      <c r="AT76" s="18">
        <v>0</v>
      </c>
      <c r="AU76" s="18">
        <v>1107.1666666666667</v>
      </c>
      <c r="AV76" s="18">
        <v>1190</v>
      </c>
      <c r="AW76" s="18">
        <v>222464</v>
      </c>
      <c r="AX76" s="18">
        <v>23564</v>
      </c>
      <c r="AY76" s="18">
        <v>0</v>
      </c>
      <c r="AZ76" s="18">
        <v>1176.1290322580646</v>
      </c>
      <c r="BA76" s="18">
        <v>1190</v>
      </c>
      <c r="BB76" s="18">
        <v>225636</v>
      </c>
      <c r="BC76" s="18">
        <v>31214</v>
      </c>
      <c r="BD76" s="18">
        <v>0</v>
      </c>
      <c r="BE76" s="18">
        <v>1131.3333333333333</v>
      </c>
      <c r="BF76" s="18">
        <v>1179.3333333333333</v>
      </c>
      <c r="BG76" s="18">
        <v>223181</v>
      </c>
      <c r="BH76" s="18">
        <v>26939</v>
      </c>
      <c r="BI76" s="18">
        <v>0</v>
      </c>
      <c r="BJ76" s="18">
        <v>1075.483870967742</v>
      </c>
      <c r="BK76" s="18">
        <v>1154.516129032258</v>
      </c>
    </row>
    <row r="77" spans="1:63" x14ac:dyDescent="0.35">
      <c r="A77" s="19">
        <v>73</v>
      </c>
      <c r="B77" s="20" t="s">
        <v>165</v>
      </c>
      <c r="C77" s="20" t="s">
        <v>166</v>
      </c>
      <c r="D77" s="18">
        <v>300054</v>
      </c>
      <c r="E77" s="18">
        <v>28315</v>
      </c>
      <c r="F77" s="18">
        <v>0</v>
      </c>
      <c r="G77" s="18">
        <v>660</v>
      </c>
      <c r="H77" s="18">
        <v>1068.7096774193549</v>
      </c>
      <c r="I77" s="18">
        <v>355024</v>
      </c>
      <c r="J77" s="18">
        <v>28196</v>
      </c>
      <c r="K77" s="18">
        <v>0</v>
      </c>
      <c r="L77" s="18">
        <v>672.85714285714289</v>
      </c>
      <c r="M77" s="18">
        <v>1399.8214285714287</v>
      </c>
      <c r="N77" s="18">
        <v>405357</v>
      </c>
      <c r="O77" s="18">
        <v>31163</v>
      </c>
      <c r="P77" s="18">
        <v>0</v>
      </c>
      <c r="Q77" s="18">
        <v>680</v>
      </c>
      <c r="R77" s="18">
        <v>1592.741935483871</v>
      </c>
      <c r="S77" s="18">
        <v>553994</v>
      </c>
      <c r="T77" s="18">
        <v>30404</v>
      </c>
      <c r="U77" s="18">
        <v>0</v>
      </c>
      <c r="V77" s="18">
        <v>683.33333333333337</v>
      </c>
      <c r="W77" s="18">
        <v>1389</v>
      </c>
      <c r="X77" s="18">
        <v>464993</v>
      </c>
      <c r="Y77" s="18">
        <v>25983</v>
      </c>
      <c r="Z77" s="18">
        <v>0</v>
      </c>
      <c r="AA77" s="18">
        <v>692.09677419354841</v>
      </c>
      <c r="AB77" s="18">
        <v>1221.6129032258063</v>
      </c>
      <c r="AC77" s="18">
        <v>397197</v>
      </c>
      <c r="AD77" s="18">
        <v>27850</v>
      </c>
      <c r="AE77" s="18">
        <v>0</v>
      </c>
      <c r="AF77" s="18">
        <v>683.66666666666663</v>
      </c>
      <c r="AG77" s="18">
        <v>1201.3333333333333</v>
      </c>
      <c r="AH77" s="18">
        <v>429838</v>
      </c>
      <c r="AI77" s="18">
        <v>20522</v>
      </c>
      <c r="AJ77" s="18">
        <v>0</v>
      </c>
      <c r="AK77" s="18">
        <v>695.09677419354841</v>
      </c>
      <c r="AL77" s="18">
        <v>1220</v>
      </c>
      <c r="AM77" s="18">
        <v>463726</v>
      </c>
      <c r="AN77" s="18">
        <v>16009</v>
      </c>
      <c r="AO77" s="18">
        <v>0</v>
      </c>
      <c r="AP77" s="18">
        <v>703.74193548387098</v>
      </c>
      <c r="AQ77" s="18">
        <v>1220</v>
      </c>
      <c r="AR77" s="18">
        <v>442939</v>
      </c>
      <c r="AS77" s="18">
        <v>17519</v>
      </c>
      <c r="AT77" s="18">
        <v>0</v>
      </c>
      <c r="AU77" s="18">
        <v>981</v>
      </c>
      <c r="AV77" s="18">
        <v>1220</v>
      </c>
      <c r="AW77" s="18">
        <v>201411</v>
      </c>
      <c r="AX77" s="18">
        <v>16825</v>
      </c>
      <c r="AY77" s="18">
        <v>0</v>
      </c>
      <c r="AZ77" s="18">
        <v>1090.6451612903227</v>
      </c>
      <c r="BA77" s="18">
        <v>1220</v>
      </c>
      <c r="BB77" s="18">
        <v>223058</v>
      </c>
      <c r="BC77" s="18">
        <v>19996</v>
      </c>
      <c r="BD77" s="18">
        <v>0</v>
      </c>
      <c r="BE77" s="18">
        <v>1131.8333333333333</v>
      </c>
      <c r="BF77" s="18">
        <v>1195</v>
      </c>
      <c r="BG77" s="18">
        <v>204029</v>
      </c>
      <c r="BH77" s="18">
        <v>13975</v>
      </c>
      <c r="BI77" s="18">
        <v>0</v>
      </c>
      <c r="BJ77" s="18">
        <v>1086.7741935483871</v>
      </c>
      <c r="BK77" s="18">
        <v>1190</v>
      </c>
    </row>
    <row r="78" spans="1:63" x14ac:dyDescent="0.35">
      <c r="A78" s="19">
        <v>74</v>
      </c>
      <c r="B78" s="20" t="s">
        <v>167</v>
      </c>
      <c r="C78" s="20" t="s">
        <v>168</v>
      </c>
      <c r="D78" s="18">
        <v>109875</v>
      </c>
      <c r="E78" s="18">
        <v>6206</v>
      </c>
      <c r="F78" s="18">
        <v>0</v>
      </c>
      <c r="G78" s="18">
        <v>670</v>
      </c>
      <c r="H78" s="18">
        <v>1078.0645161290322</v>
      </c>
      <c r="I78" s="18">
        <v>121340</v>
      </c>
      <c r="J78" s="18">
        <v>7681</v>
      </c>
      <c r="K78" s="18">
        <v>0</v>
      </c>
      <c r="L78" s="18">
        <v>679.10714285714289</v>
      </c>
      <c r="M78" s="18">
        <v>1405.7142857142858</v>
      </c>
      <c r="N78" s="18">
        <v>137020</v>
      </c>
      <c r="O78" s="18">
        <v>2492</v>
      </c>
      <c r="P78" s="18">
        <v>0</v>
      </c>
      <c r="Q78" s="18">
        <v>690</v>
      </c>
      <c r="R78" s="18">
        <v>1611.2903225806451</v>
      </c>
      <c r="S78" s="18">
        <v>147010</v>
      </c>
      <c r="T78" s="18">
        <v>4826</v>
      </c>
      <c r="U78" s="18">
        <v>0</v>
      </c>
      <c r="V78" s="18">
        <v>696</v>
      </c>
      <c r="W78" s="18">
        <v>1405.6666666666667</v>
      </c>
      <c r="X78" s="18">
        <v>127615</v>
      </c>
      <c r="Y78" s="18">
        <v>9495</v>
      </c>
      <c r="Z78" s="18">
        <v>0</v>
      </c>
      <c r="AA78" s="18">
        <v>804.35483870967744</v>
      </c>
      <c r="AB78" s="18">
        <v>1245.1612903225807</v>
      </c>
      <c r="AC78" s="18">
        <v>119725</v>
      </c>
      <c r="AD78" s="18">
        <v>5339</v>
      </c>
      <c r="AE78" s="18">
        <v>0</v>
      </c>
      <c r="AF78" s="18">
        <v>715.66666666666663</v>
      </c>
      <c r="AG78" s="18">
        <v>1227.3333333333333</v>
      </c>
      <c r="AH78" s="18">
        <v>145718</v>
      </c>
      <c r="AI78" s="18">
        <v>4075</v>
      </c>
      <c r="AJ78" s="18">
        <v>0</v>
      </c>
      <c r="AK78" s="18">
        <v>757.90322580645159</v>
      </c>
      <c r="AL78" s="18">
        <v>1240</v>
      </c>
      <c r="AM78" s="18">
        <v>116452</v>
      </c>
      <c r="AN78" s="18">
        <v>2715</v>
      </c>
      <c r="AO78" s="18">
        <v>0</v>
      </c>
      <c r="AP78" s="18">
        <v>860.9677419354839</v>
      </c>
      <c r="AQ78" s="18">
        <v>1240</v>
      </c>
      <c r="AR78" s="18">
        <v>103556</v>
      </c>
      <c r="AS78" s="18">
        <v>3513</v>
      </c>
      <c r="AT78" s="18">
        <v>0</v>
      </c>
      <c r="AU78" s="18">
        <v>1086.6666666666667</v>
      </c>
      <c r="AV78" s="18">
        <v>1240</v>
      </c>
      <c r="AW78" s="18">
        <v>83054</v>
      </c>
      <c r="AX78" s="18">
        <v>3962</v>
      </c>
      <c r="AY78" s="18">
        <v>0</v>
      </c>
      <c r="AZ78" s="18">
        <v>1180.9677419354839</v>
      </c>
      <c r="BA78" s="18">
        <v>1237.0967741935483</v>
      </c>
      <c r="BB78" s="18">
        <v>68096</v>
      </c>
      <c r="BC78" s="18">
        <v>7548</v>
      </c>
      <c r="BD78" s="18">
        <v>0</v>
      </c>
      <c r="BE78" s="18">
        <v>1143</v>
      </c>
      <c r="BF78" s="18">
        <v>1208.6666666666667</v>
      </c>
      <c r="BG78" s="18">
        <v>45356</v>
      </c>
      <c r="BH78" s="18">
        <v>10398</v>
      </c>
      <c r="BI78" s="18">
        <v>0</v>
      </c>
      <c r="BJ78" s="18">
        <v>1087.4193548387098</v>
      </c>
      <c r="BK78" s="18">
        <v>1190</v>
      </c>
    </row>
    <row r="79" spans="1:63" x14ac:dyDescent="0.35">
      <c r="A79" s="19">
        <v>75</v>
      </c>
      <c r="B79" s="20" t="s">
        <v>169</v>
      </c>
      <c r="C79" s="20" t="s">
        <v>170</v>
      </c>
      <c r="D79" s="18">
        <v>103121</v>
      </c>
      <c r="E79" s="18">
        <v>12553</v>
      </c>
      <c r="F79" s="18">
        <v>0</v>
      </c>
      <c r="G79" s="18">
        <v>670</v>
      </c>
      <c r="H79" s="18">
        <v>1078.0645161290322</v>
      </c>
      <c r="I79" s="18">
        <v>120272</v>
      </c>
      <c r="J79" s="18">
        <v>10329</v>
      </c>
      <c r="K79" s="18">
        <v>0</v>
      </c>
      <c r="L79" s="18">
        <v>678.57142857142856</v>
      </c>
      <c r="M79" s="18">
        <v>1405.7142857142858</v>
      </c>
      <c r="N79" s="18">
        <v>131960</v>
      </c>
      <c r="O79" s="18">
        <v>11824</v>
      </c>
      <c r="P79" s="18">
        <v>0</v>
      </c>
      <c r="Q79" s="18">
        <v>690</v>
      </c>
      <c r="R79" s="18">
        <v>1611.2903225806451</v>
      </c>
      <c r="S79" s="18">
        <v>193603</v>
      </c>
      <c r="T79" s="18">
        <v>12602</v>
      </c>
      <c r="U79" s="18">
        <v>0</v>
      </c>
      <c r="V79" s="18">
        <v>696</v>
      </c>
      <c r="W79" s="18">
        <v>1405.6666666666667</v>
      </c>
      <c r="X79" s="18">
        <v>112411</v>
      </c>
      <c r="Y79" s="18">
        <v>10686</v>
      </c>
      <c r="Z79" s="18">
        <v>0</v>
      </c>
      <c r="AA79" s="18">
        <v>803.87096774193549</v>
      </c>
      <c r="AB79" s="18">
        <v>1245.1612903225807</v>
      </c>
      <c r="AC79" s="18">
        <v>112957</v>
      </c>
      <c r="AD79" s="18">
        <v>10037</v>
      </c>
      <c r="AE79" s="18">
        <v>0</v>
      </c>
      <c r="AF79" s="18">
        <v>715.66666666666663</v>
      </c>
      <c r="AG79" s="18">
        <v>1227.3333333333333</v>
      </c>
      <c r="AH79" s="18">
        <v>215472</v>
      </c>
      <c r="AI79" s="18">
        <v>7668</v>
      </c>
      <c r="AJ79" s="18">
        <v>0</v>
      </c>
      <c r="AK79" s="18">
        <v>757.90322580645159</v>
      </c>
      <c r="AL79" s="18">
        <v>1240</v>
      </c>
      <c r="AM79" s="18">
        <v>70266</v>
      </c>
      <c r="AN79" s="18">
        <v>5673</v>
      </c>
      <c r="AO79" s="18">
        <v>0</v>
      </c>
      <c r="AP79" s="18">
        <v>860.9677419354839</v>
      </c>
      <c r="AQ79" s="18">
        <v>1240</v>
      </c>
      <c r="AR79" s="18">
        <v>78664</v>
      </c>
      <c r="AS79" s="18">
        <v>7068</v>
      </c>
      <c r="AT79" s="18">
        <v>0</v>
      </c>
      <c r="AU79" s="18">
        <v>1086.6666666666667</v>
      </c>
      <c r="AV79" s="18">
        <v>1240</v>
      </c>
      <c r="AW79" s="18">
        <v>80288</v>
      </c>
      <c r="AX79" s="18">
        <v>14480</v>
      </c>
      <c r="AY79" s="18">
        <v>0</v>
      </c>
      <c r="AZ79" s="18">
        <v>1180.9677419354839</v>
      </c>
      <c r="BA79" s="18">
        <v>1237.0967741935483</v>
      </c>
      <c r="BB79" s="18">
        <v>85369</v>
      </c>
      <c r="BC79" s="18">
        <v>15540</v>
      </c>
      <c r="BD79" s="18">
        <v>0</v>
      </c>
      <c r="BE79" s="18">
        <v>1143</v>
      </c>
      <c r="BF79" s="18">
        <v>1208.6666666666667</v>
      </c>
      <c r="BG79" s="18">
        <v>112725</v>
      </c>
      <c r="BH79" s="18">
        <v>10546</v>
      </c>
      <c r="BI79" s="18">
        <v>0</v>
      </c>
      <c r="BJ79" s="18">
        <v>1087.4193548387098</v>
      </c>
      <c r="BK79" s="18">
        <v>1190</v>
      </c>
    </row>
    <row r="80" spans="1:63" x14ac:dyDescent="0.35">
      <c r="A80" s="19">
        <v>76</v>
      </c>
      <c r="B80" s="20" t="s">
        <v>171</v>
      </c>
      <c r="C80" s="20" t="s">
        <v>172</v>
      </c>
      <c r="D80" s="18">
        <v>108712</v>
      </c>
      <c r="E80" s="18">
        <v>2060</v>
      </c>
      <c r="F80" s="18">
        <v>0</v>
      </c>
      <c r="G80" s="18">
        <v>670</v>
      </c>
      <c r="H80" s="18">
        <v>1074.1935483870968</v>
      </c>
      <c r="I80" s="18">
        <v>124548</v>
      </c>
      <c r="J80" s="18">
        <v>4516</v>
      </c>
      <c r="K80" s="18">
        <v>0</v>
      </c>
      <c r="L80" s="18">
        <v>679.10714285714289</v>
      </c>
      <c r="M80" s="18">
        <v>1405.7142857142858</v>
      </c>
      <c r="N80" s="18">
        <v>100421</v>
      </c>
      <c r="O80" s="18">
        <v>4836</v>
      </c>
      <c r="P80" s="18">
        <v>0</v>
      </c>
      <c r="Q80" s="18">
        <v>690</v>
      </c>
      <c r="R80" s="18">
        <v>1611.2903225806451</v>
      </c>
      <c r="S80" s="18">
        <v>120230</v>
      </c>
      <c r="T80" s="18">
        <v>4477</v>
      </c>
      <c r="U80" s="18">
        <v>0</v>
      </c>
      <c r="V80" s="18">
        <v>696.66666666666663</v>
      </c>
      <c r="W80" s="18">
        <v>1404.6666666666667</v>
      </c>
      <c r="X80" s="18">
        <v>95000</v>
      </c>
      <c r="Y80" s="18">
        <v>9165</v>
      </c>
      <c r="Z80" s="18">
        <v>0</v>
      </c>
      <c r="AA80" s="18">
        <v>806.45161290322585</v>
      </c>
      <c r="AB80" s="18">
        <v>1245.1612903225807</v>
      </c>
      <c r="AC80" s="18">
        <v>77266</v>
      </c>
      <c r="AD80" s="18">
        <v>4896</v>
      </c>
      <c r="AE80" s="18">
        <v>0</v>
      </c>
      <c r="AF80" s="18">
        <v>720.66666666666663</v>
      </c>
      <c r="AG80" s="18">
        <v>1227.6666666666667</v>
      </c>
      <c r="AH80" s="18">
        <v>135578</v>
      </c>
      <c r="AI80" s="18">
        <v>3400</v>
      </c>
      <c r="AJ80" s="18">
        <v>0</v>
      </c>
      <c r="AK80" s="18">
        <v>762.90322580645159</v>
      </c>
      <c r="AL80" s="18">
        <v>1240</v>
      </c>
      <c r="AM80" s="18">
        <v>83229</v>
      </c>
      <c r="AN80" s="18">
        <v>172</v>
      </c>
      <c r="AO80" s="18">
        <v>0</v>
      </c>
      <c r="AP80" s="18">
        <v>870.32258064516134</v>
      </c>
      <c r="AQ80" s="18">
        <v>1240</v>
      </c>
      <c r="AR80" s="18">
        <v>62365</v>
      </c>
      <c r="AS80" s="18">
        <v>239</v>
      </c>
      <c r="AT80" s="18">
        <v>0</v>
      </c>
      <c r="AU80" s="18">
        <v>1087</v>
      </c>
      <c r="AV80" s="18">
        <v>1240</v>
      </c>
      <c r="AW80" s="18">
        <v>51687</v>
      </c>
      <c r="AX80" s="18">
        <v>1923</v>
      </c>
      <c r="AY80" s="18">
        <v>0</v>
      </c>
      <c r="AZ80" s="18">
        <v>1181.258064516129</v>
      </c>
      <c r="BA80" s="18">
        <v>1237.0967741935483</v>
      </c>
      <c r="BB80" s="18">
        <v>31752</v>
      </c>
      <c r="BC80" s="18">
        <v>6145</v>
      </c>
      <c r="BD80" s="18">
        <v>0</v>
      </c>
      <c r="BE80" s="18">
        <v>1147.6666666666667</v>
      </c>
      <c r="BF80" s="18">
        <v>1208.6666666666667</v>
      </c>
      <c r="BG80" s="18">
        <v>35061</v>
      </c>
      <c r="BH80" s="18">
        <v>8494</v>
      </c>
      <c r="BI80" s="18">
        <v>0</v>
      </c>
      <c r="BJ80" s="18">
        <v>1087.4193548387098</v>
      </c>
      <c r="BK80" s="18">
        <v>1190</v>
      </c>
    </row>
    <row r="81" spans="1:63" x14ac:dyDescent="0.35">
      <c r="A81" s="19">
        <v>77</v>
      </c>
      <c r="B81" s="20" t="s">
        <v>173</v>
      </c>
      <c r="C81" s="20" t="s">
        <v>174</v>
      </c>
      <c r="D81" s="18">
        <v>112050</v>
      </c>
      <c r="E81" s="18">
        <v>7317</v>
      </c>
      <c r="F81" s="18">
        <v>0</v>
      </c>
      <c r="G81" s="18">
        <v>670</v>
      </c>
      <c r="H81" s="18">
        <v>1078.0645161290322</v>
      </c>
      <c r="I81" s="18">
        <v>162415</v>
      </c>
      <c r="J81" s="18">
        <v>8848</v>
      </c>
      <c r="K81" s="18">
        <v>0</v>
      </c>
      <c r="L81" s="18">
        <v>679.10714285714289</v>
      </c>
      <c r="M81" s="18">
        <v>1405.7142857142858</v>
      </c>
      <c r="N81" s="18">
        <v>119292</v>
      </c>
      <c r="O81" s="18">
        <v>11929</v>
      </c>
      <c r="P81" s="18">
        <v>0</v>
      </c>
      <c r="Q81" s="18">
        <v>690</v>
      </c>
      <c r="R81" s="18">
        <v>1611.2903225806451</v>
      </c>
      <c r="S81" s="18">
        <v>159382</v>
      </c>
      <c r="T81" s="18">
        <v>9694</v>
      </c>
      <c r="U81" s="18">
        <v>0</v>
      </c>
      <c r="V81" s="18">
        <v>696.66666666666663</v>
      </c>
      <c r="W81" s="18">
        <v>1405.6666666666667</v>
      </c>
      <c r="X81" s="18">
        <v>91109</v>
      </c>
      <c r="Y81" s="18">
        <v>9798</v>
      </c>
      <c r="Z81" s="18">
        <v>0</v>
      </c>
      <c r="AA81" s="18">
        <v>806.45161290322585</v>
      </c>
      <c r="AB81" s="18">
        <v>1245.1612903225807</v>
      </c>
      <c r="AC81" s="18">
        <v>107360</v>
      </c>
      <c r="AD81" s="18">
        <v>6739</v>
      </c>
      <c r="AE81" s="18">
        <v>0</v>
      </c>
      <c r="AF81" s="18">
        <v>720.66666666666663</v>
      </c>
      <c r="AG81" s="18">
        <v>1227.3333333333333</v>
      </c>
      <c r="AH81" s="18">
        <v>171176</v>
      </c>
      <c r="AI81" s="18">
        <v>6079</v>
      </c>
      <c r="AJ81" s="18">
        <v>0</v>
      </c>
      <c r="AK81" s="18">
        <v>762.90322580645159</v>
      </c>
      <c r="AL81" s="18">
        <v>1240</v>
      </c>
      <c r="AM81" s="18">
        <v>81470</v>
      </c>
      <c r="AN81" s="18">
        <v>3311</v>
      </c>
      <c r="AO81" s="18">
        <v>0</v>
      </c>
      <c r="AP81" s="18">
        <v>870.32258064516134</v>
      </c>
      <c r="AQ81" s="18">
        <v>1240</v>
      </c>
      <c r="AR81" s="18">
        <v>80887</v>
      </c>
      <c r="AS81" s="18">
        <v>1063</v>
      </c>
      <c r="AT81" s="18">
        <v>0</v>
      </c>
      <c r="AU81" s="18">
        <v>1087</v>
      </c>
      <c r="AV81" s="18">
        <v>1240</v>
      </c>
      <c r="AW81" s="18">
        <v>79397</v>
      </c>
      <c r="AX81" s="18">
        <v>10241</v>
      </c>
      <c r="AY81" s="18">
        <v>0</v>
      </c>
      <c r="AZ81" s="18">
        <v>1180.9677419354839</v>
      </c>
      <c r="BA81" s="18">
        <v>1237.0967741935483</v>
      </c>
      <c r="BB81" s="18">
        <v>55193</v>
      </c>
      <c r="BC81" s="18">
        <v>7953</v>
      </c>
      <c r="BD81" s="18">
        <v>0</v>
      </c>
      <c r="BE81" s="18">
        <v>1147.6666666666667</v>
      </c>
      <c r="BF81" s="18">
        <v>1208.6666666666667</v>
      </c>
      <c r="BG81" s="18">
        <v>63828</v>
      </c>
      <c r="BH81" s="18">
        <v>5778</v>
      </c>
      <c r="BI81" s="18">
        <v>0</v>
      </c>
      <c r="BJ81" s="18">
        <v>1087.4193548387098</v>
      </c>
      <c r="BK81" s="18">
        <v>1190</v>
      </c>
    </row>
    <row r="82" spans="1:63" x14ac:dyDescent="0.35">
      <c r="A82" s="19">
        <v>78</v>
      </c>
      <c r="B82" s="20" t="s">
        <v>175</v>
      </c>
      <c r="C82" s="20" t="s">
        <v>176</v>
      </c>
      <c r="D82" s="18">
        <v>226986</v>
      </c>
      <c r="E82" s="18">
        <v>7151</v>
      </c>
      <c r="F82" s="18">
        <v>0</v>
      </c>
      <c r="G82" s="18">
        <v>660</v>
      </c>
      <c r="H82" s="18">
        <v>1075.483870967742</v>
      </c>
      <c r="I82" s="18">
        <v>298634</v>
      </c>
      <c r="J82" s="18">
        <v>7514</v>
      </c>
      <c r="K82" s="18">
        <v>0</v>
      </c>
      <c r="L82" s="18">
        <v>672.85714285714289</v>
      </c>
      <c r="M82" s="18">
        <v>1399.8214285714287</v>
      </c>
      <c r="N82" s="18">
        <v>250807</v>
      </c>
      <c r="O82" s="18">
        <v>8939</v>
      </c>
      <c r="P82" s="18">
        <v>0</v>
      </c>
      <c r="Q82" s="18">
        <v>680</v>
      </c>
      <c r="R82" s="18">
        <v>1594.3548387096773</v>
      </c>
      <c r="S82" s="18">
        <v>329997</v>
      </c>
      <c r="T82" s="18">
        <v>5094</v>
      </c>
      <c r="U82" s="18">
        <v>0</v>
      </c>
      <c r="V82" s="18">
        <v>682.5</v>
      </c>
      <c r="W82" s="18">
        <v>1389</v>
      </c>
      <c r="X82" s="18">
        <v>293955</v>
      </c>
      <c r="Y82" s="18">
        <v>5713</v>
      </c>
      <c r="Z82" s="18">
        <v>0</v>
      </c>
      <c r="AA82" s="18">
        <v>724.0322580645161</v>
      </c>
      <c r="AB82" s="18">
        <v>1231.2903225806451</v>
      </c>
      <c r="AC82" s="18">
        <v>342244</v>
      </c>
      <c r="AD82" s="18">
        <v>4972</v>
      </c>
      <c r="AE82" s="18">
        <v>0</v>
      </c>
      <c r="AF82" s="18">
        <v>685.66666666666663</v>
      </c>
      <c r="AG82" s="18">
        <v>1210.3333333333333</v>
      </c>
      <c r="AH82" s="18">
        <v>357614</v>
      </c>
      <c r="AI82" s="18">
        <v>4263</v>
      </c>
      <c r="AJ82" s="18">
        <v>0</v>
      </c>
      <c r="AK82" s="18">
        <v>708.22580645161293</v>
      </c>
      <c r="AL82" s="18">
        <v>1220</v>
      </c>
      <c r="AM82" s="18">
        <v>232780</v>
      </c>
      <c r="AN82" s="18">
        <v>3931</v>
      </c>
      <c r="AO82" s="18">
        <v>0</v>
      </c>
      <c r="AP82" s="18">
        <v>732.90322580645159</v>
      </c>
      <c r="AQ82" s="18">
        <v>1220</v>
      </c>
      <c r="AR82" s="18">
        <v>181567</v>
      </c>
      <c r="AS82" s="18">
        <v>3568</v>
      </c>
      <c r="AT82" s="18">
        <v>0</v>
      </c>
      <c r="AU82" s="18">
        <v>1013.6666666666666</v>
      </c>
      <c r="AV82" s="18">
        <v>1220</v>
      </c>
      <c r="AW82" s="18">
        <v>294950</v>
      </c>
      <c r="AX82" s="18">
        <v>3147</v>
      </c>
      <c r="AY82" s="18">
        <v>0</v>
      </c>
      <c r="AZ82" s="18">
        <v>1111.2903225806451</v>
      </c>
      <c r="BA82" s="18">
        <v>1220</v>
      </c>
      <c r="BB82" s="18">
        <v>222771</v>
      </c>
      <c r="BC82" s="18">
        <v>2901</v>
      </c>
      <c r="BD82" s="18">
        <v>0</v>
      </c>
      <c r="BE82" s="18">
        <v>1132.8333333333333</v>
      </c>
      <c r="BF82" s="18">
        <v>1195</v>
      </c>
      <c r="BG82" s="18">
        <v>158496</v>
      </c>
      <c r="BH82" s="18">
        <v>2429</v>
      </c>
      <c r="BI82" s="18">
        <v>0</v>
      </c>
      <c r="BJ82" s="18">
        <v>1086.7741935483871</v>
      </c>
      <c r="BK82" s="18">
        <v>1190</v>
      </c>
    </row>
    <row r="83" spans="1:63" x14ac:dyDescent="0.35">
      <c r="A83" s="19">
        <v>79</v>
      </c>
      <c r="B83" s="20" t="s">
        <v>177</v>
      </c>
      <c r="C83" s="20" t="s">
        <v>178</v>
      </c>
      <c r="D83" s="18">
        <v>115002</v>
      </c>
      <c r="E83" s="18">
        <v>12644</v>
      </c>
      <c r="F83" s="18">
        <v>0</v>
      </c>
      <c r="G83" s="18">
        <v>670</v>
      </c>
      <c r="H83" s="18">
        <v>1078.0645161290322</v>
      </c>
      <c r="I83" s="18">
        <v>110078</v>
      </c>
      <c r="J83" s="18">
        <v>7906</v>
      </c>
      <c r="K83" s="18">
        <v>0</v>
      </c>
      <c r="L83" s="18">
        <v>679.10714285714289</v>
      </c>
      <c r="M83" s="18">
        <v>1405.7142857142858</v>
      </c>
      <c r="N83" s="18">
        <v>103310</v>
      </c>
      <c r="O83" s="18">
        <v>4305</v>
      </c>
      <c r="P83" s="18">
        <v>0</v>
      </c>
      <c r="Q83" s="18">
        <v>690</v>
      </c>
      <c r="R83" s="18">
        <v>1611.2903225806451</v>
      </c>
      <c r="S83" s="18">
        <v>147872</v>
      </c>
      <c r="T83" s="18">
        <v>6967</v>
      </c>
      <c r="U83" s="18">
        <v>0</v>
      </c>
      <c r="V83" s="18">
        <v>696</v>
      </c>
      <c r="W83" s="18">
        <v>1405.6666666666667</v>
      </c>
      <c r="X83" s="18">
        <v>106262</v>
      </c>
      <c r="Y83" s="18">
        <v>7381</v>
      </c>
      <c r="Z83" s="18">
        <v>0</v>
      </c>
      <c r="AA83" s="18">
        <v>803.87096774193549</v>
      </c>
      <c r="AB83" s="18">
        <v>1245.1612903225807</v>
      </c>
      <c r="AC83" s="18">
        <v>132096</v>
      </c>
      <c r="AD83" s="18">
        <v>9835</v>
      </c>
      <c r="AE83" s="18">
        <v>26</v>
      </c>
      <c r="AF83" s="18">
        <v>715.66666666666663</v>
      </c>
      <c r="AG83" s="18">
        <v>1227.3333333333333</v>
      </c>
      <c r="AH83" s="18">
        <v>159067</v>
      </c>
      <c r="AI83" s="18">
        <v>5981</v>
      </c>
      <c r="AJ83" s="18">
        <v>0</v>
      </c>
      <c r="AK83" s="18">
        <v>757.90322580645159</v>
      </c>
      <c r="AL83" s="18">
        <v>1240</v>
      </c>
      <c r="AM83" s="18">
        <v>75837</v>
      </c>
      <c r="AN83" s="18">
        <v>1989</v>
      </c>
      <c r="AO83" s="18">
        <v>0</v>
      </c>
      <c r="AP83" s="18">
        <v>860.9677419354839</v>
      </c>
      <c r="AQ83" s="18">
        <v>1240</v>
      </c>
      <c r="AR83" s="18">
        <v>104622</v>
      </c>
      <c r="AS83" s="18">
        <v>5803</v>
      </c>
      <c r="AT83" s="18">
        <v>80</v>
      </c>
      <c r="AU83" s="18">
        <v>1086.6666666666667</v>
      </c>
      <c r="AV83" s="18">
        <v>1240</v>
      </c>
      <c r="AW83" s="18">
        <v>126746</v>
      </c>
      <c r="AX83" s="18">
        <v>12819</v>
      </c>
      <c r="AY83" s="18">
        <v>0</v>
      </c>
      <c r="AZ83" s="18">
        <v>1180.9677419354839</v>
      </c>
      <c r="BA83" s="18">
        <v>1235.8064516129032</v>
      </c>
      <c r="BB83" s="18">
        <v>139935</v>
      </c>
      <c r="BC83" s="18">
        <v>19853</v>
      </c>
      <c r="BD83" s="18">
        <v>0</v>
      </c>
      <c r="BE83" s="18">
        <v>1143</v>
      </c>
      <c r="BF83" s="18">
        <v>1208.6666666666667</v>
      </c>
      <c r="BG83" s="18">
        <v>152646</v>
      </c>
      <c r="BH83" s="18">
        <v>12398</v>
      </c>
      <c r="BI83" s="18">
        <v>29</v>
      </c>
      <c r="BJ83" s="18">
        <v>1087.4193548387098</v>
      </c>
      <c r="BK83" s="18">
        <v>1190</v>
      </c>
    </row>
    <row r="84" spans="1:63" x14ac:dyDescent="0.35">
      <c r="A84" s="19">
        <v>80</v>
      </c>
      <c r="B84" s="20" t="s">
        <v>179</v>
      </c>
      <c r="C84" s="20" t="s">
        <v>180</v>
      </c>
      <c r="D84" s="18">
        <v>291527</v>
      </c>
      <c r="E84" s="18">
        <v>11818</v>
      </c>
      <c r="F84" s="18">
        <v>0</v>
      </c>
      <c r="G84" s="18">
        <v>652.74193548387098</v>
      </c>
      <c r="H84" s="18">
        <v>1066.7741935483871</v>
      </c>
      <c r="I84" s="18">
        <v>272776</v>
      </c>
      <c r="J84" s="18">
        <v>11326</v>
      </c>
      <c r="K84" s="18">
        <v>0</v>
      </c>
      <c r="L84" s="18">
        <v>668.75</v>
      </c>
      <c r="M84" s="18">
        <v>1372.5</v>
      </c>
      <c r="N84" s="18">
        <v>318588</v>
      </c>
      <c r="O84" s="18">
        <v>10713</v>
      </c>
      <c r="P84" s="18">
        <v>0</v>
      </c>
      <c r="Q84" s="18">
        <v>695</v>
      </c>
      <c r="R84" s="18">
        <v>1596.7741935483871</v>
      </c>
      <c r="S84" s="18">
        <v>342188</v>
      </c>
      <c r="T84" s="18">
        <v>12685</v>
      </c>
      <c r="U84" s="18">
        <v>0</v>
      </c>
      <c r="V84" s="18">
        <v>695</v>
      </c>
      <c r="W84" s="18">
        <v>1353.6666666666667</v>
      </c>
      <c r="X84" s="18">
        <v>284542</v>
      </c>
      <c r="Y84" s="18">
        <v>20625</v>
      </c>
      <c r="Z84" s="18">
        <v>0</v>
      </c>
      <c r="AA84" s="18">
        <v>755.16129032258061</v>
      </c>
      <c r="AB84" s="18">
        <v>1197.4193548387098</v>
      </c>
      <c r="AC84" s="18">
        <v>250985</v>
      </c>
      <c r="AD84" s="18">
        <v>23488</v>
      </c>
      <c r="AE84" s="18">
        <v>0</v>
      </c>
      <c r="AF84" s="18">
        <v>736</v>
      </c>
      <c r="AG84" s="18">
        <v>1201.3333333333333</v>
      </c>
      <c r="AH84" s="18">
        <v>207442</v>
      </c>
      <c r="AI84" s="18">
        <v>10970</v>
      </c>
      <c r="AJ84" s="18">
        <v>0</v>
      </c>
      <c r="AK84" s="18">
        <v>766.93548387096769</v>
      </c>
      <c r="AL84" s="18">
        <v>1220</v>
      </c>
      <c r="AM84" s="18">
        <v>179645</v>
      </c>
      <c r="AN84" s="18">
        <v>6820</v>
      </c>
      <c r="AO84" s="18">
        <v>0</v>
      </c>
      <c r="AP84" s="18">
        <v>867.09677419354841</v>
      </c>
      <c r="AQ84" s="18">
        <v>1220</v>
      </c>
      <c r="AR84" s="18">
        <v>207779</v>
      </c>
      <c r="AS84" s="18">
        <v>8719</v>
      </c>
      <c r="AT84" s="18">
        <v>0</v>
      </c>
      <c r="AU84" s="18">
        <v>1106.5</v>
      </c>
      <c r="AV84" s="18">
        <v>1220</v>
      </c>
      <c r="AW84" s="18">
        <v>211691</v>
      </c>
      <c r="AX84" s="18">
        <v>11396</v>
      </c>
      <c r="AY84" s="18">
        <v>0</v>
      </c>
      <c r="AZ84" s="18">
        <v>1162.258064516129</v>
      </c>
      <c r="BA84" s="18">
        <v>1198.7096774193549</v>
      </c>
      <c r="BB84" s="18">
        <v>191578</v>
      </c>
      <c r="BC84" s="18">
        <v>18502</v>
      </c>
      <c r="BD84" s="18">
        <v>0</v>
      </c>
      <c r="BE84" s="18">
        <v>1132.6666666666667</v>
      </c>
      <c r="BF84" s="18">
        <v>1179.3333333333333</v>
      </c>
      <c r="BG84" s="18">
        <v>196858</v>
      </c>
      <c r="BH84" s="18">
        <v>15934</v>
      </c>
      <c r="BI84" s="18">
        <v>0</v>
      </c>
      <c r="BJ84" s="18">
        <v>1087.4193548387098</v>
      </c>
      <c r="BK84" s="18">
        <v>1153.2258064516129</v>
      </c>
    </row>
    <row r="85" spans="1:63" x14ac:dyDescent="0.35">
      <c r="A85" s="19">
        <v>81</v>
      </c>
      <c r="B85" s="20" t="s">
        <v>181</v>
      </c>
      <c r="C85" s="20" t="s">
        <v>182</v>
      </c>
      <c r="D85" s="18">
        <v>269033</v>
      </c>
      <c r="E85" s="18">
        <v>34088</v>
      </c>
      <c r="F85" s="18">
        <v>0</v>
      </c>
      <c r="G85" s="18">
        <v>652.58064516129036</v>
      </c>
      <c r="H85" s="18">
        <v>1066.7741935483871</v>
      </c>
      <c r="I85" s="18">
        <v>251951</v>
      </c>
      <c r="J85" s="18">
        <v>15783</v>
      </c>
      <c r="K85" s="18">
        <v>0</v>
      </c>
      <c r="L85" s="18">
        <v>668.75</v>
      </c>
      <c r="M85" s="18">
        <v>1377.8571428571429</v>
      </c>
      <c r="N85" s="18">
        <v>239528</v>
      </c>
      <c r="O85" s="18">
        <v>25621</v>
      </c>
      <c r="P85" s="18">
        <v>0</v>
      </c>
      <c r="Q85" s="18">
        <v>695</v>
      </c>
      <c r="R85" s="18">
        <v>1590.3225806451612</v>
      </c>
      <c r="S85" s="18">
        <v>303312</v>
      </c>
      <c r="T85" s="18">
        <v>13974</v>
      </c>
      <c r="U85" s="18">
        <v>0</v>
      </c>
      <c r="V85" s="18">
        <v>695</v>
      </c>
      <c r="W85" s="18">
        <v>1353.6666666666667</v>
      </c>
      <c r="X85" s="18">
        <v>230099</v>
      </c>
      <c r="Y85" s="18">
        <v>26668</v>
      </c>
      <c r="Z85" s="18">
        <v>0</v>
      </c>
      <c r="AA85" s="18">
        <v>755.16129032258061</v>
      </c>
      <c r="AB85" s="18">
        <v>1194.8387096774193</v>
      </c>
      <c r="AC85" s="18">
        <v>237784</v>
      </c>
      <c r="AD85" s="18">
        <v>31389</v>
      </c>
      <c r="AE85" s="18">
        <v>0</v>
      </c>
      <c r="AF85" s="18">
        <v>736</v>
      </c>
      <c r="AG85" s="18">
        <v>1201.3333333333333</v>
      </c>
      <c r="AH85" s="18">
        <v>220181</v>
      </c>
      <c r="AI85" s="18">
        <v>23603</v>
      </c>
      <c r="AJ85" s="18">
        <v>0</v>
      </c>
      <c r="AK85" s="18">
        <v>766.93548387096769</v>
      </c>
      <c r="AL85" s="18">
        <v>1220</v>
      </c>
      <c r="AM85" s="18">
        <v>119260</v>
      </c>
      <c r="AN85" s="18">
        <v>29630</v>
      </c>
      <c r="AO85" s="18">
        <v>0</v>
      </c>
      <c r="AP85" s="18">
        <v>867.09677419354841</v>
      </c>
      <c r="AQ85" s="18">
        <v>1220</v>
      </c>
      <c r="AR85" s="18">
        <v>212731</v>
      </c>
      <c r="AS85" s="18">
        <v>36270</v>
      </c>
      <c r="AT85" s="18">
        <v>0</v>
      </c>
      <c r="AU85" s="18">
        <v>1108.8333333333333</v>
      </c>
      <c r="AV85" s="18">
        <v>1220</v>
      </c>
      <c r="AW85" s="18">
        <v>175785</v>
      </c>
      <c r="AX85" s="18">
        <v>26059</v>
      </c>
      <c r="AY85" s="18">
        <v>0</v>
      </c>
      <c r="AZ85" s="18">
        <v>1162.258064516129</v>
      </c>
      <c r="BA85" s="18">
        <v>1198.7096774193549</v>
      </c>
      <c r="BB85" s="18">
        <v>165474</v>
      </c>
      <c r="BC85" s="18">
        <v>38176</v>
      </c>
      <c r="BD85" s="18">
        <v>0</v>
      </c>
      <c r="BE85" s="18">
        <v>1132.6666666666667</v>
      </c>
      <c r="BF85" s="18">
        <v>1179.3333333333333</v>
      </c>
      <c r="BG85" s="18">
        <v>194407</v>
      </c>
      <c r="BH85" s="18">
        <v>33813</v>
      </c>
      <c r="BI85" s="18">
        <v>0</v>
      </c>
      <c r="BJ85" s="18">
        <v>1087.4193548387098</v>
      </c>
      <c r="BK85" s="18">
        <v>1153.2258064516129</v>
      </c>
    </row>
    <row r="86" spans="1:63" x14ac:dyDescent="0.35">
      <c r="A86" s="19">
        <v>82</v>
      </c>
      <c r="B86" s="20" t="s">
        <v>183</v>
      </c>
      <c r="C86" s="20" t="s">
        <v>184</v>
      </c>
      <c r="D86" s="18">
        <v>284585</v>
      </c>
      <c r="E86" s="18">
        <v>30372</v>
      </c>
      <c r="F86" s="18">
        <v>0</v>
      </c>
      <c r="G86" s="18">
        <v>660</v>
      </c>
      <c r="H86" s="18">
        <v>1077.4193548387098</v>
      </c>
      <c r="I86" s="18">
        <v>239638</v>
      </c>
      <c r="J86" s="18">
        <v>62144</v>
      </c>
      <c r="K86" s="18">
        <v>0</v>
      </c>
      <c r="L86" s="18">
        <v>674.46428571428567</v>
      </c>
      <c r="M86" s="18">
        <v>1401.6071428571429</v>
      </c>
      <c r="N86" s="18">
        <v>308925</v>
      </c>
      <c r="O86" s="18">
        <v>65882</v>
      </c>
      <c r="P86" s="18">
        <v>0</v>
      </c>
      <c r="Q86" s="18">
        <v>685</v>
      </c>
      <c r="R86" s="18">
        <v>1611.2903225806451</v>
      </c>
      <c r="S86" s="18">
        <v>262353</v>
      </c>
      <c r="T86" s="18">
        <v>20087</v>
      </c>
      <c r="U86" s="18">
        <v>0</v>
      </c>
      <c r="V86" s="18">
        <v>699.16666666666663</v>
      </c>
      <c r="W86" s="18">
        <v>1407.3333333333333</v>
      </c>
      <c r="X86" s="18">
        <v>209899</v>
      </c>
      <c r="Y86" s="18">
        <v>14913</v>
      </c>
      <c r="Z86" s="18">
        <v>0</v>
      </c>
      <c r="AA86" s="18">
        <v>818.54838709677415</v>
      </c>
      <c r="AB86" s="18">
        <v>1234.8387096774193</v>
      </c>
      <c r="AC86" s="18">
        <v>203510</v>
      </c>
      <c r="AD86" s="18">
        <v>16958</v>
      </c>
      <c r="AE86" s="18">
        <v>0</v>
      </c>
      <c r="AF86" s="18">
        <v>740</v>
      </c>
      <c r="AG86" s="18">
        <v>1233.3333333333333</v>
      </c>
      <c r="AH86" s="18">
        <v>269540</v>
      </c>
      <c r="AI86" s="18">
        <v>11031</v>
      </c>
      <c r="AJ86" s="18">
        <v>0</v>
      </c>
      <c r="AK86" s="18">
        <v>760.32258064516134</v>
      </c>
      <c r="AL86" s="18">
        <v>1233.2258064516129</v>
      </c>
      <c r="AM86" s="18">
        <v>5428</v>
      </c>
      <c r="AN86" s="18">
        <v>10283</v>
      </c>
      <c r="AO86" s="18">
        <v>0</v>
      </c>
      <c r="AP86" s="18">
        <v>819.35483870967744</v>
      </c>
      <c r="AQ86" s="18">
        <v>1213.5483870967741</v>
      </c>
      <c r="AR86" s="18">
        <v>0</v>
      </c>
      <c r="AS86" s="18">
        <v>0</v>
      </c>
      <c r="AT86" s="18">
        <v>0</v>
      </c>
      <c r="AU86" s="18">
        <v>1069.3333333333333</v>
      </c>
      <c r="AV86" s="18">
        <v>1220</v>
      </c>
      <c r="AW86" s="18">
        <v>0</v>
      </c>
      <c r="AX86" s="18">
        <v>0</v>
      </c>
      <c r="AY86" s="18">
        <v>0</v>
      </c>
      <c r="AZ86" s="18">
        <v>1151.9354838709678</v>
      </c>
      <c r="BA86" s="18">
        <v>1220</v>
      </c>
      <c r="BB86" s="18">
        <v>0</v>
      </c>
      <c r="BC86" s="18">
        <v>0</v>
      </c>
      <c r="BD86" s="18">
        <v>0</v>
      </c>
      <c r="BE86" s="18">
        <v>1137.3333333333333</v>
      </c>
      <c r="BF86" s="18">
        <v>1209</v>
      </c>
      <c r="BG86" s="18">
        <v>0</v>
      </c>
      <c r="BH86" s="18">
        <v>0</v>
      </c>
      <c r="BI86" s="18">
        <v>0</v>
      </c>
      <c r="BJ86" s="18">
        <v>1105.9677419354839</v>
      </c>
      <c r="BK86" s="18">
        <v>1193.5483870967741</v>
      </c>
    </row>
    <row r="87" spans="1:63" x14ac:dyDescent="0.35">
      <c r="A87" s="19">
        <v>83</v>
      </c>
      <c r="B87" s="20" t="s">
        <v>185</v>
      </c>
      <c r="C87" s="20" t="s">
        <v>186</v>
      </c>
      <c r="D87" s="18">
        <v>271210</v>
      </c>
      <c r="E87" s="18">
        <v>15089</v>
      </c>
      <c r="F87" s="18">
        <v>0</v>
      </c>
      <c r="G87" s="18">
        <v>607.41935483870964</v>
      </c>
      <c r="H87" s="18">
        <v>1048.5483870967741</v>
      </c>
      <c r="I87" s="18">
        <v>434292</v>
      </c>
      <c r="J87" s="18">
        <v>17889</v>
      </c>
      <c r="K87" s="18">
        <v>0</v>
      </c>
      <c r="L87" s="18">
        <v>632.14285714285711</v>
      </c>
      <c r="M87" s="18">
        <v>1370</v>
      </c>
      <c r="N87" s="18">
        <v>396752</v>
      </c>
      <c r="O87" s="18">
        <v>15072</v>
      </c>
      <c r="P87" s="18">
        <v>0</v>
      </c>
      <c r="Q87" s="18">
        <v>634.67741935483866</v>
      </c>
      <c r="R87" s="18">
        <v>1540.3225806451612</v>
      </c>
      <c r="S87" s="18">
        <v>445336</v>
      </c>
      <c r="T87" s="18">
        <v>14250</v>
      </c>
      <c r="U87" s="18">
        <v>0</v>
      </c>
      <c r="V87" s="18">
        <v>642.33333333333337</v>
      </c>
      <c r="W87" s="18">
        <v>1389.6666666666667</v>
      </c>
      <c r="X87" s="18">
        <v>302660</v>
      </c>
      <c r="Y87" s="18">
        <v>5981</v>
      </c>
      <c r="Z87" s="18">
        <v>0</v>
      </c>
      <c r="AA87" s="18">
        <v>681.77419354838707</v>
      </c>
      <c r="AB87" s="18">
        <v>1224.1935483870968</v>
      </c>
      <c r="AC87" s="18">
        <v>272117</v>
      </c>
      <c r="AD87" s="18">
        <v>14374</v>
      </c>
      <c r="AE87" s="18">
        <v>0</v>
      </c>
      <c r="AF87" s="18">
        <v>625.83333333333337</v>
      </c>
      <c r="AG87" s="18">
        <v>1158</v>
      </c>
      <c r="AH87" s="18">
        <v>432989</v>
      </c>
      <c r="AI87" s="18">
        <v>9507</v>
      </c>
      <c r="AJ87" s="18">
        <v>0</v>
      </c>
      <c r="AK87" s="18">
        <v>712.90322580645159</v>
      </c>
      <c r="AL87" s="18">
        <v>1220</v>
      </c>
      <c r="AM87" s="18">
        <v>197356</v>
      </c>
      <c r="AN87" s="18">
        <v>5821</v>
      </c>
      <c r="AO87" s="18">
        <v>0</v>
      </c>
      <c r="AP87" s="18">
        <v>791.29032258064512</v>
      </c>
      <c r="AQ87" s="18">
        <v>1220</v>
      </c>
      <c r="AR87" s="18">
        <v>251030</v>
      </c>
      <c r="AS87" s="18">
        <v>4732</v>
      </c>
      <c r="AT87" s="18">
        <v>0</v>
      </c>
      <c r="AU87" s="18">
        <v>955.33333333333337</v>
      </c>
      <c r="AV87" s="18">
        <v>1220</v>
      </c>
      <c r="AW87" s="18">
        <v>223751</v>
      </c>
      <c r="AX87" s="18">
        <v>4576</v>
      </c>
      <c r="AY87" s="18">
        <v>0</v>
      </c>
      <c r="AZ87" s="18">
        <v>1075.483870967742</v>
      </c>
      <c r="BA87" s="18">
        <v>1214.8387096774193</v>
      </c>
      <c r="BB87" s="18">
        <v>174680</v>
      </c>
      <c r="BC87" s="18">
        <v>6471</v>
      </c>
      <c r="BD87" s="18">
        <v>0</v>
      </c>
      <c r="BE87" s="18">
        <v>1091.3333333333333</v>
      </c>
      <c r="BF87" s="18">
        <v>1185</v>
      </c>
      <c r="BG87" s="18">
        <v>165564</v>
      </c>
      <c r="BH87" s="18">
        <v>5903</v>
      </c>
      <c r="BI87" s="18">
        <v>30</v>
      </c>
      <c r="BJ87" s="18">
        <v>1071.2903225806451</v>
      </c>
      <c r="BK87" s="18">
        <v>1161.6129032258063</v>
      </c>
    </row>
    <row r="88" spans="1:63" x14ac:dyDescent="0.35">
      <c r="A88" s="19">
        <v>84</v>
      </c>
      <c r="B88" s="20" t="s">
        <v>187</v>
      </c>
      <c r="C88" s="20" t="s">
        <v>188</v>
      </c>
      <c r="D88" s="18">
        <v>238736</v>
      </c>
      <c r="E88" s="18">
        <v>14119</v>
      </c>
      <c r="F88" s="18">
        <v>0</v>
      </c>
      <c r="G88" s="18">
        <v>660</v>
      </c>
      <c r="H88" s="18">
        <v>1064.3548387096773</v>
      </c>
      <c r="I88" s="18">
        <v>311096</v>
      </c>
      <c r="J88" s="18">
        <v>16043</v>
      </c>
      <c r="K88" s="18">
        <v>0</v>
      </c>
      <c r="L88" s="18">
        <v>671.25</v>
      </c>
      <c r="M88" s="18">
        <v>1399.8214285714287</v>
      </c>
      <c r="N88" s="18">
        <v>280209</v>
      </c>
      <c r="O88" s="18">
        <v>21652</v>
      </c>
      <c r="P88" s="18">
        <v>0</v>
      </c>
      <c r="Q88" s="18">
        <v>677.25806451612902</v>
      </c>
      <c r="R88" s="18">
        <v>1594.3548387096773</v>
      </c>
      <c r="S88" s="18">
        <v>286134</v>
      </c>
      <c r="T88" s="18">
        <v>14756</v>
      </c>
      <c r="U88" s="18">
        <v>0</v>
      </c>
      <c r="V88" s="18">
        <v>687.5</v>
      </c>
      <c r="W88" s="18">
        <v>1389</v>
      </c>
      <c r="X88" s="18">
        <v>359022</v>
      </c>
      <c r="Y88" s="18">
        <v>14041</v>
      </c>
      <c r="Z88" s="18">
        <v>0</v>
      </c>
      <c r="AA88" s="18">
        <v>737.25806451612902</v>
      </c>
      <c r="AB88" s="18">
        <v>1217.5806451612902</v>
      </c>
      <c r="AC88" s="18">
        <v>216262</v>
      </c>
      <c r="AD88" s="18">
        <v>13174</v>
      </c>
      <c r="AE88" s="18">
        <v>0</v>
      </c>
      <c r="AF88" s="18">
        <v>685.66666666666663</v>
      </c>
      <c r="AG88" s="18">
        <v>1201.3333333333333</v>
      </c>
      <c r="AH88" s="18">
        <v>331807</v>
      </c>
      <c r="AI88" s="18">
        <v>10874</v>
      </c>
      <c r="AJ88" s="18">
        <v>0</v>
      </c>
      <c r="AK88" s="18">
        <v>725.9677419354839</v>
      </c>
      <c r="AL88" s="18">
        <v>1220</v>
      </c>
      <c r="AM88" s="18">
        <v>195948</v>
      </c>
      <c r="AN88" s="18">
        <v>8579</v>
      </c>
      <c r="AO88" s="18">
        <v>0</v>
      </c>
      <c r="AP88" s="18">
        <v>770.64516129032256</v>
      </c>
      <c r="AQ88" s="18">
        <v>1220</v>
      </c>
      <c r="AR88" s="18">
        <v>207983</v>
      </c>
      <c r="AS88" s="18">
        <v>8247</v>
      </c>
      <c r="AT88" s="18">
        <v>0</v>
      </c>
      <c r="AU88" s="18">
        <v>1021.3333333333334</v>
      </c>
      <c r="AV88" s="18">
        <v>1220</v>
      </c>
      <c r="AW88" s="18">
        <v>220446</v>
      </c>
      <c r="AX88" s="18">
        <v>14091</v>
      </c>
      <c r="AY88" s="18">
        <v>0</v>
      </c>
      <c r="AZ88" s="18">
        <v>1138.7096774193549</v>
      </c>
      <c r="BA88" s="18">
        <v>1220</v>
      </c>
      <c r="BB88" s="18">
        <v>188970</v>
      </c>
      <c r="BC88" s="18">
        <v>14609</v>
      </c>
      <c r="BD88" s="18">
        <v>0</v>
      </c>
      <c r="BE88" s="18">
        <v>1128.5</v>
      </c>
      <c r="BF88" s="18">
        <v>1195</v>
      </c>
      <c r="BG88" s="18">
        <v>160499</v>
      </c>
      <c r="BH88" s="18">
        <v>10043</v>
      </c>
      <c r="BI88" s="18">
        <v>0</v>
      </c>
      <c r="BJ88" s="18">
        <v>1086.4516129032259</v>
      </c>
      <c r="BK88" s="18">
        <v>1190</v>
      </c>
    </row>
    <row r="89" spans="1:63" x14ac:dyDescent="0.35">
      <c r="A89" s="19">
        <v>85</v>
      </c>
      <c r="B89" s="20" t="s">
        <v>189</v>
      </c>
      <c r="C89" s="20" t="s">
        <v>190</v>
      </c>
      <c r="D89" s="18">
        <v>194081</v>
      </c>
      <c r="E89" s="18">
        <v>16565</v>
      </c>
      <c r="F89" s="18">
        <v>0</v>
      </c>
      <c r="G89" s="18">
        <v>652.25806451612902</v>
      </c>
      <c r="H89" s="18">
        <v>1056.7741935483871</v>
      </c>
      <c r="I89" s="18">
        <v>198328</v>
      </c>
      <c r="J89" s="18">
        <v>16115</v>
      </c>
      <c r="K89" s="18">
        <v>172</v>
      </c>
      <c r="L89" s="18">
        <v>669.28571428571433</v>
      </c>
      <c r="M89" s="18">
        <v>1406.4285714285713</v>
      </c>
      <c r="N89" s="18">
        <v>183823</v>
      </c>
      <c r="O89" s="18">
        <v>18748</v>
      </c>
      <c r="P89" s="18">
        <v>9724</v>
      </c>
      <c r="Q89" s="18">
        <v>695</v>
      </c>
      <c r="R89" s="18">
        <v>1587.0967741935483</v>
      </c>
      <c r="S89" s="18">
        <v>179679</v>
      </c>
      <c r="T89" s="18">
        <v>16208</v>
      </c>
      <c r="U89" s="18">
        <v>4793</v>
      </c>
      <c r="V89" s="18">
        <v>695</v>
      </c>
      <c r="W89" s="18">
        <v>1357</v>
      </c>
      <c r="X89" s="18">
        <v>196717</v>
      </c>
      <c r="Y89" s="18">
        <v>20678</v>
      </c>
      <c r="Z89" s="18">
        <v>829</v>
      </c>
      <c r="AA89" s="18">
        <v>740.64516129032256</v>
      </c>
      <c r="AB89" s="18">
        <v>1197.4193548387098</v>
      </c>
      <c r="AC89" s="18">
        <v>197920</v>
      </c>
      <c r="AD89" s="18">
        <v>13023</v>
      </c>
      <c r="AE89" s="18">
        <v>1046</v>
      </c>
      <c r="AF89" s="18">
        <v>726.66666666666663</v>
      </c>
      <c r="AG89" s="18">
        <v>1181.3333333333333</v>
      </c>
      <c r="AH89" s="18">
        <v>250074</v>
      </c>
      <c r="AI89" s="18">
        <v>8824</v>
      </c>
      <c r="AJ89" s="18">
        <v>1105</v>
      </c>
      <c r="AK89" s="18">
        <v>746.61290322580646</v>
      </c>
      <c r="AL89" s="18">
        <v>1207.4193548387098</v>
      </c>
      <c r="AM89" s="18">
        <v>130280</v>
      </c>
      <c r="AN89" s="18">
        <v>0</v>
      </c>
      <c r="AO89" s="18">
        <v>801</v>
      </c>
      <c r="AP89" s="18">
        <v>842.25806451612902</v>
      </c>
      <c r="AQ89" s="18">
        <v>1236.4516129032259</v>
      </c>
      <c r="AR89" s="18">
        <v>133636</v>
      </c>
      <c r="AS89" s="18">
        <v>364</v>
      </c>
      <c r="AT89" s="18">
        <v>857</v>
      </c>
      <c r="AU89" s="18">
        <v>1107.5</v>
      </c>
      <c r="AV89" s="18">
        <v>1230</v>
      </c>
      <c r="AW89" s="18">
        <v>144657</v>
      </c>
      <c r="AX89" s="18">
        <v>9089</v>
      </c>
      <c r="AY89" s="18">
        <v>1175</v>
      </c>
      <c r="AZ89" s="18">
        <v>1186.4516129032259</v>
      </c>
      <c r="BA89" s="18">
        <v>1218.7096774193549</v>
      </c>
      <c r="BB89" s="18">
        <v>144433</v>
      </c>
      <c r="BC89" s="18">
        <v>11887</v>
      </c>
      <c r="BD89" s="18">
        <v>1206</v>
      </c>
      <c r="BE89" s="18">
        <v>1130.6666666666667</v>
      </c>
      <c r="BF89" s="18">
        <v>1171.3333333333333</v>
      </c>
      <c r="BG89" s="18">
        <v>141628</v>
      </c>
      <c r="BH89" s="18">
        <v>14128</v>
      </c>
      <c r="BI89" s="18">
        <v>1082</v>
      </c>
      <c r="BJ89" s="18">
        <v>1079.0322580645161</v>
      </c>
      <c r="BK89" s="18">
        <v>1150</v>
      </c>
    </row>
    <row r="90" spans="1:63" x14ac:dyDescent="0.35">
      <c r="A90" s="19">
        <v>86</v>
      </c>
      <c r="B90" s="20" t="s">
        <v>191</v>
      </c>
      <c r="C90" s="20" t="s">
        <v>192</v>
      </c>
      <c r="D90" s="18">
        <v>179557</v>
      </c>
      <c r="E90" s="18">
        <v>11981</v>
      </c>
      <c r="F90" s="18">
        <v>0</v>
      </c>
      <c r="G90" s="18">
        <v>660</v>
      </c>
      <c r="H90" s="18">
        <v>1070.3225806451612</v>
      </c>
      <c r="I90" s="18">
        <v>219828</v>
      </c>
      <c r="J90" s="18">
        <v>9723</v>
      </c>
      <c r="K90" s="18">
        <v>0</v>
      </c>
      <c r="L90" s="18">
        <v>672.85714285714289</v>
      </c>
      <c r="M90" s="18">
        <v>1401.6071428571429</v>
      </c>
      <c r="N90" s="18">
        <v>321983</v>
      </c>
      <c r="O90" s="18">
        <v>9847</v>
      </c>
      <c r="P90" s="18">
        <v>0</v>
      </c>
      <c r="Q90" s="18">
        <v>680</v>
      </c>
      <c r="R90" s="18">
        <v>1594.3548387096773</v>
      </c>
      <c r="S90" s="18">
        <v>287871</v>
      </c>
      <c r="T90" s="18">
        <v>15543</v>
      </c>
      <c r="U90" s="18">
        <v>0</v>
      </c>
      <c r="V90" s="18">
        <v>683</v>
      </c>
      <c r="W90" s="18">
        <v>1389</v>
      </c>
      <c r="X90" s="18">
        <v>369369</v>
      </c>
      <c r="Y90" s="18">
        <v>13214</v>
      </c>
      <c r="Z90" s="18">
        <v>0</v>
      </c>
      <c r="AA90" s="18">
        <v>692.09677419354841</v>
      </c>
      <c r="AB90" s="18">
        <v>1231.2903225806451</v>
      </c>
      <c r="AC90" s="18">
        <v>224705</v>
      </c>
      <c r="AD90" s="18">
        <v>13464</v>
      </c>
      <c r="AE90" s="18">
        <v>0</v>
      </c>
      <c r="AF90" s="18">
        <v>683.33333333333337</v>
      </c>
      <c r="AG90" s="18">
        <v>1210.3333333333333</v>
      </c>
      <c r="AH90" s="18">
        <v>218899</v>
      </c>
      <c r="AI90" s="18">
        <v>10729</v>
      </c>
      <c r="AJ90" s="18">
        <v>0</v>
      </c>
      <c r="AK90" s="18">
        <v>694.93548387096769</v>
      </c>
      <c r="AL90" s="18">
        <v>1220</v>
      </c>
      <c r="AM90" s="18">
        <v>269533</v>
      </c>
      <c r="AN90" s="18">
        <v>6062</v>
      </c>
      <c r="AO90" s="18">
        <v>0</v>
      </c>
      <c r="AP90" s="18">
        <v>703.74193548387098</v>
      </c>
      <c r="AQ90" s="18">
        <v>1220</v>
      </c>
      <c r="AR90" s="18">
        <v>373725</v>
      </c>
      <c r="AS90" s="18">
        <v>6933</v>
      </c>
      <c r="AT90" s="18">
        <v>0</v>
      </c>
      <c r="AU90" s="18">
        <v>981</v>
      </c>
      <c r="AV90" s="18">
        <v>1220</v>
      </c>
      <c r="AW90" s="18">
        <v>285335</v>
      </c>
      <c r="AX90" s="18">
        <v>11890</v>
      </c>
      <c r="AY90" s="18">
        <v>0</v>
      </c>
      <c r="AZ90" s="18">
        <v>1090.6451612903227</v>
      </c>
      <c r="BA90" s="18">
        <v>1220</v>
      </c>
      <c r="BB90" s="18">
        <v>219392</v>
      </c>
      <c r="BC90" s="18">
        <v>11181</v>
      </c>
      <c r="BD90" s="18">
        <v>0</v>
      </c>
      <c r="BE90" s="18">
        <v>1132.3333333333333</v>
      </c>
      <c r="BF90" s="18">
        <v>1195</v>
      </c>
      <c r="BG90" s="18">
        <v>171671</v>
      </c>
      <c r="BH90" s="18">
        <v>6568</v>
      </c>
      <c r="BI90" s="18">
        <v>0</v>
      </c>
      <c r="BJ90" s="18">
        <v>1086.7741935483871</v>
      </c>
      <c r="BK90" s="18">
        <v>1190</v>
      </c>
    </row>
    <row r="91" spans="1:63" x14ac:dyDescent="0.35">
      <c r="A91" s="19">
        <v>87</v>
      </c>
      <c r="B91" s="21" t="s">
        <v>193</v>
      </c>
      <c r="C91" s="21" t="s">
        <v>194</v>
      </c>
      <c r="D91" s="18">
        <v>217549</v>
      </c>
      <c r="E91" s="18">
        <v>12942</v>
      </c>
      <c r="F91" s="18">
        <v>0</v>
      </c>
      <c r="G91" s="18">
        <v>660</v>
      </c>
      <c r="H91" s="18">
        <v>1077.4193548387098</v>
      </c>
      <c r="I91" s="18">
        <v>251571</v>
      </c>
      <c r="J91" s="18">
        <v>15351</v>
      </c>
      <c r="K91" s="18">
        <v>0</v>
      </c>
      <c r="L91" s="18">
        <v>674.46428571428567</v>
      </c>
      <c r="M91" s="18">
        <v>1401.6071428571429</v>
      </c>
      <c r="N91" s="18">
        <v>244951</v>
      </c>
      <c r="O91" s="18">
        <v>18446</v>
      </c>
      <c r="P91" s="18">
        <v>0</v>
      </c>
      <c r="Q91" s="18">
        <v>687.09677419354841</v>
      </c>
      <c r="R91" s="18">
        <v>1611.2903225806451</v>
      </c>
      <c r="S91" s="18">
        <v>295549</v>
      </c>
      <c r="T91" s="18">
        <v>20740</v>
      </c>
      <c r="U91" s="18">
        <v>0</v>
      </c>
      <c r="V91" s="18">
        <v>695</v>
      </c>
      <c r="W91" s="18">
        <v>1410.6666666666667</v>
      </c>
      <c r="X91" s="18">
        <v>213468</v>
      </c>
      <c r="Y91" s="18">
        <v>16200</v>
      </c>
      <c r="Z91" s="18">
        <v>0</v>
      </c>
      <c r="AA91" s="18">
        <v>761.29032258064512</v>
      </c>
      <c r="AB91" s="18">
        <v>1243.2258064516129</v>
      </c>
      <c r="AC91" s="18">
        <v>247883</v>
      </c>
      <c r="AD91" s="18">
        <v>17740</v>
      </c>
      <c r="AE91" s="18">
        <v>0</v>
      </c>
      <c r="AF91" s="18">
        <v>744.66666666666663</v>
      </c>
      <c r="AG91" s="18">
        <v>1251.3333333333333</v>
      </c>
      <c r="AH91" s="18">
        <v>289626</v>
      </c>
      <c r="AI91" s="18">
        <v>8481</v>
      </c>
      <c r="AJ91" s="18">
        <v>0</v>
      </c>
      <c r="AK91" s="18">
        <v>756.45161290322585</v>
      </c>
      <c r="AL91" s="18">
        <v>1255.8064516129032</v>
      </c>
      <c r="AM91" s="18">
        <v>189095</v>
      </c>
      <c r="AN91" s="18">
        <v>6171</v>
      </c>
      <c r="AO91" s="18">
        <v>0</v>
      </c>
      <c r="AP91" s="18">
        <v>821.61290322580646</v>
      </c>
      <c r="AQ91" s="18">
        <v>1239.3548387096773</v>
      </c>
      <c r="AR91" s="18">
        <v>203579</v>
      </c>
      <c r="AS91" s="18">
        <v>6961</v>
      </c>
      <c r="AT91" s="18">
        <v>0</v>
      </c>
      <c r="AU91" s="18">
        <v>1066</v>
      </c>
      <c r="AV91" s="18">
        <v>1220</v>
      </c>
      <c r="AW91" s="18">
        <v>254156</v>
      </c>
      <c r="AX91" s="18">
        <v>11084</v>
      </c>
      <c r="AY91" s="18">
        <v>0</v>
      </c>
      <c r="AZ91" s="18">
        <v>1197.4193548387098</v>
      </c>
      <c r="BA91" s="18">
        <v>1220</v>
      </c>
      <c r="BB91" s="18">
        <v>239970</v>
      </c>
      <c r="BC91" s="18">
        <v>12376</v>
      </c>
      <c r="BD91" s="18">
        <v>0</v>
      </c>
      <c r="BE91" s="18">
        <v>1141.6666666666667</v>
      </c>
      <c r="BF91" s="18">
        <v>1209.3333333333333</v>
      </c>
      <c r="BG91" s="18">
        <v>196229</v>
      </c>
      <c r="BH91" s="18">
        <v>6959</v>
      </c>
      <c r="BI91" s="18">
        <v>0</v>
      </c>
      <c r="BJ91" s="18">
        <v>1082.5806451612902</v>
      </c>
      <c r="BK91" s="18">
        <v>1193.5483870967741</v>
      </c>
    </row>
    <row r="92" spans="1:63" x14ac:dyDescent="0.35">
      <c r="A92" s="19">
        <v>88</v>
      </c>
      <c r="B92" s="20" t="s">
        <v>195</v>
      </c>
      <c r="C92" s="20" t="s">
        <v>196</v>
      </c>
      <c r="D92" s="18">
        <v>94558</v>
      </c>
      <c r="E92" s="18">
        <v>6012</v>
      </c>
      <c r="F92" s="18">
        <v>0</v>
      </c>
      <c r="G92" s="18">
        <v>645.16129032258061</v>
      </c>
      <c r="H92" s="18">
        <v>1075.483870967742</v>
      </c>
      <c r="I92" s="18">
        <v>105169</v>
      </c>
      <c r="J92" s="18">
        <v>8789</v>
      </c>
      <c r="K92" s="18">
        <v>376</v>
      </c>
      <c r="L92" s="18">
        <v>672.14285714285711</v>
      </c>
      <c r="M92" s="18">
        <v>1399.8214285714287</v>
      </c>
      <c r="N92" s="18">
        <v>130550</v>
      </c>
      <c r="O92" s="18">
        <v>9530</v>
      </c>
      <c r="P92" s="18">
        <v>7</v>
      </c>
      <c r="Q92" s="18">
        <v>680</v>
      </c>
      <c r="R92" s="18">
        <v>1594.3548387096773</v>
      </c>
      <c r="S92" s="18">
        <v>149224</v>
      </c>
      <c r="T92" s="18">
        <v>17888</v>
      </c>
      <c r="U92" s="18">
        <v>12</v>
      </c>
      <c r="V92" s="18">
        <v>690.66666666666663</v>
      </c>
      <c r="W92" s="18">
        <v>1389</v>
      </c>
      <c r="X92" s="18">
        <v>241124</v>
      </c>
      <c r="Y92" s="18">
        <v>13194</v>
      </c>
      <c r="Z92" s="18">
        <v>39</v>
      </c>
      <c r="AA92" s="18">
        <v>744.35483870967744</v>
      </c>
      <c r="AB92" s="18">
        <v>1231.2903225806451</v>
      </c>
      <c r="AC92" s="18">
        <v>200922</v>
      </c>
      <c r="AD92" s="18">
        <v>8364</v>
      </c>
      <c r="AE92" s="18">
        <v>10</v>
      </c>
      <c r="AF92" s="18">
        <v>685.66666666666663</v>
      </c>
      <c r="AG92" s="18">
        <v>1210.3333333333333</v>
      </c>
      <c r="AH92" s="18">
        <v>204203</v>
      </c>
      <c r="AI92" s="18">
        <v>5697</v>
      </c>
      <c r="AJ92" s="18">
        <v>8</v>
      </c>
      <c r="AK92" s="18">
        <v>719.19354838709683</v>
      </c>
      <c r="AL92" s="18">
        <v>1220</v>
      </c>
      <c r="AM92" s="18">
        <v>183234</v>
      </c>
      <c r="AN92" s="18">
        <v>3573</v>
      </c>
      <c r="AO92" s="18">
        <v>10</v>
      </c>
      <c r="AP92" s="18">
        <v>770.64516129032256</v>
      </c>
      <c r="AQ92" s="18">
        <v>1220</v>
      </c>
      <c r="AR92" s="18">
        <v>184280</v>
      </c>
      <c r="AS92" s="18">
        <v>4031</v>
      </c>
      <c r="AT92" s="18">
        <v>9</v>
      </c>
      <c r="AU92" s="18">
        <v>1019.6666666666666</v>
      </c>
      <c r="AV92" s="18">
        <v>1220</v>
      </c>
      <c r="AW92" s="18">
        <v>168847</v>
      </c>
      <c r="AX92" s="18">
        <v>6201</v>
      </c>
      <c r="AY92" s="18">
        <v>0</v>
      </c>
      <c r="AZ92" s="18">
        <v>1111.2903225806451</v>
      </c>
      <c r="BA92" s="18">
        <v>1220</v>
      </c>
      <c r="BB92" s="18">
        <v>108170</v>
      </c>
      <c r="BC92" s="18">
        <v>3624</v>
      </c>
      <c r="BD92" s="18">
        <v>10</v>
      </c>
      <c r="BE92" s="18">
        <v>1134.5</v>
      </c>
      <c r="BF92" s="18">
        <v>1195</v>
      </c>
      <c r="BG92" s="18">
        <v>99410</v>
      </c>
      <c r="BH92" s="18">
        <v>3078</v>
      </c>
      <c r="BI92" s="18">
        <v>10</v>
      </c>
      <c r="BJ92" s="18">
        <v>1087.4193548387098</v>
      </c>
      <c r="BK92" s="18">
        <v>1190</v>
      </c>
    </row>
    <row r="93" spans="1:63" x14ac:dyDescent="0.35">
      <c r="A93" s="19">
        <v>89</v>
      </c>
      <c r="B93" s="20" t="s">
        <v>197</v>
      </c>
      <c r="C93" s="20" t="s">
        <v>198</v>
      </c>
      <c r="D93" s="18">
        <v>74936</v>
      </c>
      <c r="E93" s="18">
        <v>4999</v>
      </c>
      <c r="F93" s="18">
        <v>0</v>
      </c>
      <c r="G93" s="18">
        <v>660</v>
      </c>
      <c r="H93" s="18">
        <v>1073.5483870967741</v>
      </c>
      <c r="I93" s="18">
        <v>86324</v>
      </c>
      <c r="J93" s="18">
        <v>13980</v>
      </c>
      <c r="K93" s="18">
        <v>0</v>
      </c>
      <c r="L93" s="18">
        <v>672.5</v>
      </c>
      <c r="M93" s="18">
        <v>1378.3928571428571</v>
      </c>
      <c r="N93" s="18">
        <v>110249</v>
      </c>
      <c r="O93" s="18">
        <v>9515</v>
      </c>
      <c r="P93" s="18">
        <v>0</v>
      </c>
      <c r="Q93" s="18">
        <v>680</v>
      </c>
      <c r="R93" s="18">
        <v>1597.5806451612902</v>
      </c>
      <c r="S93" s="18">
        <v>180174</v>
      </c>
      <c r="T93" s="18">
        <v>4284</v>
      </c>
      <c r="U93" s="18">
        <v>0</v>
      </c>
      <c r="V93" s="18">
        <v>683.33333333333337</v>
      </c>
      <c r="W93" s="18">
        <v>1389</v>
      </c>
      <c r="X93" s="18">
        <v>261486</v>
      </c>
      <c r="Y93" s="18">
        <v>5803</v>
      </c>
      <c r="Z93" s="18">
        <v>0</v>
      </c>
      <c r="AA93" s="18">
        <v>694.0322580645161</v>
      </c>
      <c r="AB93" s="18">
        <v>1231.2903225806451</v>
      </c>
      <c r="AC93" s="18">
        <v>103239</v>
      </c>
      <c r="AD93" s="18">
        <v>5370</v>
      </c>
      <c r="AE93" s="18">
        <v>0</v>
      </c>
      <c r="AF93" s="18">
        <v>683.66666666666663</v>
      </c>
      <c r="AG93" s="18">
        <v>1210.3333333333333</v>
      </c>
      <c r="AH93" s="18">
        <v>325072</v>
      </c>
      <c r="AI93" s="18">
        <v>4528</v>
      </c>
      <c r="AJ93" s="18">
        <v>0</v>
      </c>
      <c r="AK93" s="18">
        <v>710.16129032258061</v>
      </c>
      <c r="AL93" s="18">
        <v>1220</v>
      </c>
      <c r="AM93" s="18">
        <v>354458</v>
      </c>
      <c r="AN93" s="18">
        <v>2364</v>
      </c>
      <c r="AO93" s="18">
        <v>0</v>
      </c>
      <c r="AP93" s="18">
        <v>731.93548387096769</v>
      </c>
      <c r="AQ93" s="18">
        <v>1220</v>
      </c>
      <c r="AR93" s="18">
        <v>165701</v>
      </c>
      <c r="AS93" s="18">
        <v>2331</v>
      </c>
      <c r="AT93" s="18">
        <v>0</v>
      </c>
      <c r="AU93" s="18">
        <v>1017</v>
      </c>
      <c r="AV93" s="18">
        <v>1220</v>
      </c>
      <c r="AW93" s="18">
        <v>169573</v>
      </c>
      <c r="AX93" s="18">
        <v>8367</v>
      </c>
      <c r="AY93" s="18">
        <v>0</v>
      </c>
      <c r="AZ93" s="18">
        <v>1103.5483870967741</v>
      </c>
      <c r="BA93" s="18">
        <v>1220</v>
      </c>
      <c r="BB93" s="18">
        <v>56622</v>
      </c>
      <c r="BC93" s="18">
        <v>1528</v>
      </c>
      <c r="BD93" s="18">
        <v>0</v>
      </c>
      <c r="BE93" s="18">
        <v>1133.1666666666667</v>
      </c>
      <c r="BF93" s="18">
        <v>1195</v>
      </c>
      <c r="BG93" s="18">
        <v>43206</v>
      </c>
      <c r="BH93" s="18">
        <v>2612</v>
      </c>
      <c r="BI93" s="18">
        <v>0</v>
      </c>
      <c r="BJ93" s="18">
        <v>1083.8709677419354</v>
      </c>
      <c r="BK93" s="18">
        <v>1190</v>
      </c>
    </row>
    <row r="94" spans="1:63" x14ac:dyDescent="0.35">
      <c r="A94" s="19">
        <v>90</v>
      </c>
      <c r="B94" s="21" t="s">
        <v>199</v>
      </c>
      <c r="C94" s="21" t="s">
        <v>200</v>
      </c>
      <c r="D94" s="18">
        <v>451245</v>
      </c>
      <c r="E94" s="18">
        <v>22055</v>
      </c>
      <c r="F94" s="18">
        <v>0</v>
      </c>
      <c r="G94" s="18">
        <v>656.29032258064512</v>
      </c>
      <c r="H94" s="18">
        <v>1065.483870967742</v>
      </c>
      <c r="I94" s="18">
        <v>497106</v>
      </c>
      <c r="J94" s="18">
        <v>24353</v>
      </c>
      <c r="K94" s="18">
        <v>396</v>
      </c>
      <c r="L94" s="18">
        <v>669.46428571428567</v>
      </c>
      <c r="M94" s="18">
        <v>1403.2142857142858</v>
      </c>
      <c r="N94" s="18">
        <v>507115</v>
      </c>
      <c r="O94" s="18">
        <v>29659</v>
      </c>
      <c r="P94" s="18">
        <v>0</v>
      </c>
      <c r="Q94" s="18">
        <v>695</v>
      </c>
      <c r="R94" s="18">
        <v>1590.3225806451612</v>
      </c>
      <c r="S94" s="18">
        <v>479133</v>
      </c>
      <c r="T94" s="18">
        <v>31587</v>
      </c>
      <c r="U94" s="18">
        <v>0</v>
      </c>
      <c r="V94" s="18">
        <v>695</v>
      </c>
      <c r="W94" s="18">
        <v>1353.6666666666667</v>
      </c>
      <c r="X94" s="18">
        <v>570927</v>
      </c>
      <c r="Y94" s="18">
        <v>31659</v>
      </c>
      <c r="Z94" s="18">
        <v>29</v>
      </c>
      <c r="AA94" s="18">
        <v>741.61290322580646</v>
      </c>
      <c r="AB94" s="18">
        <v>1197.4193548387098</v>
      </c>
      <c r="AC94" s="18">
        <v>497866</v>
      </c>
      <c r="AD94" s="18">
        <v>35708</v>
      </c>
      <c r="AE94" s="18">
        <v>399</v>
      </c>
      <c r="AF94" s="18">
        <v>731.66666666666663</v>
      </c>
      <c r="AG94" s="18">
        <v>1182.3333333333333</v>
      </c>
      <c r="AH94" s="18">
        <v>502422</v>
      </c>
      <c r="AI94" s="18">
        <v>28304</v>
      </c>
      <c r="AJ94" s="18">
        <v>2120</v>
      </c>
      <c r="AK94" s="18">
        <v>747.58064516129036</v>
      </c>
      <c r="AL94" s="18">
        <v>1199.0322580645161</v>
      </c>
      <c r="AM94" s="18">
        <v>263811</v>
      </c>
      <c r="AN94" s="18">
        <v>22178</v>
      </c>
      <c r="AO94" s="18">
        <v>1837</v>
      </c>
      <c r="AP94" s="18">
        <v>836.45161290322585</v>
      </c>
      <c r="AQ94" s="18">
        <v>1200.6451612903227</v>
      </c>
      <c r="AR94" s="18">
        <v>448050</v>
      </c>
      <c r="AS94" s="18">
        <v>36427</v>
      </c>
      <c r="AT94" s="18">
        <v>3323</v>
      </c>
      <c r="AU94" s="18">
        <v>1106.8333333333333</v>
      </c>
      <c r="AV94" s="18">
        <v>1200</v>
      </c>
      <c r="AW94" s="18">
        <v>433359</v>
      </c>
      <c r="AX94" s="18">
        <v>40867</v>
      </c>
      <c r="AY94" s="18">
        <v>6540</v>
      </c>
      <c r="AZ94" s="18">
        <v>1161.6129032258063</v>
      </c>
      <c r="BA94" s="18">
        <v>1196.7741935483871</v>
      </c>
      <c r="BB94" s="18">
        <v>403530</v>
      </c>
      <c r="BC94" s="18">
        <v>42251</v>
      </c>
      <c r="BD94" s="18">
        <v>6799</v>
      </c>
      <c r="BE94" s="18">
        <v>1132.6666666666667</v>
      </c>
      <c r="BF94" s="18">
        <v>1179.3333333333333</v>
      </c>
      <c r="BG94" s="18">
        <v>399742</v>
      </c>
      <c r="BH94" s="18">
        <v>33712</v>
      </c>
      <c r="BI94" s="18">
        <v>6082</v>
      </c>
      <c r="BJ94" s="18">
        <v>1090.6451612903227</v>
      </c>
      <c r="BK94" s="18">
        <v>1153.2258064516129</v>
      </c>
    </row>
    <row r="95" spans="1:63" x14ac:dyDescent="0.35">
      <c r="A95" s="19">
        <v>91</v>
      </c>
      <c r="B95" s="21" t="s">
        <v>201</v>
      </c>
      <c r="C95" s="21" t="s">
        <v>202</v>
      </c>
      <c r="D95" s="18">
        <v>226484</v>
      </c>
      <c r="E95" s="18">
        <v>26978</v>
      </c>
      <c r="F95" s="18">
        <v>4486</v>
      </c>
      <c r="G95" s="18">
        <v>656.29032258064512</v>
      </c>
      <c r="H95" s="18">
        <v>1065.8064516129032</v>
      </c>
      <c r="I95" s="18">
        <v>221611</v>
      </c>
      <c r="J95" s="18">
        <v>30009</v>
      </c>
      <c r="K95" s="18">
        <v>2831</v>
      </c>
      <c r="L95" s="18">
        <v>669.46428571428567</v>
      </c>
      <c r="M95" s="18">
        <v>1406.4285714285713</v>
      </c>
      <c r="N95" s="18">
        <v>243227</v>
      </c>
      <c r="O95" s="18">
        <v>37704</v>
      </c>
      <c r="P95" s="18">
        <v>0</v>
      </c>
      <c r="Q95" s="18">
        <v>695</v>
      </c>
      <c r="R95" s="18">
        <v>1590.3225806451612</v>
      </c>
      <c r="S95" s="18">
        <v>264813</v>
      </c>
      <c r="T95" s="18">
        <v>31239</v>
      </c>
      <c r="U95" s="18">
        <v>381</v>
      </c>
      <c r="V95" s="18">
        <v>695</v>
      </c>
      <c r="W95" s="18">
        <v>1353.6666666666667</v>
      </c>
      <c r="X95" s="18">
        <v>257291</v>
      </c>
      <c r="Y95" s="18">
        <v>31973</v>
      </c>
      <c r="Z95" s="18">
        <v>1492</v>
      </c>
      <c r="AA95" s="18">
        <v>741.61290322580646</v>
      </c>
      <c r="AB95" s="18">
        <v>1194.8387096774193</v>
      </c>
      <c r="AC95" s="18">
        <v>215133</v>
      </c>
      <c r="AD95" s="18">
        <v>30731</v>
      </c>
      <c r="AE95" s="18">
        <v>1213</v>
      </c>
      <c r="AF95" s="18">
        <v>731.66666666666663</v>
      </c>
      <c r="AG95" s="18">
        <v>1182.3333333333333</v>
      </c>
      <c r="AH95" s="18">
        <v>212724</v>
      </c>
      <c r="AI95" s="18">
        <v>30200</v>
      </c>
      <c r="AJ95" s="18">
        <v>0</v>
      </c>
      <c r="AK95" s="18">
        <v>747.58064516129036</v>
      </c>
      <c r="AL95" s="18">
        <v>1199.0322580645161</v>
      </c>
      <c r="AM95" s="18">
        <v>161944</v>
      </c>
      <c r="AN95" s="18">
        <v>7974</v>
      </c>
      <c r="AO95" s="18">
        <v>0</v>
      </c>
      <c r="AP95" s="18">
        <v>836.45161290322585</v>
      </c>
      <c r="AQ95" s="18">
        <v>1199.6774193548388</v>
      </c>
      <c r="AR95" s="18">
        <v>202043</v>
      </c>
      <c r="AS95" s="18">
        <v>19253</v>
      </c>
      <c r="AT95" s="18">
        <v>0</v>
      </c>
      <c r="AU95" s="18">
        <v>1106.8333333333333</v>
      </c>
      <c r="AV95" s="18">
        <v>1199</v>
      </c>
      <c r="AW95" s="18">
        <v>230023</v>
      </c>
      <c r="AX95" s="18">
        <v>19524</v>
      </c>
      <c r="AY95" s="18">
        <v>0</v>
      </c>
      <c r="AZ95" s="18">
        <v>1161.6129032258063</v>
      </c>
      <c r="BA95" s="18">
        <v>1196.7741935483871</v>
      </c>
      <c r="BB95" s="18">
        <v>211613</v>
      </c>
      <c r="BC95" s="18">
        <v>25503</v>
      </c>
      <c r="BD95" s="18">
        <v>0</v>
      </c>
      <c r="BE95" s="18">
        <v>1132.6666666666667</v>
      </c>
      <c r="BF95" s="18">
        <v>1179.3333333333333</v>
      </c>
      <c r="BG95" s="18">
        <v>206031</v>
      </c>
      <c r="BH95" s="18">
        <v>13165</v>
      </c>
      <c r="BI95" s="18">
        <v>0</v>
      </c>
      <c r="BJ95" s="18">
        <v>1090.3225806451612</v>
      </c>
      <c r="BK95" s="18">
        <v>1151.6129032258063</v>
      </c>
    </row>
    <row r="96" spans="1:63" x14ac:dyDescent="0.35">
      <c r="A96" s="19">
        <v>92</v>
      </c>
      <c r="B96" s="20" t="s">
        <v>203</v>
      </c>
      <c r="C96" s="20" t="s">
        <v>204</v>
      </c>
      <c r="D96" s="18">
        <v>275290</v>
      </c>
      <c r="E96" s="18">
        <v>26073</v>
      </c>
      <c r="F96" s="18">
        <v>1139</v>
      </c>
      <c r="G96" s="18">
        <v>673.38709677419354</v>
      </c>
      <c r="H96" s="18">
        <v>1080.8064516129032</v>
      </c>
      <c r="I96" s="18">
        <v>236877</v>
      </c>
      <c r="J96" s="18">
        <v>22911</v>
      </c>
      <c r="K96" s="18">
        <v>1154</v>
      </c>
      <c r="L96" s="18">
        <v>691.25</v>
      </c>
      <c r="M96" s="18">
        <v>1387.1428571428571</v>
      </c>
      <c r="N96" s="18">
        <v>324795</v>
      </c>
      <c r="O96" s="18">
        <v>34023</v>
      </c>
      <c r="P96" s="18">
        <v>878</v>
      </c>
      <c r="Q96" s="18">
        <v>695</v>
      </c>
      <c r="R96" s="18">
        <v>1604.8387096774193</v>
      </c>
      <c r="S96" s="18">
        <v>265021</v>
      </c>
      <c r="T96" s="18">
        <v>45210</v>
      </c>
      <c r="U96" s="18">
        <v>1006</v>
      </c>
      <c r="V96" s="18">
        <v>700.5</v>
      </c>
      <c r="W96" s="18">
        <v>1440</v>
      </c>
      <c r="X96" s="18">
        <v>199932</v>
      </c>
      <c r="Y96" s="18">
        <v>35589</v>
      </c>
      <c r="Z96" s="18">
        <v>643</v>
      </c>
      <c r="AA96" s="18">
        <v>803.54838709677415</v>
      </c>
      <c r="AB96" s="18">
        <v>1254.516129032258</v>
      </c>
      <c r="AC96" s="18">
        <v>198015</v>
      </c>
      <c r="AD96" s="18">
        <v>33787</v>
      </c>
      <c r="AE96" s="18">
        <v>872</v>
      </c>
      <c r="AF96" s="18">
        <v>764.33333333333337</v>
      </c>
      <c r="AG96" s="18">
        <v>1218</v>
      </c>
      <c r="AH96" s="18">
        <v>209066</v>
      </c>
      <c r="AI96" s="18">
        <v>21913</v>
      </c>
      <c r="AJ96" s="18">
        <v>858</v>
      </c>
      <c r="AK96" s="18">
        <v>774.51612903225805</v>
      </c>
      <c r="AL96" s="18">
        <v>1221.6129032258063</v>
      </c>
      <c r="AM96" s="18">
        <v>136791</v>
      </c>
      <c r="AN96" s="18">
        <v>24534</v>
      </c>
      <c r="AO96" s="18">
        <v>580</v>
      </c>
      <c r="AP96" s="18">
        <v>884.19354838709683</v>
      </c>
      <c r="AQ96" s="18">
        <v>1220</v>
      </c>
      <c r="AR96" s="18">
        <v>141211</v>
      </c>
      <c r="AS96" s="18">
        <v>28886</v>
      </c>
      <c r="AT96" s="18">
        <v>755</v>
      </c>
      <c r="AU96" s="18">
        <v>1146.3333333333333</v>
      </c>
      <c r="AV96" s="18">
        <v>1220</v>
      </c>
      <c r="AW96" s="18">
        <v>206224</v>
      </c>
      <c r="AX96" s="18">
        <v>43468</v>
      </c>
      <c r="AY96" s="18">
        <v>897</v>
      </c>
      <c r="AZ96" s="18">
        <v>1219.3548387096773</v>
      </c>
      <c r="BA96" s="18">
        <v>1220</v>
      </c>
      <c r="BB96" s="18">
        <v>194569</v>
      </c>
      <c r="BC96" s="18">
        <v>39012</v>
      </c>
      <c r="BD96" s="18">
        <v>687</v>
      </c>
      <c r="BE96" s="18">
        <v>1157.3333333333333</v>
      </c>
      <c r="BF96" s="18">
        <v>1212.6666666666667</v>
      </c>
      <c r="BG96" s="18">
        <v>216036</v>
      </c>
      <c r="BH96" s="18">
        <v>51147</v>
      </c>
      <c r="BI96" s="18">
        <v>368</v>
      </c>
      <c r="BJ96" s="18">
        <v>1100.3225806451612</v>
      </c>
      <c r="BK96" s="18">
        <v>1200</v>
      </c>
    </row>
    <row r="97" spans="1:63" x14ac:dyDescent="0.35">
      <c r="A97" s="19">
        <v>93</v>
      </c>
      <c r="B97" s="20" t="s">
        <v>205</v>
      </c>
      <c r="C97" s="20" t="s">
        <v>206</v>
      </c>
      <c r="D97" s="18">
        <v>335503</v>
      </c>
      <c r="E97" s="18">
        <v>28027</v>
      </c>
      <c r="F97" s="18">
        <v>0</v>
      </c>
      <c r="G97" s="18">
        <v>659.67741935483866</v>
      </c>
      <c r="H97" s="18">
        <v>1057.741935483871</v>
      </c>
      <c r="I97" s="18">
        <v>350467</v>
      </c>
      <c r="J97" s="18">
        <v>12324</v>
      </c>
      <c r="K97" s="18">
        <v>0</v>
      </c>
      <c r="L97" s="18">
        <v>669.46428571428567</v>
      </c>
      <c r="M97" s="18">
        <v>1406.4285714285713</v>
      </c>
      <c r="N97" s="18">
        <v>279105</v>
      </c>
      <c r="O97" s="18">
        <v>22293</v>
      </c>
      <c r="P97" s="18">
        <v>0</v>
      </c>
      <c r="Q97" s="18">
        <v>695</v>
      </c>
      <c r="R97" s="18">
        <v>1590.3225806451612</v>
      </c>
      <c r="S97" s="18">
        <v>353780</v>
      </c>
      <c r="T97" s="18">
        <v>18379</v>
      </c>
      <c r="U97" s="18">
        <v>0</v>
      </c>
      <c r="V97" s="18">
        <v>695</v>
      </c>
      <c r="W97" s="18">
        <v>1340.3333333333333</v>
      </c>
      <c r="X97" s="18">
        <v>356896</v>
      </c>
      <c r="Y97" s="18">
        <v>22751</v>
      </c>
      <c r="Z97" s="18">
        <v>0</v>
      </c>
      <c r="AA97" s="18">
        <v>750.16129032258061</v>
      </c>
      <c r="AB97" s="18">
        <v>1197.4193548387098</v>
      </c>
      <c r="AC97" s="18">
        <v>341761</v>
      </c>
      <c r="AD97" s="18">
        <v>20765</v>
      </c>
      <c r="AE97" s="18">
        <v>0</v>
      </c>
      <c r="AF97" s="18">
        <v>733.33333333333337</v>
      </c>
      <c r="AG97" s="18">
        <v>1183.3333333333333</v>
      </c>
      <c r="AH97" s="18">
        <v>338742</v>
      </c>
      <c r="AI97" s="18">
        <v>16568</v>
      </c>
      <c r="AJ97" s="18">
        <v>0</v>
      </c>
      <c r="AK97" s="18">
        <v>759.51612903225805</v>
      </c>
      <c r="AL97" s="18">
        <v>1190.9677419354839</v>
      </c>
      <c r="AM97" s="18">
        <v>188995</v>
      </c>
      <c r="AN97" s="18">
        <v>20990</v>
      </c>
      <c r="AO97" s="18">
        <v>0</v>
      </c>
      <c r="AP97" s="18">
        <v>867.09677419354841</v>
      </c>
      <c r="AQ97" s="18">
        <v>1190</v>
      </c>
      <c r="AR97" s="18">
        <v>266566</v>
      </c>
      <c r="AS97" s="18">
        <v>24589</v>
      </c>
      <c r="AT97" s="18">
        <v>0</v>
      </c>
      <c r="AU97" s="18">
        <v>1117.5</v>
      </c>
      <c r="AV97" s="18">
        <v>1190</v>
      </c>
      <c r="AW97" s="18">
        <v>267551</v>
      </c>
      <c r="AX97" s="18">
        <v>31570</v>
      </c>
      <c r="AY97" s="18">
        <v>0</v>
      </c>
      <c r="AZ97" s="18">
        <v>1162.258064516129</v>
      </c>
      <c r="BA97" s="18">
        <v>1194.8387096774193</v>
      </c>
      <c r="BB97" s="18">
        <v>268924</v>
      </c>
      <c r="BC97" s="18">
        <v>33535</v>
      </c>
      <c r="BD97" s="18">
        <v>0</v>
      </c>
      <c r="BE97" s="18">
        <v>1132.6666666666667</v>
      </c>
      <c r="BF97" s="18">
        <v>1179.3333333333333</v>
      </c>
      <c r="BG97" s="18">
        <v>237316</v>
      </c>
      <c r="BH97" s="18">
        <v>33053</v>
      </c>
      <c r="BI97" s="18">
        <v>0</v>
      </c>
      <c r="BJ97" s="18">
        <v>1088.0645161290322</v>
      </c>
      <c r="BK97" s="18">
        <v>1153.2258064516129</v>
      </c>
    </row>
    <row r="98" spans="1:63" x14ac:dyDescent="0.35">
      <c r="A98" s="19">
        <v>94</v>
      </c>
      <c r="B98" s="20" t="s">
        <v>207</v>
      </c>
      <c r="C98" s="20" t="s">
        <v>208</v>
      </c>
      <c r="D98" s="18">
        <v>370323</v>
      </c>
      <c r="E98" s="18">
        <v>38596</v>
      </c>
      <c r="F98" s="18">
        <v>1435</v>
      </c>
      <c r="G98" s="18">
        <v>683.38709677419354</v>
      </c>
      <c r="H98" s="18">
        <v>1080.8064516129032</v>
      </c>
      <c r="I98" s="18">
        <v>252844</v>
      </c>
      <c r="J98" s="18">
        <v>28794</v>
      </c>
      <c r="K98" s="18">
        <v>832</v>
      </c>
      <c r="L98" s="18">
        <v>695.89285714285711</v>
      </c>
      <c r="M98" s="18">
        <v>1408.5714285714287</v>
      </c>
      <c r="N98" s="18">
        <v>268660</v>
      </c>
      <c r="O98" s="18">
        <v>27995</v>
      </c>
      <c r="P98" s="18">
        <v>3916</v>
      </c>
      <c r="Q98" s="18">
        <v>700</v>
      </c>
      <c r="R98" s="18">
        <v>1604.8387096774193</v>
      </c>
      <c r="S98" s="18">
        <v>295694</v>
      </c>
      <c r="T98" s="18">
        <v>57857</v>
      </c>
      <c r="U98" s="18">
        <v>4522</v>
      </c>
      <c r="V98" s="18">
        <v>707</v>
      </c>
      <c r="W98" s="18">
        <v>1440</v>
      </c>
      <c r="X98" s="18">
        <v>220544</v>
      </c>
      <c r="Y98" s="18">
        <v>44931</v>
      </c>
      <c r="Z98" s="18">
        <v>5784</v>
      </c>
      <c r="AA98" s="18">
        <v>808.06451612903231</v>
      </c>
      <c r="AB98" s="18">
        <v>1267.4193548387098</v>
      </c>
      <c r="AC98" s="18">
        <v>224116</v>
      </c>
      <c r="AD98" s="18">
        <v>30535</v>
      </c>
      <c r="AE98" s="18">
        <v>75</v>
      </c>
      <c r="AF98" s="18">
        <v>779.66666666666663</v>
      </c>
      <c r="AG98" s="18">
        <v>1248</v>
      </c>
      <c r="AH98" s="18">
        <v>305692</v>
      </c>
      <c r="AI98" s="18">
        <v>31433</v>
      </c>
      <c r="AJ98" s="18">
        <v>2107</v>
      </c>
      <c r="AK98" s="18">
        <v>783.87096774193549</v>
      </c>
      <c r="AL98" s="18">
        <v>1220</v>
      </c>
      <c r="AM98" s="18">
        <v>140266</v>
      </c>
      <c r="AN98" s="18">
        <v>32761</v>
      </c>
      <c r="AO98" s="18">
        <v>2645</v>
      </c>
      <c r="AP98" s="18">
        <v>883.22580645161293</v>
      </c>
      <c r="AQ98" s="18">
        <v>1220</v>
      </c>
      <c r="AR98" s="18">
        <v>203968</v>
      </c>
      <c r="AS98" s="18">
        <v>26054</v>
      </c>
      <c r="AT98" s="18">
        <v>1069</v>
      </c>
      <c r="AU98" s="18">
        <v>1170.6666666666667</v>
      </c>
      <c r="AV98" s="18">
        <v>1220</v>
      </c>
      <c r="AW98" s="18">
        <v>209824</v>
      </c>
      <c r="AX98" s="18">
        <v>35826</v>
      </c>
      <c r="AY98" s="18">
        <v>1601</v>
      </c>
      <c r="AZ98" s="18">
        <v>1223.2258064516129</v>
      </c>
      <c r="BA98" s="18">
        <v>1220</v>
      </c>
      <c r="BB98" s="18">
        <v>244104</v>
      </c>
      <c r="BC98" s="18">
        <v>40692</v>
      </c>
      <c r="BD98" s="18">
        <v>768</v>
      </c>
      <c r="BE98" s="18">
        <v>1160.6666666666667</v>
      </c>
      <c r="BF98" s="18">
        <v>1220</v>
      </c>
      <c r="BG98" s="18">
        <v>245849</v>
      </c>
      <c r="BH98" s="18">
        <v>28186</v>
      </c>
      <c r="BI98" s="18">
        <v>586</v>
      </c>
      <c r="BJ98" s="18">
        <v>1103.2258064516129</v>
      </c>
      <c r="BK98" s="18">
        <v>1198.7096774193549</v>
      </c>
    </row>
    <row r="99" spans="1:63" x14ac:dyDescent="0.35">
      <c r="A99" s="19">
        <v>95</v>
      </c>
      <c r="B99" s="21" t="s">
        <v>209</v>
      </c>
      <c r="C99" s="21" t="s">
        <v>210</v>
      </c>
      <c r="D99" s="18">
        <v>227499</v>
      </c>
      <c r="E99" s="18">
        <v>30824</v>
      </c>
      <c r="F99" s="18">
        <v>0</v>
      </c>
      <c r="G99" s="18">
        <v>660</v>
      </c>
      <c r="H99" s="18">
        <v>1057.9032258064517</v>
      </c>
      <c r="I99" s="18">
        <v>231488</v>
      </c>
      <c r="J99" s="18">
        <v>30344</v>
      </c>
      <c r="K99" s="18">
        <v>0</v>
      </c>
      <c r="L99" s="18">
        <v>669.10714285714289</v>
      </c>
      <c r="M99" s="18">
        <v>1406.4285714285713</v>
      </c>
      <c r="N99" s="18">
        <v>194070</v>
      </c>
      <c r="O99" s="18">
        <v>33602</v>
      </c>
      <c r="P99" s="18">
        <v>0</v>
      </c>
      <c r="Q99" s="18">
        <v>695</v>
      </c>
      <c r="R99" s="18">
        <v>1590.3225806451612</v>
      </c>
      <c r="S99" s="18">
        <v>269142</v>
      </c>
      <c r="T99" s="18">
        <v>41658</v>
      </c>
      <c r="U99" s="18">
        <v>0</v>
      </c>
      <c r="V99" s="18">
        <v>695</v>
      </c>
      <c r="W99" s="18">
        <v>1340.3333333333333</v>
      </c>
      <c r="X99" s="18">
        <v>273282</v>
      </c>
      <c r="Y99" s="18">
        <v>38712</v>
      </c>
      <c r="Z99" s="18">
        <v>0</v>
      </c>
      <c r="AA99" s="18">
        <v>750.32258064516134</v>
      </c>
      <c r="AB99" s="18">
        <v>1197.4193548387098</v>
      </c>
      <c r="AC99" s="18">
        <v>228442</v>
      </c>
      <c r="AD99" s="18">
        <v>35869</v>
      </c>
      <c r="AE99" s="18">
        <v>0</v>
      </c>
      <c r="AF99" s="18">
        <v>732.33333333333337</v>
      </c>
      <c r="AG99" s="18">
        <v>1182.3333333333333</v>
      </c>
      <c r="AH99" s="18">
        <v>244753</v>
      </c>
      <c r="AI99" s="18">
        <v>34307</v>
      </c>
      <c r="AJ99" s="18">
        <v>0</v>
      </c>
      <c r="AK99" s="18">
        <v>761.12903225806451</v>
      </c>
      <c r="AL99" s="18">
        <v>1190</v>
      </c>
      <c r="AM99" s="18">
        <v>120584</v>
      </c>
      <c r="AN99" s="18">
        <v>41149</v>
      </c>
      <c r="AO99" s="18">
        <v>0</v>
      </c>
      <c r="AP99" s="18">
        <v>866.45161290322585</v>
      </c>
      <c r="AQ99" s="18">
        <v>1190</v>
      </c>
      <c r="AR99" s="18">
        <v>226868</v>
      </c>
      <c r="AS99" s="18">
        <v>33791</v>
      </c>
      <c r="AT99" s="18">
        <v>0</v>
      </c>
      <c r="AU99" s="18">
        <v>1116.6666666666667</v>
      </c>
      <c r="AV99" s="18">
        <v>1190</v>
      </c>
      <c r="AW99" s="18">
        <v>150186</v>
      </c>
      <c r="AX99" s="18">
        <v>26995</v>
      </c>
      <c r="AY99" s="18">
        <v>0</v>
      </c>
      <c r="AZ99" s="18">
        <v>1162.258064516129</v>
      </c>
      <c r="BA99" s="18">
        <v>1194.8387096774193</v>
      </c>
      <c r="BB99" s="18">
        <v>153721</v>
      </c>
      <c r="BC99" s="18">
        <v>45006</v>
      </c>
      <c r="BD99" s="18">
        <v>0</v>
      </c>
      <c r="BE99" s="18">
        <v>1132.6666666666667</v>
      </c>
      <c r="BF99" s="18">
        <v>1179.3333333333333</v>
      </c>
      <c r="BG99" s="18">
        <v>180562</v>
      </c>
      <c r="BH99" s="18">
        <v>44443</v>
      </c>
      <c r="BI99" s="18">
        <v>0</v>
      </c>
      <c r="BJ99" s="18">
        <v>1087.4193548387098</v>
      </c>
      <c r="BK99" s="18">
        <v>1153.2258064516129</v>
      </c>
    </row>
    <row r="100" spans="1:63" x14ac:dyDescent="0.35">
      <c r="A100" s="19">
        <v>96</v>
      </c>
      <c r="B100" s="21" t="s">
        <v>211</v>
      </c>
      <c r="C100" s="21" t="s">
        <v>212</v>
      </c>
      <c r="D100" s="18">
        <v>204727</v>
      </c>
      <c r="E100" s="18">
        <v>79220</v>
      </c>
      <c r="F100" s="18">
        <v>0</v>
      </c>
      <c r="G100" s="18">
        <v>635.64516129032256</v>
      </c>
      <c r="H100" s="18">
        <v>1037.9032258064517</v>
      </c>
      <c r="I100" s="18">
        <v>175274</v>
      </c>
      <c r="J100" s="18">
        <v>77055</v>
      </c>
      <c r="K100" s="18">
        <v>0</v>
      </c>
      <c r="L100" s="18">
        <v>652.5</v>
      </c>
      <c r="M100" s="18">
        <v>1362.5</v>
      </c>
      <c r="N100" s="18">
        <v>189879</v>
      </c>
      <c r="O100" s="18">
        <v>93052</v>
      </c>
      <c r="P100" s="18">
        <v>0</v>
      </c>
      <c r="Q100" s="18">
        <v>675</v>
      </c>
      <c r="R100" s="18">
        <v>1599.0322580645161</v>
      </c>
      <c r="S100" s="18">
        <v>148004</v>
      </c>
      <c r="T100" s="18">
        <v>71547</v>
      </c>
      <c r="U100" s="18">
        <v>0</v>
      </c>
      <c r="V100" s="18">
        <v>677.33333333333337</v>
      </c>
      <c r="W100" s="18">
        <v>1417.8333333333333</v>
      </c>
      <c r="X100" s="18">
        <v>212873</v>
      </c>
      <c r="Y100" s="18">
        <v>121589</v>
      </c>
      <c r="Z100" s="18">
        <v>0</v>
      </c>
      <c r="AA100" s="18">
        <v>739.51612903225805</v>
      </c>
      <c r="AB100" s="18">
        <v>1200</v>
      </c>
      <c r="AC100" s="18">
        <v>158810</v>
      </c>
      <c r="AD100" s="18">
        <v>70942</v>
      </c>
      <c r="AE100" s="18">
        <v>0</v>
      </c>
      <c r="AF100" s="18">
        <v>716.16666666666663</v>
      </c>
      <c r="AG100" s="18">
        <v>1200</v>
      </c>
      <c r="AH100" s="18">
        <v>200682</v>
      </c>
      <c r="AI100" s="18">
        <v>61074</v>
      </c>
      <c r="AJ100" s="18">
        <v>0</v>
      </c>
      <c r="AK100" s="18">
        <v>729.51612903225805</v>
      </c>
      <c r="AL100" s="18">
        <v>1220</v>
      </c>
      <c r="AM100" s="18">
        <v>306126</v>
      </c>
      <c r="AN100" s="18">
        <v>54659</v>
      </c>
      <c r="AO100" s="18">
        <v>0</v>
      </c>
      <c r="AP100" s="18">
        <v>817.25806451612902</v>
      </c>
      <c r="AQ100" s="18">
        <v>1195.483870967742</v>
      </c>
      <c r="AR100" s="18">
        <v>191722</v>
      </c>
      <c r="AS100" s="18">
        <v>80647</v>
      </c>
      <c r="AT100" s="18">
        <v>0</v>
      </c>
      <c r="AU100" s="18">
        <v>1104.6666666666667</v>
      </c>
      <c r="AV100" s="18">
        <v>1180</v>
      </c>
      <c r="AW100" s="18">
        <v>142285</v>
      </c>
      <c r="AX100" s="18">
        <v>106459</v>
      </c>
      <c r="AY100" s="18">
        <v>0</v>
      </c>
      <c r="AZ100" s="18">
        <v>1156.7741935483871</v>
      </c>
      <c r="BA100" s="18">
        <v>1187.741935483871</v>
      </c>
      <c r="BB100" s="18">
        <v>164960</v>
      </c>
      <c r="BC100" s="18">
        <v>136758</v>
      </c>
      <c r="BD100" s="18">
        <v>0</v>
      </c>
      <c r="BE100" s="18">
        <v>1117.3333333333333</v>
      </c>
      <c r="BF100" s="18">
        <v>1180</v>
      </c>
      <c r="BG100" s="18">
        <v>235122</v>
      </c>
      <c r="BH100" s="18">
        <v>135046</v>
      </c>
      <c r="BI100" s="18">
        <v>0</v>
      </c>
      <c r="BJ100" s="18">
        <v>1067.0967741935483</v>
      </c>
      <c r="BK100" s="18">
        <v>1180</v>
      </c>
    </row>
    <row r="101" spans="1:63" x14ac:dyDescent="0.35">
      <c r="A101" s="19">
        <v>97</v>
      </c>
      <c r="B101" s="20" t="s">
        <v>213</v>
      </c>
      <c r="C101" s="20" t="s">
        <v>214</v>
      </c>
      <c r="D101" s="18">
        <v>240338</v>
      </c>
      <c r="E101" s="18">
        <v>45036</v>
      </c>
      <c r="F101" s="18">
        <v>0</v>
      </c>
      <c r="G101" s="18">
        <v>639.67741935483866</v>
      </c>
      <c r="H101" s="18">
        <v>1053.7096774193549</v>
      </c>
      <c r="I101" s="18">
        <v>281587</v>
      </c>
      <c r="J101" s="18">
        <v>40106</v>
      </c>
      <c r="K101" s="18">
        <v>0</v>
      </c>
      <c r="L101" s="18">
        <v>659.28571428571433</v>
      </c>
      <c r="M101" s="18">
        <v>1406.4285714285713</v>
      </c>
      <c r="N101" s="18">
        <v>308001</v>
      </c>
      <c r="O101" s="18">
        <v>56496</v>
      </c>
      <c r="P101" s="18">
        <v>0</v>
      </c>
      <c r="Q101" s="18">
        <v>679.0322580645161</v>
      </c>
      <c r="R101" s="18">
        <v>1585.483870967742</v>
      </c>
      <c r="S101" s="18">
        <v>278732</v>
      </c>
      <c r="T101" s="18">
        <v>43424</v>
      </c>
      <c r="U101" s="18">
        <v>0</v>
      </c>
      <c r="V101" s="18">
        <v>690</v>
      </c>
      <c r="W101" s="18">
        <v>1339.3333333333333</v>
      </c>
      <c r="X101" s="18">
        <v>311970</v>
      </c>
      <c r="Y101" s="18">
        <v>46180</v>
      </c>
      <c r="Z101" s="18">
        <v>0</v>
      </c>
      <c r="AA101" s="18">
        <v>729.67741935483866</v>
      </c>
      <c r="AB101" s="18">
        <v>1167.741935483871</v>
      </c>
      <c r="AC101" s="18">
        <v>206272</v>
      </c>
      <c r="AD101" s="18">
        <v>53066</v>
      </c>
      <c r="AE101" s="18">
        <v>0</v>
      </c>
      <c r="AF101" s="18">
        <v>720.66666666666663</v>
      </c>
      <c r="AG101" s="18">
        <v>1141.3333333333333</v>
      </c>
      <c r="AH101" s="18">
        <v>301823</v>
      </c>
      <c r="AI101" s="18">
        <v>54825</v>
      </c>
      <c r="AJ101" s="18">
        <v>0</v>
      </c>
      <c r="AK101" s="18">
        <v>743.22580645161293</v>
      </c>
      <c r="AL101" s="18">
        <v>1187.0967741935483</v>
      </c>
      <c r="AM101" s="18">
        <v>274068</v>
      </c>
      <c r="AN101" s="18">
        <v>52891</v>
      </c>
      <c r="AO101" s="18">
        <v>0</v>
      </c>
      <c r="AP101" s="18">
        <v>841.61290322580646</v>
      </c>
      <c r="AQ101" s="18">
        <v>1190</v>
      </c>
      <c r="AR101" s="18">
        <v>247150</v>
      </c>
      <c r="AS101" s="18">
        <v>51963</v>
      </c>
      <c r="AT101" s="18">
        <v>0</v>
      </c>
      <c r="AU101" s="18">
        <v>1107.5</v>
      </c>
      <c r="AV101" s="18">
        <v>1190</v>
      </c>
      <c r="AW101" s="18">
        <v>211452</v>
      </c>
      <c r="AX101" s="18">
        <v>49225</v>
      </c>
      <c r="AY101" s="18">
        <v>650</v>
      </c>
      <c r="AZ101" s="18">
        <v>1163.2258064516129</v>
      </c>
      <c r="BA101" s="18">
        <v>1190</v>
      </c>
      <c r="BB101" s="18">
        <v>149202</v>
      </c>
      <c r="BC101" s="18">
        <v>73423</v>
      </c>
      <c r="BD101" s="18">
        <v>0</v>
      </c>
      <c r="BE101" s="18">
        <v>1131.3333333333333</v>
      </c>
      <c r="BF101" s="18">
        <v>1179.3333333333333</v>
      </c>
      <c r="BG101" s="18">
        <v>145126</v>
      </c>
      <c r="BH101" s="18">
        <v>42495</v>
      </c>
      <c r="BI101" s="18">
        <v>0</v>
      </c>
      <c r="BJ101" s="18">
        <v>1075.483870967742</v>
      </c>
      <c r="BK101" s="18">
        <v>1153.8709677419354</v>
      </c>
    </row>
    <row r="102" spans="1:63" x14ac:dyDescent="0.35">
      <c r="A102" s="19">
        <v>98</v>
      </c>
      <c r="B102" s="20" t="s">
        <v>215</v>
      </c>
      <c r="C102" s="20" t="s">
        <v>216</v>
      </c>
      <c r="D102" s="18">
        <v>344348</v>
      </c>
      <c r="E102" s="18">
        <v>22381</v>
      </c>
      <c r="F102" s="18">
        <v>0</v>
      </c>
      <c r="G102" s="18">
        <v>639.67741935483866</v>
      </c>
      <c r="H102" s="18">
        <v>1053.5483870967741</v>
      </c>
      <c r="I102" s="18">
        <v>309011</v>
      </c>
      <c r="J102" s="18">
        <v>21334</v>
      </c>
      <c r="K102" s="18">
        <v>0</v>
      </c>
      <c r="L102" s="18">
        <v>659.28571428571433</v>
      </c>
      <c r="M102" s="18">
        <v>1406.4285714285713</v>
      </c>
      <c r="N102" s="18">
        <v>316435</v>
      </c>
      <c r="O102" s="18">
        <v>25403</v>
      </c>
      <c r="P102" s="18">
        <v>0</v>
      </c>
      <c r="Q102" s="18">
        <v>679.0322580645161</v>
      </c>
      <c r="R102" s="18">
        <v>1585.483870967742</v>
      </c>
      <c r="S102" s="18">
        <v>306032</v>
      </c>
      <c r="T102" s="18">
        <v>22348</v>
      </c>
      <c r="U102" s="18">
        <v>0</v>
      </c>
      <c r="V102" s="18">
        <v>690</v>
      </c>
      <c r="W102" s="18">
        <v>1341</v>
      </c>
      <c r="X102" s="18">
        <v>314463</v>
      </c>
      <c r="Y102" s="18">
        <v>22219</v>
      </c>
      <c r="Z102" s="18">
        <v>0</v>
      </c>
      <c r="AA102" s="18">
        <v>728.54838709677415</v>
      </c>
      <c r="AB102" s="18">
        <v>1167.741935483871</v>
      </c>
      <c r="AC102" s="18">
        <v>243714</v>
      </c>
      <c r="AD102" s="18">
        <v>19024</v>
      </c>
      <c r="AE102" s="18">
        <v>0</v>
      </c>
      <c r="AF102" s="18">
        <v>720.66666666666663</v>
      </c>
      <c r="AG102" s="18">
        <v>1141.3333333333333</v>
      </c>
      <c r="AH102" s="18">
        <v>225809</v>
      </c>
      <c r="AI102" s="18">
        <v>16092</v>
      </c>
      <c r="AJ102" s="18">
        <v>0</v>
      </c>
      <c r="AK102" s="18">
        <v>742.25806451612902</v>
      </c>
      <c r="AL102" s="18">
        <v>1187.0967741935483</v>
      </c>
      <c r="AM102" s="18">
        <v>90</v>
      </c>
      <c r="AN102" s="18">
        <v>544</v>
      </c>
      <c r="AO102" s="18">
        <v>0</v>
      </c>
      <c r="AP102" s="18">
        <v>840.9677419354839</v>
      </c>
      <c r="AQ102" s="18">
        <v>1190</v>
      </c>
      <c r="AR102" s="18">
        <v>119595</v>
      </c>
      <c r="AS102" s="18">
        <v>7800</v>
      </c>
      <c r="AT102" s="18">
        <v>0</v>
      </c>
      <c r="AU102" s="18">
        <v>1106.3333333333333</v>
      </c>
      <c r="AV102" s="18">
        <v>1190</v>
      </c>
      <c r="AW102" s="18">
        <v>300153</v>
      </c>
      <c r="AX102" s="18">
        <v>13858</v>
      </c>
      <c r="AY102" s="18">
        <v>0</v>
      </c>
      <c r="AZ102" s="18">
        <v>1163.2258064516129</v>
      </c>
      <c r="BA102" s="18">
        <v>1190</v>
      </c>
      <c r="BB102" s="18">
        <v>261553</v>
      </c>
      <c r="BC102" s="18">
        <v>15424</v>
      </c>
      <c r="BD102" s="18">
        <v>0</v>
      </c>
      <c r="BE102" s="18">
        <v>1131.3333333333333</v>
      </c>
      <c r="BF102" s="18">
        <v>1179.3333333333333</v>
      </c>
      <c r="BG102" s="18">
        <v>262865</v>
      </c>
      <c r="BH102" s="18">
        <v>13195</v>
      </c>
      <c r="BI102" s="18">
        <v>0</v>
      </c>
      <c r="BJ102" s="18">
        <v>1075.483870967742</v>
      </c>
      <c r="BK102" s="18">
        <v>1154.516129032258</v>
      </c>
    </row>
    <row r="103" spans="1:63" x14ac:dyDescent="0.35">
      <c r="A103" s="19">
        <v>99</v>
      </c>
      <c r="B103" s="20" t="s">
        <v>217</v>
      </c>
      <c r="C103" s="20" t="s">
        <v>218</v>
      </c>
      <c r="D103" s="18">
        <v>169071</v>
      </c>
      <c r="E103" s="18">
        <v>12641</v>
      </c>
      <c r="F103" s="18">
        <v>0</v>
      </c>
      <c r="G103" s="18">
        <v>666.77419354838707</v>
      </c>
      <c r="H103" s="18">
        <v>1080.9677419354839</v>
      </c>
      <c r="I103" s="18">
        <v>132551</v>
      </c>
      <c r="J103" s="18">
        <v>10974</v>
      </c>
      <c r="K103" s="18">
        <v>0</v>
      </c>
      <c r="L103" s="18">
        <v>685.35714285714289</v>
      </c>
      <c r="M103" s="18">
        <v>1385.3571428571429</v>
      </c>
      <c r="N103" s="18">
        <v>163273</v>
      </c>
      <c r="O103" s="18">
        <v>13004</v>
      </c>
      <c r="P103" s="18">
        <v>0</v>
      </c>
      <c r="Q103" s="18">
        <v>695</v>
      </c>
      <c r="R103" s="18">
        <v>1608.0645161290322</v>
      </c>
      <c r="S103" s="18">
        <v>184626</v>
      </c>
      <c r="T103" s="18">
        <v>15534</v>
      </c>
      <c r="U103" s="18">
        <v>0</v>
      </c>
      <c r="V103" s="18">
        <v>700.5333333333333</v>
      </c>
      <c r="W103" s="18">
        <v>1440</v>
      </c>
      <c r="X103" s="18">
        <v>105029</v>
      </c>
      <c r="Y103" s="18">
        <v>10898</v>
      </c>
      <c r="Z103" s="18">
        <v>0</v>
      </c>
      <c r="AA103" s="18">
        <v>804.83870967741939</v>
      </c>
      <c r="AB103" s="18">
        <v>1254.516129032258</v>
      </c>
      <c r="AC103" s="18">
        <v>113903</v>
      </c>
      <c r="AD103" s="18">
        <v>13515</v>
      </c>
      <c r="AE103" s="18">
        <v>0</v>
      </c>
      <c r="AF103" s="18">
        <v>765.33333333333337</v>
      </c>
      <c r="AG103" s="18">
        <v>1219.6666666666667</v>
      </c>
      <c r="AH103" s="18">
        <v>123757</v>
      </c>
      <c r="AI103" s="18">
        <v>13648</v>
      </c>
      <c r="AJ103" s="18">
        <v>0</v>
      </c>
      <c r="AK103" s="18">
        <v>774.83870967741939</v>
      </c>
      <c r="AL103" s="18">
        <v>1221.6129032258063</v>
      </c>
      <c r="AM103" s="18">
        <v>76625</v>
      </c>
      <c r="AN103" s="18">
        <v>12289</v>
      </c>
      <c r="AO103" s="18">
        <v>0</v>
      </c>
      <c r="AP103" s="18">
        <v>879.35483870967744</v>
      </c>
      <c r="AQ103" s="18">
        <v>1227.4193548387098</v>
      </c>
      <c r="AR103" s="18">
        <v>137173</v>
      </c>
      <c r="AS103" s="18">
        <v>9853</v>
      </c>
      <c r="AT103" s="18">
        <v>200</v>
      </c>
      <c r="AU103" s="18">
        <v>1144.3333333333333</v>
      </c>
      <c r="AV103" s="18">
        <v>1220</v>
      </c>
      <c r="AW103" s="18">
        <v>111333</v>
      </c>
      <c r="AX103" s="18">
        <v>12168</v>
      </c>
      <c r="AY103" s="18">
        <v>0</v>
      </c>
      <c r="AZ103" s="18">
        <v>1219.3548387096773</v>
      </c>
      <c r="BA103" s="18">
        <v>1220</v>
      </c>
      <c r="BB103" s="18">
        <v>95350</v>
      </c>
      <c r="BC103" s="18">
        <v>17431</v>
      </c>
      <c r="BD103" s="18">
        <v>0</v>
      </c>
      <c r="BE103" s="18">
        <v>1156.6666666666667</v>
      </c>
      <c r="BF103" s="18">
        <v>1209</v>
      </c>
      <c r="BG103" s="18">
        <v>108733</v>
      </c>
      <c r="BH103" s="18">
        <v>18106</v>
      </c>
      <c r="BI103" s="18">
        <v>200</v>
      </c>
      <c r="BJ103" s="18">
        <v>1100.3225806451612</v>
      </c>
      <c r="BK103" s="18">
        <v>1190</v>
      </c>
    </row>
    <row r="104" spans="1:63" x14ac:dyDescent="0.35">
      <c r="A104" s="19">
        <v>100</v>
      </c>
      <c r="B104" s="20" t="s">
        <v>219</v>
      </c>
      <c r="C104" s="20" t="s">
        <v>220</v>
      </c>
      <c r="D104" s="18">
        <v>206323</v>
      </c>
      <c r="E104" s="18">
        <v>14424</v>
      </c>
      <c r="F104" s="18">
        <v>1371</v>
      </c>
      <c r="G104" s="18">
        <v>666.77419354838707</v>
      </c>
      <c r="H104" s="18">
        <v>1080.8064516129032</v>
      </c>
      <c r="I104" s="18">
        <v>176383</v>
      </c>
      <c r="J104" s="18">
        <v>13138</v>
      </c>
      <c r="K104" s="18">
        <v>0</v>
      </c>
      <c r="L104" s="18">
        <v>687.85714285714289</v>
      </c>
      <c r="M104" s="18">
        <v>1408.5714285714287</v>
      </c>
      <c r="N104" s="18">
        <v>241160</v>
      </c>
      <c r="O104" s="18">
        <v>17142</v>
      </c>
      <c r="P104" s="18">
        <v>198</v>
      </c>
      <c r="Q104" s="18">
        <v>695</v>
      </c>
      <c r="R104" s="18">
        <v>1604.8387096774193</v>
      </c>
      <c r="S104" s="18">
        <v>243571</v>
      </c>
      <c r="T104" s="18">
        <v>16159</v>
      </c>
      <c r="U104" s="18">
        <v>0</v>
      </c>
      <c r="V104" s="18">
        <v>700.5</v>
      </c>
      <c r="W104" s="18">
        <v>1440</v>
      </c>
      <c r="X104" s="18">
        <v>147452</v>
      </c>
      <c r="Y104" s="18">
        <v>9812</v>
      </c>
      <c r="Z104" s="18">
        <v>786</v>
      </c>
      <c r="AA104" s="18">
        <v>804.83870967741939</v>
      </c>
      <c r="AB104" s="18">
        <v>1254.516129032258</v>
      </c>
      <c r="AC104" s="18">
        <v>147549</v>
      </c>
      <c r="AD104" s="18">
        <v>12022</v>
      </c>
      <c r="AE104" s="18">
        <v>1320</v>
      </c>
      <c r="AF104" s="18">
        <v>765.66666666666663</v>
      </c>
      <c r="AG104" s="18">
        <v>1218</v>
      </c>
      <c r="AH104" s="18">
        <v>183537</v>
      </c>
      <c r="AI104" s="18">
        <v>10528</v>
      </c>
      <c r="AJ104" s="18">
        <v>802</v>
      </c>
      <c r="AK104" s="18">
        <v>774.83870967741939</v>
      </c>
      <c r="AL104" s="18">
        <v>1220</v>
      </c>
      <c r="AM104" s="18">
        <v>114957</v>
      </c>
      <c r="AN104" s="18">
        <v>8081</v>
      </c>
      <c r="AO104" s="18">
        <v>676</v>
      </c>
      <c r="AP104" s="18">
        <v>879.35483870967744</v>
      </c>
      <c r="AQ104" s="18">
        <v>1227.4193548387098</v>
      </c>
      <c r="AR104" s="18">
        <v>121930</v>
      </c>
      <c r="AS104" s="18">
        <v>8364</v>
      </c>
      <c r="AT104" s="18">
        <v>1001</v>
      </c>
      <c r="AU104" s="18">
        <v>1144.3333333333333</v>
      </c>
      <c r="AV104" s="18">
        <v>1220</v>
      </c>
      <c r="AW104" s="18">
        <v>168536</v>
      </c>
      <c r="AX104" s="18">
        <v>18353</v>
      </c>
      <c r="AY104" s="18">
        <v>1361</v>
      </c>
      <c r="AZ104" s="18">
        <v>1219.3548387096773</v>
      </c>
      <c r="BA104" s="18">
        <v>1220</v>
      </c>
      <c r="BB104" s="18">
        <v>151471</v>
      </c>
      <c r="BC104" s="18">
        <v>13307</v>
      </c>
      <c r="BD104" s="18">
        <v>944</v>
      </c>
      <c r="BE104" s="18">
        <v>1156.6666666666667</v>
      </c>
      <c r="BF104" s="18">
        <v>1209</v>
      </c>
      <c r="BG104" s="18">
        <v>164663</v>
      </c>
      <c r="BH104" s="18">
        <v>14696</v>
      </c>
      <c r="BI104" s="18">
        <v>1136</v>
      </c>
      <c r="BJ104" s="18">
        <v>1100.3225806451612</v>
      </c>
      <c r="BK104" s="18">
        <v>1190</v>
      </c>
    </row>
    <row r="105" spans="1:63" x14ac:dyDescent="0.35">
      <c r="A105" s="19">
        <v>101</v>
      </c>
      <c r="B105" s="20" t="s">
        <v>221</v>
      </c>
      <c r="C105" s="20" t="s">
        <v>222</v>
      </c>
      <c r="D105" s="18">
        <v>254093</v>
      </c>
      <c r="E105" s="18">
        <v>24024</v>
      </c>
      <c r="F105" s="18">
        <v>0</v>
      </c>
      <c r="G105" s="18">
        <v>650.48387096774195</v>
      </c>
      <c r="H105" s="18">
        <v>1052.741935483871</v>
      </c>
      <c r="I105" s="18">
        <v>241253</v>
      </c>
      <c r="J105" s="18">
        <v>21164</v>
      </c>
      <c r="K105" s="18">
        <v>0</v>
      </c>
      <c r="L105" s="18">
        <v>669.46428571428567</v>
      </c>
      <c r="M105" s="18">
        <v>1399.6071428571429</v>
      </c>
      <c r="N105" s="18">
        <v>178763</v>
      </c>
      <c r="O105" s="18">
        <v>20410</v>
      </c>
      <c r="P105" s="18">
        <v>0</v>
      </c>
      <c r="Q105" s="18">
        <v>695</v>
      </c>
      <c r="R105" s="18">
        <v>1590.3225806451612</v>
      </c>
      <c r="S105" s="18">
        <v>277232</v>
      </c>
      <c r="T105" s="18">
        <v>45069</v>
      </c>
      <c r="U105" s="18">
        <v>0</v>
      </c>
      <c r="V105" s="18">
        <v>694.66666666666663</v>
      </c>
      <c r="W105" s="18">
        <v>1348.3333333333333</v>
      </c>
      <c r="X105" s="18">
        <v>311612</v>
      </c>
      <c r="Y105" s="18">
        <v>30379</v>
      </c>
      <c r="Z105" s="18">
        <v>0</v>
      </c>
      <c r="AA105" s="18">
        <v>742.58064516129036</v>
      </c>
      <c r="AB105" s="18">
        <v>1195.483870967742</v>
      </c>
      <c r="AC105" s="18">
        <v>248158</v>
      </c>
      <c r="AD105" s="18">
        <v>22340</v>
      </c>
      <c r="AE105" s="18">
        <v>0</v>
      </c>
      <c r="AF105" s="18">
        <v>740.33333333333337</v>
      </c>
      <c r="AG105" s="18">
        <v>1201.3333333333333</v>
      </c>
      <c r="AH105" s="18">
        <v>313672</v>
      </c>
      <c r="AI105" s="18">
        <v>21091</v>
      </c>
      <c r="AJ105" s="18">
        <v>0</v>
      </c>
      <c r="AK105" s="18">
        <v>750.80645161290317</v>
      </c>
      <c r="AL105" s="18">
        <v>1220</v>
      </c>
      <c r="AM105" s="18">
        <v>118370</v>
      </c>
      <c r="AN105" s="18">
        <v>12421</v>
      </c>
      <c r="AO105" s="18">
        <v>0</v>
      </c>
      <c r="AP105" s="18">
        <v>867.41935483870964</v>
      </c>
      <c r="AQ105" s="18">
        <v>1220</v>
      </c>
      <c r="AR105" s="18">
        <v>173869</v>
      </c>
      <c r="AS105" s="18">
        <v>14071</v>
      </c>
      <c r="AT105" s="18">
        <v>0</v>
      </c>
      <c r="AU105" s="18">
        <v>1108.8333333333333</v>
      </c>
      <c r="AV105" s="18">
        <v>1220</v>
      </c>
      <c r="AW105" s="18">
        <v>382447</v>
      </c>
      <c r="AX105" s="18">
        <v>22723</v>
      </c>
      <c r="AY105" s="18">
        <v>0</v>
      </c>
      <c r="AZ105" s="18">
        <v>1153.2258064516129</v>
      </c>
      <c r="BA105" s="18">
        <v>1210.3225806451612</v>
      </c>
      <c r="BB105" s="18">
        <v>308387</v>
      </c>
      <c r="BC105" s="18">
        <v>33598</v>
      </c>
      <c r="BD105" s="18">
        <v>0</v>
      </c>
      <c r="BE105" s="18">
        <v>1137</v>
      </c>
      <c r="BF105" s="18">
        <v>1179.3333333333333</v>
      </c>
      <c r="BG105" s="18">
        <v>303100</v>
      </c>
      <c r="BH105" s="18">
        <v>29290</v>
      </c>
      <c r="BI105" s="18">
        <v>0</v>
      </c>
      <c r="BJ105" s="18">
        <v>1081.6129032258063</v>
      </c>
      <c r="BK105" s="18">
        <v>1153.2258064516129</v>
      </c>
    </row>
    <row r="106" spans="1:63" x14ac:dyDescent="0.35">
      <c r="A106" s="19">
        <v>102</v>
      </c>
      <c r="B106" s="20" t="s">
        <v>223</v>
      </c>
      <c r="C106" s="20" t="s">
        <v>224</v>
      </c>
      <c r="D106" s="18">
        <v>381070</v>
      </c>
      <c r="E106" s="18">
        <v>72314</v>
      </c>
      <c r="F106" s="18">
        <v>3308</v>
      </c>
      <c r="G106" s="18">
        <v>656.29032258064512</v>
      </c>
      <c r="H106" s="18">
        <v>1065.8064516129032</v>
      </c>
      <c r="I106" s="18">
        <v>344951</v>
      </c>
      <c r="J106" s="18">
        <v>71817</v>
      </c>
      <c r="K106" s="18">
        <v>2455</v>
      </c>
      <c r="L106" s="18">
        <v>668.75</v>
      </c>
      <c r="M106" s="18">
        <v>1385</v>
      </c>
      <c r="N106" s="18">
        <v>389457</v>
      </c>
      <c r="O106" s="18">
        <v>64183</v>
      </c>
      <c r="P106" s="18">
        <v>2899</v>
      </c>
      <c r="Q106" s="18">
        <v>695</v>
      </c>
      <c r="R106" s="18">
        <v>1590.3225806451612</v>
      </c>
      <c r="S106" s="18">
        <v>439452</v>
      </c>
      <c r="T106" s="18">
        <v>65630</v>
      </c>
      <c r="U106" s="18">
        <v>480</v>
      </c>
      <c r="V106" s="18">
        <v>695</v>
      </c>
      <c r="W106" s="18">
        <v>1353.6666666666667</v>
      </c>
      <c r="X106" s="18">
        <v>310892</v>
      </c>
      <c r="Y106" s="18">
        <v>71083</v>
      </c>
      <c r="Z106" s="18">
        <v>0</v>
      </c>
      <c r="AA106" s="18">
        <v>741.61290322580646</v>
      </c>
      <c r="AB106" s="18">
        <v>1197.4193548387098</v>
      </c>
      <c r="AC106" s="18">
        <v>368458</v>
      </c>
      <c r="AD106" s="18">
        <v>64111</v>
      </c>
      <c r="AE106" s="18">
        <v>1316</v>
      </c>
      <c r="AF106" s="18">
        <v>731.66666666666663</v>
      </c>
      <c r="AG106" s="18">
        <v>1182.3333333333333</v>
      </c>
      <c r="AH106" s="18">
        <v>399594</v>
      </c>
      <c r="AI106" s="18">
        <v>58638</v>
      </c>
      <c r="AJ106" s="18">
        <v>1053</v>
      </c>
      <c r="AK106" s="18">
        <v>747.58064516129036</v>
      </c>
      <c r="AL106" s="18">
        <v>1199.0322580645161</v>
      </c>
      <c r="AM106" s="18">
        <v>229846</v>
      </c>
      <c r="AN106" s="18">
        <v>48454</v>
      </c>
      <c r="AO106" s="18">
        <v>2461</v>
      </c>
      <c r="AP106" s="18">
        <v>836.45161290322585</v>
      </c>
      <c r="AQ106" s="18">
        <v>1200</v>
      </c>
      <c r="AR106" s="18">
        <v>342830</v>
      </c>
      <c r="AS106" s="18">
        <v>53423</v>
      </c>
      <c r="AT106" s="18">
        <v>3205</v>
      </c>
      <c r="AU106" s="18">
        <v>1106.8333333333333</v>
      </c>
      <c r="AV106" s="18">
        <v>1200</v>
      </c>
      <c r="AW106" s="18">
        <v>381981</v>
      </c>
      <c r="AX106" s="18">
        <v>52144</v>
      </c>
      <c r="AY106" s="18">
        <v>4536</v>
      </c>
      <c r="AZ106" s="18">
        <v>1161.6129032258063</v>
      </c>
      <c r="BA106" s="18">
        <v>1195.8064516129032</v>
      </c>
      <c r="BB106" s="18">
        <v>364802</v>
      </c>
      <c r="BC106" s="18">
        <v>54739</v>
      </c>
      <c r="BD106" s="18">
        <v>2995</v>
      </c>
      <c r="BE106" s="18">
        <v>1132.6666666666667</v>
      </c>
      <c r="BF106" s="18">
        <v>1179.3333333333333</v>
      </c>
      <c r="BG106" s="18">
        <v>402208</v>
      </c>
      <c r="BH106" s="18">
        <v>51224</v>
      </c>
      <c r="BI106" s="18">
        <v>3513</v>
      </c>
      <c r="BJ106" s="18">
        <v>1090.6451612903227</v>
      </c>
      <c r="BK106" s="18">
        <v>1153.2258064516129</v>
      </c>
    </row>
    <row r="107" spans="1:63" x14ac:dyDescent="0.35">
      <c r="A107" s="19">
        <v>103</v>
      </c>
      <c r="B107" s="20" t="s">
        <v>225</v>
      </c>
      <c r="C107" s="20" t="s">
        <v>226</v>
      </c>
      <c r="D107" s="18">
        <v>232379</v>
      </c>
      <c r="E107" s="18">
        <v>25121</v>
      </c>
      <c r="F107" s="18">
        <v>12594</v>
      </c>
      <c r="G107" s="18">
        <v>605.32258064516134</v>
      </c>
      <c r="H107" s="18">
        <v>1042.9032258064517</v>
      </c>
      <c r="I107" s="18">
        <v>276062</v>
      </c>
      <c r="J107" s="18">
        <v>33725</v>
      </c>
      <c r="K107" s="18">
        <v>15942</v>
      </c>
      <c r="L107" s="18">
        <v>632.14285714285711</v>
      </c>
      <c r="M107" s="18">
        <v>1384.2857142857142</v>
      </c>
      <c r="N107" s="18">
        <v>208714</v>
      </c>
      <c r="O107" s="18">
        <v>17360</v>
      </c>
      <c r="P107" s="18">
        <v>9996</v>
      </c>
      <c r="Q107" s="18">
        <v>633.06451612903231</v>
      </c>
      <c r="R107" s="18">
        <v>1533.8709677419354</v>
      </c>
      <c r="S107" s="18">
        <v>283342</v>
      </c>
      <c r="T107" s="18">
        <v>13513</v>
      </c>
      <c r="U107" s="18">
        <v>7035</v>
      </c>
      <c r="V107" s="18">
        <v>641.5</v>
      </c>
      <c r="W107" s="18">
        <v>1380</v>
      </c>
      <c r="X107" s="18">
        <v>169215</v>
      </c>
      <c r="Y107" s="18">
        <v>75401</v>
      </c>
      <c r="Z107" s="18">
        <v>42923</v>
      </c>
      <c r="AA107" s="18">
        <v>684.67741935483866</v>
      </c>
      <c r="AB107" s="18">
        <v>1197.4193548387098</v>
      </c>
      <c r="AC107" s="18">
        <v>239021</v>
      </c>
      <c r="AD107" s="18">
        <v>12642</v>
      </c>
      <c r="AE107" s="18">
        <v>11439</v>
      </c>
      <c r="AF107" s="18">
        <v>625</v>
      </c>
      <c r="AG107" s="18">
        <v>1201.3333333333333</v>
      </c>
      <c r="AH107" s="18">
        <v>320240</v>
      </c>
      <c r="AI107" s="18">
        <v>6368</v>
      </c>
      <c r="AJ107" s="18">
        <v>19718</v>
      </c>
      <c r="AK107" s="18">
        <v>707.74193548387098</v>
      </c>
      <c r="AL107" s="18">
        <v>1220</v>
      </c>
      <c r="AM107" s="18">
        <v>212355</v>
      </c>
      <c r="AN107" s="18">
        <v>5224</v>
      </c>
      <c r="AO107" s="18">
        <v>9569</v>
      </c>
      <c r="AP107" s="18">
        <v>791.29032258064512</v>
      </c>
      <c r="AQ107" s="18">
        <v>1220</v>
      </c>
      <c r="AR107" s="18">
        <v>185873</v>
      </c>
      <c r="AS107" s="18">
        <v>3695</v>
      </c>
      <c r="AT107" s="18">
        <v>16347</v>
      </c>
      <c r="AU107" s="18">
        <v>955.33333333333337</v>
      </c>
      <c r="AV107" s="18">
        <v>1220</v>
      </c>
      <c r="AW107" s="18">
        <v>228776</v>
      </c>
      <c r="AX107" s="18">
        <v>6780</v>
      </c>
      <c r="AY107" s="18">
        <v>13041</v>
      </c>
      <c r="AZ107" s="18">
        <v>1075.483870967742</v>
      </c>
      <c r="BA107" s="18">
        <v>1214.1935483870968</v>
      </c>
      <c r="BB107" s="18">
        <v>105690</v>
      </c>
      <c r="BC107" s="18">
        <v>6896</v>
      </c>
      <c r="BD107" s="18">
        <v>14142</v>
      </c>
      <c r="BE107" s="18">
        <v>1091.3333333333333</v>
      </c>
      <c r="BF107" s="18">
        <v>1185</v>
      </c>
      <c r="BG107" s="18">
        <v>129899</v>
      </c>
      <c r="BH107" s="18">
        <v>6335</v>
      </c>
      <c r="BI107" s="18">
        <v>9131</v>
      </c>
      <c r="BJ107" s="18">
        <v>1056.7741935483871</v>
      </c>
      <c r="BK107" s="18">
        <v>1161.6129032258063</v>
      </c>
    </row>
    <row r="108" spans="1:63" x14ac:dyDescent="0.35">
      <c r="A108" s="19">
        <v>104</v>
      </c>
      <c r="B108" s="20" t="s">
        <v>227</v>
      </c>
      <c r="C108" s="20" t="s">
        <v>228</v>
      </c>
      <c r="D108" s="18">
        <v>202963</v>
      </c>
      <c r="E108" s="18">
        <v>22295</v>
      </c>
      <c r="F108" s="18">
        <v>2856</v>
      </c>
      <c r="G108" s="18">
        <v>615.9677419354839</v>
      </c>
      <c r="H108" s="18">
        <v>1042.9032258064517</v>
      </c>
      <c r="I108" s="18">
        <v>251100</v>
      </c>
      <c r="J108" s="18">
        <v>22248</v>
      </c>
      <c r="K108" s="18">
        <v>2582</v>
      </c>
      <c r="L108" s="18">
        <v>632.14285714285711</v>
      </c>
      <c r="M108" s="18">
        <v>1384.2857142857142</v>
      </c>
      <c r="N108" s="18">
        <v>236935</v>
      </c>
      <c r="O108" s="18">
        <v>21526</v>
      </c>
      <c r="P108" s="18">
        <v>3469</v>
      </c>
      <c r="Q108" s="18">
        <v>633.06451612903231</v>
      </c>
      <c r="R108" s="18">
        <v>1533.8709677419354</v>
      </c>
      <c r="S108" s="18">
        <v>270756</v>
      </c>
      <c r="T108" s="18">
        <v>24115</v>
      </c>
      <c r="U108" s="18">
        <v>2421</v>
      </c>
      <c r="V108" s="18">
        <v>643</v>
      </c>
      <c r="W108" s="18">
        <v>1383.3333333333333</v>
      </c>
      <c r="X108" s="18">
        <v>132316</v>
      </c>
      <c r="Y108" s="18">
        <v>20298</v>
      </c>
      <c r="Z108" s="18">
        <v>2772</v>
      </c>
      <c r="AA108" s="18">
        <v>687.58064516129036</v>
      </c>
      <c r="AB108" s="18">
        <v>1224.516129032258</v>
      </c>
      <c r="AC108" s="18">
        <v>220326</v>
      </c>
      <c r="AD108" s="18">
        <v>17030</v>
      </c>
      <c r="AE108" s="18">
        <v>2614</v>
      </c>
      <c r="AF108" s="18">
        <v>634.33333333333337</v>
      </c>
      <c r="AG108" s="18">
        <v>1201.3333333333333</v>
      </c>
      <c r="AH108" s="18">
        <v>253457</v>
      </c>
      <c r="AI108" s="18">
        <v>18938</v>
      </c>
      <c r="AJ108" s="18">
        <v>2775</v>
      </c>
      <c r="AK108" s="18">
        <v>708.38709677419354</v>
      </c>
      <c r="AL108" s="18">
        <v>1220</v>
      </c>
      <c r="AM108" s="18">
        <v>160472</v>
      </c>
      <c r="AN108" s="18">
        <v>15947</v>
      </c>
      <c r="AO108" s="18">
        <v>2457</v>
      </c>
      <c r="AP108" s="18">
        <v>791.29032258064512</v>
      </c>
      <c r="AQ108" s="18">
        <v>1220</v>
      </c>
      <c r="AR108" s="18">
        <v>265084</v>
      </c>
      <c r="AS108" s="18">
        <v>14544</v>
      </c>
      <c r="AT108" s="18">
        <v>2728</v>
      </c>
      <c r="AU108" s="18">
        <v>955.33333333333337</v>
      </c>
      <c r="AV108" s="18">
        <v>1220</v>
      </c>
      <c r="AW108" s="18">
        <v>182413</v>
      </c>
      <c r="AX108" s="18">
        <v>14050</v>
      </c>
      <c r="AY108" s="18">
        <v>2506</v>
      </c>
      <c r="AZ108" s="18">
        <v>1075.483870967742</v>
      </c>
      <c r="BA108" s="18">
        <v>1214.1935483870968</v>
      </c>
      <c r="BB108" s="18">
        <v>161615</v>
      </c>
      <c r="BC108" s="18">
        <v>15744</v>
      </c>
      <c r="BD108" s="18">
        <v>2455</v>
      </c>
      <c r="BE108" s="18">
        <v>1091.3333333333333</v>
      </c>
      <c r="BF108" s="18">
        <v>1185</v>
      </c>
      <c r="BG108" s="18">
        <v>155968</v>
      </c>
      <c r="BH108" s="18">
        <v>16158</v>
      </c>
      <c r="BI108" s="18">
        <v>3041</v>
      </c>
      <c r="BJ108" s="18">
        <v>1074.1935483870968</v>
      </c>
      <c r="BK108" s="18">
        <v>1170</v>
      </c>
    </row>
    <row r="109" spans="1:63" x14ac:dyDescent="0.35">
      <c r="A109" s="19">
        <v>105</v>
      </c>
      <c r="B109" s="20" t="s">
        <v>229</v>
      </c>
      <c r="C109" s="20" t="s">
        <v>230</v>
      </c>
      <c r="D109" s="18">
        <v>244953</v>
      </c>
      <c r="E109" s="18">
        <v>17989</v>
      </c>
      <c r="F109" s="18">
        <v>631</v>
      </c>
      <c r="G109" s="18">
        <v>666.77419354838707</v>
      </c>
      <c r="H109" s="18">
        <v>1080.8064516129032</v>
      </c>
      <c r="I109" s="18">
        <v>213703</v>
      </c>
      <c r="J109" s="18">
        <v>11552</v>
      </c>
      <c r="K109" s="18">
        <v>567</v>
      </c>
      <c r="L109" s="18">
        <v>688.03571428571433</v>
      </c>
      <c r="M109" s="18">
        <v>1408.5714285714287</v>
      </c>
      <c r="N109" s="18">
        <v>233253</v>
      </c>
      <c r="O109" s="18">
        <v>9031</v>
      </c>
      <c r="P109" s="18">
        <v>527</v>
      </c>
      <c r="Q109" s="18">
        <v>700</v>
      </c>
      <c r="R109" s="18">
        <v>1604.8387096774193</v>
      </c>
      <c r="S109" s="18">
        <v>258477</v>
      </c>
      <c r="T109" s="18">
        <v>15105</v>
      </c>
      <c r="U109" s="18">
        <v>676</v>
      </c>
      <c r="V109" s="18">
        <v>704.66666666666663</v>
      </c>
      <c r="W109" s="18">
        <v>1440</v>
      </c>
      <c r="X109" s="18">
        <v>178673</v>
      </c>
      <c r="Y109" s="18">
        <v>20422</v>
      </c>
      <c r="Z109" s="18">
        <v>836</v>
      </c>
      <c r="AA109" s="18">
        <v>805.48387096774195</v>
      </c>
      <c r="AB109" s="18">
        <v>1254.516129032258</v>
      </c>
      <c r="AC109" s="18">
        <v>201577</v>
      </c>
      <c r="AD109" s="18">
        <v>22848</v>
      </c>
      <c r="AE109" s="18">
        <v>723</v>
      </c>
      <c r="AF109" s="18">
        <v>773.66666666666663</v>
      </c>
      <c r="AG109" s="18">
        <v>1251.3333333333333</v>
      </c>
      <c r="AH109" s="18">
        <v>212086</v>
      </c>
      <c r="AI109" s="18">
        <v>20115</v>
      </c>
      <c r="AJ109" s="18">
        <v>709</v>
      </c>
      <c r="AK109" s="18">
        <v>778.38709677419354</v>
      </c>
      <c r="AL109" s="18">
        <v>1270</v>
      </c>
      <c r="AM109" s="18">
        <v>132970</v>
      </c>
      <c r="AN109" s="18">
        <v>15578</v>
      </c>
      <c r="AO109" s="18">
        <v>400</v>
      </c>
      <c r="AP109" s="18">
        <v>888.06451612903231</v>
      </c>
      <c r="AQ109" s="18">
        <v>1270</v>
      </c>
      <c r="AR109" s="18">
        <v>94110</v>
      </c>
      <c r="AS109" s="18">
        <v>18331</v>
      </c>
      <c r="AT109" s="18">
        <v>249</v>
      </c>
      <c r="AU109" s="18">
        <v>1160.3333333333333</v>
      </c>
      <c r="AV109" s="18">
        <v>1270</v>
      </c>
      <c r="AW109" s="18">
        <v>164017</v>
      </c>
      <c r="AX109" s="18">
        <v>25065</v>
      </c>
      <c r="AY109" s="18">
        <v>564</v>
      </c>
      <c r="AZ109" s="18">
        <v>1225.8064516129032</v>
      </c>
      <c r="BA109" s="18">
        <v>1242.9032258064517</v>
      </c>
      <c r="BB109" s="18">
        <v>170830</v>
      </c>
      <c r="BC109" s="18">
        <v>32165</v>
      </c>
      <c r="BD109" s="18">
        <v>539</v>
      </c>
      <c r="BE109" s="18">
        <v>1163.6666666666667</v>
      </c>
      <c r="BF109" s="18">
        <v>1213.3333333333333</v>
      </c>
      <c r="BG109" s="18">
        <v>173831</v>
      </c>
      <c r="BH109" s="18">
        <v>36038</v>
      </c>
      <c r="BI109" s="18">
        <v>884</v>
      </c>
      <c r="BJ109" s="18">
        <v>1107.741935483871</v>
      </c>
      <c r="BK109" s="18">
        <v>1200</v>
      </c>
    </row>
    <row r="110" spans="1:63" x14ac:dyDescent="0.35">
      <c r="A110" s="19">
        <v>106</v>
      </c>
      <c r="B110" s="20" t="s">
        <v>231</v>
      </c>
      <c r="C110" s="20" t="s">
        <v>232</v>
      </c>
      <c r="D110" s="18">
        <v>340283</v>
      </c>
      <c r="E110" s="18">
        <v>26567</v>
      </c>
      <c r="F110" s="18">
        <v>2115</v>
      </c>
      <c r="G110" s="18">
        <v>620</v>
      </c>
      <c r="H110" s="18">
        <v>1052.258064516129</v>
      </c>
      <c r="I110" s="18">
        <v>594132</v>
      </c>
      <c r="J110" s="18">
        <v>34709</v>
      </c>
      <c r="K110" s="18">
        <v>4355</v>
      </c>
      <c r="L110" s="18">
        <v>632.14285714285711</v>
      </c>
      <c r="M110" s="18">
        <v>1384.2857142857142</v>
      </c>
      <c r="N110" s="18">
        <v>452384</v>
      </c>
      <c r="O110" s="18">
        <v>29047</v>
      </c>
      <c r="P110" s="18">
        <v>3049</v>
      </c>
      <c r="Q110" s="18">
        <v>635.48387096774195</v>
      </c>
      <c r="R110" s="18">
        <v>1533.8709677419354</v>
      </c>
      <c r="S110" s="18">
        <v>593482</v>
      </c>
      <c r="T110" s="18">
        <v>31773</v>
      </c>
      <c r="U110" s="18">
        <v>2776</v>
      </c>
      <c r="V110" s="18">
        <v>643</v>
      </c>
      <c r="W110" s="18">
        <v>1391.6666666666667</v>
      </c>
      <c r="X110" s="18">
        <v>447171</v>
      </c>
      <c r="Y110" s="18">
        <v>26716</v>
      </c>
      <c r="Z110" s="18">
        <v>1647</v>
      </c>
      <c r="AA110" s="18">
        <v>687.58064516129036</v>
      </c>
      <c r="AB110" s="18">
        <v>1224.1935483870968</v>
      </c>
      <c r="AC110" s="18">
        <v>455750</v>
      </c>
      <c r="AD110" s="18">
        <v>20034</v>
      </c>
      <c r="AE110" s="18">
        <v>2580</v>
      </c>
      <c r="AF110" s="18">
        <v>628</v>
      </c>
      <c r="AG110" s="18">
        <v>1201.3333333333333</v>
      </c>
      <c r="AH110" s="18">
        <v>595392</v>
      </c>
      <c r="AI110" s="18">
        <v>19783</v>
      </c>
      <c r="AJ110" s="18">
        <v>2431</v>
      </c>
      <c r="AK110" s="18">
        <v>720.64516129032256</v>
      </c>
      <c r="AL110" s="18">
        <v>1220</v>
      </c>
      <c r="AM110" s="18">
        <v>303632</v>
      </c>
      <c r="AN110" s="18">
        <v>13673</v>
      </c>
      <c r="AO110" s="18">
        <v>1716</v>
      </c>
      <c r="AP110" s="18">
        <v>791.29032258064512</v>
      </c>
      <c r="AQ110" s="18">
        <v>1220</v>
      </c>
      <c r="AR110" s="18">
        <v>491430</v>
      </c>
      <c r="AS110" s="18">
        <v>11411</v>
      </c>
      <c r="AT110" s="18">
        <v>2059</v>
      </c>
      <c r="AU110" s="18">
        <v>955.33333333333337</v>
      </c>
      <c r="AV110" s="18">
        <v>1220</v>
      </c>
      <c r="AW110" s="18">
        <v>496519</v>
      </c>
      <c r="AX110" s="18">
        <v>20706</v>
      </c>
      <c r="AY110" s="18">
        <v>2836</v>
      </c>
      <c r="AZ110" s="18">
        <v>1075.483870967742</v>
      </c>
      <c r="BA110" s="18">
        <v>1214.1935483870968</v>
      </c>
      <c r="BB110" s="18">
        <v>373623</v>
      </c>
      <c r="BC110" s="18">
        <v>21425</v>
      </c>
      <c r="BD110" s="18">
        <v>735</v>
      </c>
      <c r="BE110" s="18">
        <v>1091.3333333333333</v>
      </c>
      <c r="BF110" s="18">
        <v>1185</v>
      </c>
      <c r="BG110" s="18">
        <v>307012</v>
      </c>
      <c r="BH110" s="18">
        <v>48049</v>
      </c>
      <c r="BI110" s="18">
        <v>1226</v>
      </c>
      <c r="BJ110" s="18">
        <v>1066.1290322580646</v>
      </c>
      <c r="BK110" s="18">
        <v>1170</v>
      </c>
    </row>
    <row r="111" spans="1:63" x14ac:dyDescent="0.35">
      <c r="A111" s="19">
        <v>107</v>
      </c>
      <c r="B111" s="21" t="s">
        <v>233</v>
      </c>
      <c r="C111" s="21" t="s">
        <v>234</v>
      </c>
      <c r="D111" s="18">
        <v>257802</v>
      </c>
      <c r="E111" s="18">
        <v>19230</v>
      </c>
      <c r="F111" s="18">
        <v>680</v>
      </c>
      <c r="G111" s="18">
        <v>656.29032258064512</v>
      </c>
      <c r="H111" s="18">
        <v>1065.8064516129032</v>
      </c>
      <c r="I111" s="18">
        <v>294499</v>
      </c>
      <c r="J111" s="18">
        <v>19604</v>
      </c>
      <c r="K111" s="18">
        <v>1196</v>
      </c>
      <c r="L111" s="18">
        <v>669.46428571428567</v>
      </c>
      <c r="M111" s="18">
        <v>1406.4285714285713</v>
      </c>
      <c r="N111" s="18">
        <v>300064</v>
      </c>
      <c r="O111" s="18">
        <v>18066</v>
      </c>
      <c r="P111" s="18">
        <v>2477</v>
      </c>
      <c r="Q111" s="18">
        <v>695</v>
      </c>
      <c r="R111" s="18">
        <v>1590.3225806451612</v>
      </c>
      <c r="S111" s="18">
        <v>295739</v>
      </c>
      <c r="T111" s="18">
        <v>22935</v>
      </c>
      <c r="U111" s="18">
        <v>2607</v>
      </c>
      <c r="V111" s="18">
        <v>695</v>
      </c>
      <c r="W111" s="18">
        <v>1353.6666666666667</v>
      </c>
      <c r="X111" s="18">
        <v>280872</v>
      </c>
      <c r="Y111" s="18">
        <v>23778</v>
      </c>
      <c r="Z111" s="18">
        <v>1913</v>
      </c>
      <c r="AA111" s="18">
        <v>741.61290322580646</v>
      </c>
      <c r="AB111" s="18">
        <v>1197.4193548387098</v>
      </c>
      <c r="AC111" s="18">
        <v>264716</v>
      </c>
      <c r="AD111" s="18">
        <v>20968</v>
      </c>
      <c r="AE111" s="18">
        <v>1632</v>
      </c>
      <c r="AF111" s="18">
        <v>731.66666666666663</v>
      </c>
      <c r="AG111" s="18">
        <v>1182.3333333333333</v>
      </c>
      <c r="AH111" s="18">
        <v>287493</v>
      </c>
      <c r="AI111" s="18">
        <v>18557</v>
      </c>
      <c r="AJ111" s="18">
        <v>339</v>
      </c>
      <c r="AK111" s="18">
        <v>747.58064516129036</v>
      </c>
      <c r="AL111" s="18">
        <v>1199.0322580645161</v>
      </c>
      <c r="AM111" s="18">
        <v>224094</v>
      </c>
      <c r="AN111" s="18">
        <v>11343</v>
      </c>
      <c r="AO111" s="18">
        <v>774</v>
      </c>
      <c r="AP111" s="18">
        <v>836.45161290322585</v>
      </c>
      <c r="AQ111" s="18">
        <v>1200</v>
      </c>
      <c r="AR111" s="18">
        <v>272298</v>
      </c>
      <c r="AS111" s="18">
        <v>11439</v>
      </c>
      <c r="AT111" s="18">
        <v>772</v>
      </c>
      <c r="AU111" s="18">
        <v>1106.1666666666667</v>
      </c>
      <c r="AV111" s="18">
        <v>1200</v>
      </c>
      <c r="AW111" s="18">
        <v>272036</v>
      </c>
      <c r="AX111" s="18">
        <v>14599</v>
      </c>
      <c r="AY111" s="18">
        <v>347</v>
      </c>
      <c r="AZ111" s="18">
        <v>1161.6129032258063</v>
      </c>
      <c r="BA111" s="18">
        <v>1195.8064516129032</v>
      </c>
      <c r="BB111" s="18">
        <v>237714</v>
      </c>
      <c r="BC111" s="18">
        <v>15125</v>
      </c>
      <c r="BD111" s="18">
        <v>0</v>
      </c>
      <c r="BE111" s="18">
        <v>1132.6666666666667</v>
      </c>
      <c r="BF111" s="18">
        <v>1179.3333333333333</v>
      </c>
      <c r="BG111" s="18">
        <v>233159</v>
      </c>
      <c r="BH111" s="18">
        <v>17467</v>
      </c>
      <c r="BI111" s="18">
        <v>0</v>
      </c>
      <c r="BJ111" s="18">
        <v>1090.9677419354839</v>
      </c>
      <c r="BK111" s="18">
        <v>1153.2258064516129</v>
      </c>
    </row>
    <row r="112" spans="1:63" x14ac:dyDescent="0.35">
      <c r="A112" s="19">
        <v>108</v>
      </c>
      <c r="B112" s="20" t="s">
        <v>235</v>
      </c>
      <c r="C112" s="20" t="s">
        <v>236</v>
      </c>
      <c r="D112" s="18">
        <v>452004</v>
      </c>
      <c r="E112" s="18">
        <v>35122</v>
      </c>
      <c r="F112" s="18">
        <v>0</v>
      </c>
      <c r="G112" s="18">
        <v>660</v>
      </c>
      <c r="H112" s="18">
        <v>1066.7741935483871</v>
      </c>
      <c r="I112" s="18">
        <v>415558</v>
      </c>
      <c r="J112" s="18">
        <v>32846</v>
      </c>
      <c r="K112" s="18">
        <v>0</v>
      </c>
      <c r="L112" s="18">
        <v>668.75</v>
      </c>
      <c r="M112" s="18">
        <v>1372.5</v>
      </c>
      <c r="N112" s="18">
        <v>384117</v>
      </c>
      <c r="O112" s="18">
        <v>25737</v>
      </c>
      <c r="P112" s="18">
        <v>0</v>
      </c>
      <c r="Q112" s="18">
        <v>695</v>
      </c>
      <c r="R112" s="18">
        <v>1624.1935483870968</v>
      </c>
      <c r="S112" s="18">
        <v>433046</v>
      </c>
      <c r="T112" s="18">
        <v>30742</v>
      </c>
      <c r="U112" s="18">
        <v>0</v>
      </c>
      <c r="V112" s="18">
        <v>695</v>
      </c>
      <c r="W112" s="18">
        <v>1353.6666666666667</v>
      </c>
      <c r="X112" s="18">
        <v>490088</v>
      </c>
      <c r="Y112" s="18">
        <v>49012</v>
      </c>
      <c r="Z112" s="18">
        <v>0</v>
      </c>
      <c r="AA112" s="18">
        <v>755.16129032258061</v>
      </c>
      <c r="AB112" s="18">
        <v>1197.4193548387098</v>
      </c>
      <c r="AC112" s="18">
        <v>389322</v>
      </c>
      <c r="AD112" s="18">
        <v>27562</v>
      </c>
      <c r="AE112" s="18">
        <v>0</v>
      </c>
      <c r="AF112" s="18">
        <v>750</v>
      </c>
      <c r="AG112" s="18">
        <v>1200</v>
      </c>
      <c r="AH112" s="18">
        <v>398995</v>
      </c>
      <c r="AI112" s="18">
        <v>26203</v>
      </c>
      <c r="AJ112" s="18">
        <v>0</v>
      </c>
      <c r="AK112" s="18">
        <v>766.93548387096769</v>
      </c>
      <c r="AL112" s="18">
        <v>1200</v>
      </c>
      <c r="AM112" s="18">
        <v>235612</v>
      </c>
      <c r="AN112" s="18">
        <v>27752</v>
      </c>
      <c r="AO112" s="18">
        <v>0</v>
      </c>
      <c r="AP112" s="18">
        <v>867.09677419354841</v>
      </c>
      <c r="AQ112" s="18">
        <v>1200.6451612903227</v>
      </c>
      <c r="AR112" s="18">
        <v>339946</v>
      </c>
      <c r="AS112" s="18">
        <v>27235</v>
      </c>
      <c r="AT112" s="18">
        <v>0</v>
      </c>
      <c r="AU112" s="18">
        <v>1116.6666666666667</v>
      </c>
      <c r="AV112" s="18">
        <v>1200</v>
      </c>
      <c r="AW112" s="18">
        <v>341090</v>
      </c>
      <c r="AX112" s="18">
        <v>35704</v>
      </c>
      <c r="AY112" s="18">
        <v>0</v>
      </c>
      <c r="AZ112" s="18">
        <v>1162.258064516129</v>
      </c>
      <c r="BA112" s="18">
        <v>1196.1290322580646</v>
      </c>
      <c r="BB112" s="18">
        <v>361483</v>
      </c>
      <c r="BC112" s="18">
        <v>53158</v>
      </c>
      <c r="BD112" s="18">
        <v>0</v>
      </c>
      <c r="BE112" s="18">
        <v>1132.6666666666667</v>
      </c>
      <c r="BF112" s="18">
        <v>1179.3333333333333</v>
      </c>
      <c r="BG112" s="18">
        <v>390463</v>
      </c>
      <c r="BH112" s="18">
        <v>39639</v>
      </c>
      <c r="BI112" s="18">
        <v>0</v>
      </c>
      <c r="BJ112" s="18">
        <v>1087.4193548387098</v>
      </c>
      <c r="BK112" s="18">
        <v>1153.2258064516129</v>
      </c>
    </row>
    <row r="113" spans="1:63" x14ac:dyDescent="0.35">
      <c r="A113" s="19">
        <v>109</v>
      </c>
      <c r="B113" s="20" t="s">
        <v>237</v>
      </c>
      <c r="C113" s="20" t="s">
        <v>238</v>
      </c>
      <c r="D113" s="18">
        <v>473858</v>
      </c>
      <c r="E113" s="18">
        <v>60953</v>
      </c>
      <c r="F113" s="18">
        <v>0</v>
      </c>
      <c r="G113" s="18">
        <v>620</v>
      </c>
      <c r="H113" s="18">
        <v>1155.1612903225807</v>
      </c>
      <c r="I113" s="18">
        <v>718203</v>
      </c>
      <c r="J113" s="18">
        <v>156401</v>
      </c>
      <c r="K113" s="18">
        <v>0</v>
      </c>
      <c r="L113" s="18">
        <v>631.25</v>
      </c>
      <c r="M113" s="18">
        <v>1384.2857142857142</v>
      </c>
      <c r="N113" s="18">
        <v>435114</v>
      </c>
      <c r="O113" s="18">
        <v>81125</v>
      </c>
      <c r="P113" s="18">
        <v>0</v>
      </c>
      <c r="Q113" s="18">
        <v>629.83870967741939</v>
      </c>
      <c r="R113" s="18">
        <v>1650</v>
      </c>
      <c r="S113" s="18">
        <v>853782</v>
      </c>
      <c r="T113" s="18">
        <v>59052</v>
      </c>
      <c r="U113" s="18">
        <v>0</v>
      </c>
      <c r="V113" s="18">
        <v>643.83333333333337</v>
      </c>
      <c r="W113" s="18">
        <v>1448.3333333333333</v>
      </c>
      <c r="X113" s="18">
        <v>624324</v>
      </c>
      <c r="Y113" s="18">
        <v>52777</v>
      </c>
      <c r="Z113" s="18">
        <v>0</v>
      </c>
      <c r="AA113" s="18">
        <v>683.87096774193549</v>
      </c>
      <c r="AB113" s="18">
        <v>1224.516129032258</v>
      </c>
      <c r="AC113" s="18">
        <v>526218</v>
      </c>
      <c r="AD113" s="18">
        <v>80175</v>
      </c>
      <c r="AE113" s="18">
        <v>0</v>
      </c>
      <c r="AF113" s="18">
        <v>628</v>
      </c>
      <c r="AG113" s="18">
        <v>1201.3333333333333</v>
      </c>
      <c r="AH113" s="18">
        <v>781286</v>
      </c>
      <c r="AI113" s="18">
        <v>50440</v>
      </c>
      <c r="AJ113" s="18">
        <v>0</v>
      </c>
      <c r="AK113" s="18">
        <v>716.12903225806451</v>
      </c>
      <c r="AL113" s="18">
        <v>1220</v>
      </c>
      <c r="AM113" s="18">
        <v>413820</v>
      </c>
      <c r="AN113" s="18">
        <v>30777</v>
      </c>
      <c r="AO113" s="18">
        <v>0</v>
      </c>
      <c r="AP113" s="18">
        <v>786.41935483870964</v>
      </c>
      <c r="AQ113" s="18">
        <v>1220</v>
      </c>
      <c r="AR113" s="18">
        <v>612436</v>
      </c>
      <c r="AS113" s="18">
        <v>38697</v>
      </c>
      <c r="AT113" s="18">
        <v>0</v>
      </c>
      <c r="AU113" s="18">
        <v>954.66666666666663</v>
      </c>
      <c r="AV113" s="18">
        <v>1220</v>
      </c>
      <c r="AW113" s="18">
        <v>608980</v>
      </c>
      <c r="AX113" s="18">
        <v>84770</v>
      </c>
      <c r="AY113" s="18">
        <v>800</v>
      </c>
      <c r="AZ113" s="18">
        <v>1075.483870967742</v>
      </c>
      <c r="BA113" s="18">
        <v>1214.1935483870968</v>
      </c>
      <c r="BB113" s="18">
        <v>371854</v>
      </c>
      <c r="BC113" s="18">
        <v>87915</v>
      </c>
      <c r="BD113" s="18">
        <v>0</v>
      </c>
      <c r="BE113" s="18">
        <v>1091.3333333333333</v>
      </c>
      <c r="BF113" s="18">
        <v>1185</v>
      </c>
      <c r="BG113" s="18">
        <v>445137</v>
      </c>
      <c r="BH113" s="18">
        <v>82981</v>
      </c>
      <c r="BI113" s="18">
        <v>0</v>
      </c>
      <c r="BJ113" s="18">
        <v>1070.3225806451612</v>
      </c>
      <c r="BK113" s="18">
        <v>1170</v>
      </c>
    </row>
    <row r="114" spans="1:63" x14ac:dyDescent="0.35">
      <c r="A114" s="19">
        <v>110</v>
      </c>
      <c r="B114" s="20" t="s">
        <v>239</v>
      </c>
      <c r="C114" s="20" t="s">
        <v>240</v>
      </c>
      <c r="D114" s="18">
        <v>355859</v>
      </c>
      <c r="E114" s="18">
        <v>30580</v>
      </c>
      <c r="F114" s="18">
        <v>1491</v>
      </c>
      <c r="G114" s="18">
        <v>666.77419354838707</v>
      </c>
      <c r="H114" s="18">
        <v>1080.8064516129032</v>
      </c>
      <c r="I114" s="18">
        <v>319317</v>
      </c>
      <c r="J114" s="18">
        <v>28671</v>
      </c>
      <c r="K114" s="18">
        <v>1643</v>
      </c>
      <c r="L114" s="18">
        <v>687.85714285714289</v>
      </c>
      <c r="M114" s="18">
        <v>1408.5714285714287</v>
      </c>
      <c r="N114" s="18">
        <v>399189</v>
      </c>
      <c r="O114" s="18">
        <v>33717</v>
      </c>
      <c r="P114" s="18">
        <v>2451</v>
      </c>
      <c r="Q114" s="18">
        <v>695</v>
      </c>
      <c r="R114" s="18">
        <v>1604.8387096774193</v>
      </c>
      <c r="S114" s="18">
        <v>358885</v>
      </c>
      <c r="T114" s="18">
        <v>26561</v>
      </c>
      <c r="U114" s="18">
        <v>2113</v>
      </c>
      <c r="V114" s="18">
        <v>700.5</v>
      </c>
      <c r="W114" s="18">
        <v>1440</v>
      </c>
      <c r="X114" s="18">
        <v>235082</v>
      </c>
      <c r="Y114" s="18">
        <v>25890</v>
      </c>
      <c r="Z114" s="18">
        <v>1920</v>
      </c>
      <c r="AA114" s="18">
        <v>795.80645161290317</v>
      </c>
      <c r="AB114" s="18">
        <v>1245.483870967742</v>
      </c>
      <c r="AC114" s="18">
        <v>301915</v>
      </c>
      <c r="AD114" s="18">
        <v>24957</v>
      </c>
      <c r="AE114" s="18">
        <v>2072</v>
      </c>
      <c r="AF114" s="18">
        <v>753</v>
      </c>
      <c r="AG114" s="18">
        <v>1216.3333333333333</v>
      </c>
      <c r="AH114" s="18">
        <v>314304</v>
      </c>
      <c r="AI114" s="18">
        <v>21152</v>
      </c>
      <c r="AJ114" s="18">
        <v>2559</v>
      </c>
      <c r="AK114" s="18">
        <v>775.48387096774195</v>
      </c>
      <c r="AL114" s="18">
        <v>1220</v>
      </c>
      <c r="AM114" s="18">
        <v>193733</v>
      </c>
      <c r="AN114" s="18">
        <v>14741</v>
      </c>
      <c r="AO114" s="18">
        <v>1891</v>
      </c>
      <c r="AP114" s="18">
        <v>879.35483870967744</v>
      </c>
      <c r="AQ114" s="18">
        <v>1220</v>
      </c>
      <c r="AR114" s="18">
        <v>214946</v>
      </c>
      <c r="AS114" s="18">
        <v>19181</v>
      </c>
      <c r="AT114" s="18">
        <v>3237</v>
      </c>
      <c r="AU114" s="18">
        <v>1143</v>
      </c>
      <c r="AV114" s="18">
        <v>1220</v>
      </c>
      <c r="AW114" s="18">
        <v>266508</v>
      </c>
      <c r="AX114" s="18">
        <v>20817</v>
      </c>
      <c r="AY114" s="18">
        <v>2497</v>
      </c>
      <c r="AZ114" s="18">
        <v>1219.3548387096773</v>
      </c>
      <c r="BA114" s="18">
        <v>1220</v>
      </c>
      <c r="BB114" s="18">
        <v>260237</v>
      </c>
      <c r="BC114" s="18">
        <v>23830</v>
      </c>
      <c r="BD114" s="18">
        <v>1629</v>
      </c>
      <c r="BE114" s="18">
        <v>1154</v>
      </c>
      <c r="BF114" s="18">
        <v>1208.3333333333333</v>
      </c>
      <c r="BG114" s="18">
        <v>335146</v>
      </c>
      <c r="BH114" s="18">
        <v>23431</v>
      </c>
      <c r="BI114" s="18">
        <v>1737</v>
      </c>
      <c r="BJ114" s="18">
        <v>1090.3225806451612</v>
      </c>
      <c r="BK114" s="18">
        <v>1190</v>
      </c>
    </row>
    <row r="115" spans="1:63" x14ac:dyDescent="0.35">
      <c r="A115" s="19">
        <v>111</v>
      </c>
      <c r="B115" s="20" t="s">
        <v>241</v>
      </c>
      <c r="C115" s="20" t="s">
        <v>242</v>
      </c>
      <c r="D115" s="18">
        <v>249779</v>
      </c>
      <c r="E115" s="18">
        <v>26709</v>
      </c>
      <c r="F115" s="18">
        <v>1263</v>
      </c>
      <c r="G115" s="18">
        <v>666.77419354838707</v>
      </c>
      <c r="H115" s="18">
        <v>1080.8064516129032</v>
      </c>
      <c r="I115" s="18">
        <v>251540</v>
      </c>
      <c r="J115" s="18">
        <v>24298</v>
      </c>
      <c r="K115" s="18">
        <v>1870</v>
      </c>
      <c r="L115" s="18">
        <v>685</v>
      </c>
      <c r="M115" s="18">
        <v>1387.1428571428571</v>
      </c>
      <c r="N115" s="18">
        <v>284938</v>
      </c>
      <c r="O115" s="18">
        <v>38416</v>
      </c>
      <c r="P115" s="18">
        <v>2842</v>
      </c>
      <c r="Q115" s="18">
        <v>695</v>
      </c>
      <c r="R115" s="18">
        <v>1604.8387096774193</v>
      </c>
      <c r="S115" s="18">
        <v>262361</v>
      </c>
      <c r="T115" s="18">
        <v>43741</v>
      </c>
      <c r="U115" s="18">
        <v>2097</v>
      </c>
      <c r="V115" s="18">
        <v>700.5</v>
      </c>
      <c r="W115" s="18">
        <v>1440</v>
      </c>
      <c r="X115" s="18">
        <v>222237</v>
      </c>
      <c r="Y115" s="18">
        <v>41420</v>
      </c>
      <c r="Z115" s="18">
        <v>2344</v>
      </c>
      <c r="AA115" s="18">
        <v>795.80645161290317</v>
      </c>
      <c r="AB115" s="18">
        <v>1245.483870967742</v>
      </c>
      <c r="AC115" s="18">
        <v>252345</v>
      </c>
      <c r="AD115" s="18">
        <v>43399</v>
      </c>
      <c r="AE115" s="18">
        <v>2695</v>
      </c>
      <c r="AF115" s="18">
        <v>753</v>
      </c>
      <c r="AG115" s="18">
        <v>1216.3333333333333</v>
      </c>
      <c r="AH115" s="18">
        <v>269054</v>
      </c>
      <c r="AI115" s="18">
        <v>37987</v>
      </c>
      <c r="AJ115" s="18">
        <v>2560</v>
      </c>
      <c r="AK115" s="18">
        <v>775.48387096774195</v>
      </c>
      <c r="AL115" s="18">
        <v>1220</v>
      </c>
      <c r="AM115" s="18">
        <v>111737</v>
      </c>
      <c r="AN115" s="18">
        <v>33349</v>
      </c>
      <c r="AO115" s="18">
        <v>1800</v>
      </c>
      <c r="AP115" s="18">
        <v>878.38709677419354</v>
      </c>
      <c r="AQ115" s="18">
        <v>1220</v>
      </c>
      <c r="AR115" s="18">
        <v>186166</v>
      </c>
      <c r="AS115" s="18">
        <v>40471</v>
      </c>
      <c r="AT115" s="18">
        <v>2165</v>
      </c>
      <c r="AU115" s="18">
        <v>1143</v>
      </c>
      <c r="AV115" s="18">
        <v>1220</v>
      </c>
      <c r="AW115" s="18">
        <v>232276</v>
      </c>
      <c r="AX115" s="18">
        <v>39736</v>
      </c>
      <c r="AY115" s="18">
        <v>2425</v>
      </c>
      <c r="AZ115" s="18">
        <v>1219.3548387096773</v>
      </c>
      <c r="BA115" s="18">
        <v>1220</v>
      </c>
      <c r="BB115" s="18">
        <v>263992</v>
      </c>
      <c r="BC115" s="18">
        <v>52464</v>
      </c>
      <c r="BD115" s="18">
        <v>2536</v>
      </c>
      <c r="BE115" s="18">
        <v>1154</v>
      </c>
      <c r="BF115" s="18">
        <v>1209</v>
      </c>
      <c r="BG115" s="18">
        <v>300135</v>
      </c>
      <c r="BH115" s="18">
        <v>47521</v>
      </c>
      <c r="BI115" s="18">
        <v>2227</v>
      </c>
      <c r="BJ115" s="18">
        <v>1090.6451612903227</v>
      </c>
      <c r="BK115" s="18">
        <v>1190</v>
      </c>
    </row>
    <row r="116" spans="1:63" x14ac:dyDescent="0.35">
      <c r="A116" s="19">
        <v>112</v>
      </c>
      <c r="B116" s="20" t="s">
        <v>243</v>
      </c>
      <c r="C116" s="20" t="s">
        <v>244</v>
      </c>
      <c r="D116" s="18">
        <v>384676</v>
      </c>
      <c r="E116" s="18">
        <v>36755</v>
      </c>
      <c r="F116" s="18">
        <v>2414</v>
      </c>
      <c r="G116" s="18">
        <v>612.25806451612902</v>
      </c>
      <c r="H116" s="18">
        <v>1108.3870967741937</v>
      </c>
      <c r="I116" s="18">
        <v>503116</v>
      </c>
      <c r="J116" s="18">
        <v>40666</v>
      </c>
      <c r="K116" s="18">
        <v>6493</v>
      </c>
      <c r="L116" s="18">
        <v>632.14285714285711</v>
      </c>
      <c r="M116" s="18">
        <v>1384.2857142857142</v>
      </c>
      <c r="N116" s="18">
        <v>378531</v>
      </c>
      <c r="O116" s="18">
        <v>44786</v>
      </c>
      <c r="P116" s="18">
        <v>5117</v>
      </c>
      <c r="Q116" s="18">
        <v>635.48387096774195</v>
      </c>
      <c r="R116" s="18">
        <v>1591.9354838709678</v>
      </c>
      <c r="S116" s="18">
        <v>527222</v>
      </c>
      <c r="T116" s="18">
        <v>45802</v>
      </c>
      <c r="U116" s="18">
        <v>3366</v>
      </c>
      <c r="V116" s="18">
        <v>643</v>
      </c>
      <c r="W116" s="18">
        <v>1408.3333333333333</v>
      </c>
      <c r="X116" s="18">
        <v>274944</v>
      </c>
      <c r="Y116" s="18">
        <v>38966</v>
      </c>
      <c r="Z116" s="18">
        <v>2343</v>
      </c>
      <c r="AA116" s="18">
        <v>686.93548387096769</v>
      </c>
      <c r="AB116" s="18">
        <v>1224.1935483870968</v>
      </c>
      <c r="AC116" s="18">
        <v>306566</v>
      </c>
      <c r="AD116" s="18">
        <v>36076</v>
      </c>
      <c r="AE116" s="18">
        <v>2431</v>
      </c>
      <c r="AF116" s="18">
        <v>625</v>
      </c>
      <c r="AG116" s="18">
        <v>1201.3333333333333</v>
      </c>
      <c r="AH116" s="18">
        <v>274665</v>
      </c>
      <c r="AI116" s="18">
        <v>23930</v>
      </c>
      <c r="AJ116" s="18">
        <v>2559</v>
      </c>
      <c r="AK116" s="18">
        <v>707.74193548387098</v>
      </c>
      <c r="AL116" s="18">
        <v>1220</v>
      </c>
      <c r="AM116" s="18">
        <v>282156</v>
      </c>
      <c r="AN116" s="18">
        <v>24186</v>
      </c>
      <c r="AO116" s="18">
        <v>1781</v>
      </c>
      <c r="AP116" s="18">
        <v>791.29032258064512</v>
      </c>
      <c r="AQ116" s="18">
        <v>1220</v>
      </c>
      <c r="AR116" s="18">
        <v>344765</v>
      </c>
      <c r="AS116" s="18">
        <v>27196</v>
      </c>
      <c r="AT116" s="18">
        <v>1713</v>
      </c>
      <c r="AU116" s="18">
        <v>955.33333333333337</v>
      </c>
      <c r="AV116" s="18">
        <v>1220</v>
      </c>
      <c r="AW116" s="18">
        <v>291403</v>
      </c>
      <c r="AX116" s="18">
        <v>34114</v>
      </c>
      <c r="AY116" s="18">
        <v>1797</v>
      </c>
      <c r="AZ116" s="18">
        <v>1075.483870967742</v>
      </c>
      <c r="BA116" s="18">
        <v>1210.3225806451612</v>
      </c>
      <c r="BB116" s="18">
        <v>337173</v>
      </c>
      <c r="BC116" s="18">
        <v>44700</v>
      </c>
      <c r="BD116" s="18">
        <v>1824</v>
      </c>
      <c r="BE116" s="18">
        <v>1091.3333333333333</v>
      </c>
      <c r="BF116" s="18">
        <v>1185</v>
      </c>
      <c r="BG116" s="18">
        <v>344408</v>
      </c>
      <c r="BH116" s="18">
        <v>37287</v>
      </c>
      <c r="BI116" s="18">
        <v>1754</v>
      </c>
      <c r="BJ116" s="18">
        <v>1077.0967741935483</v>
      </c>
      <c r="BK116" s="18">
        <v>1170</v>
      </c>
    </row>
    <row r="117" spans="1:63" x14ac:dyDescent="0.35">
      <c r="A117" s="19">
        <v>113</v>
      </c>
      <c r="B117" s="20" t="s">
        <v>245</v>
      </c>
      <c r="C117" s="20" t="s">
        <v>246</v>
      </c>
      <c r="D117" s="18">
        <v>308077</v>
      </c>
      <c r="E117" s="18">
        <v>95549</v>
      </c>
      <c r="F117" s="18">
        <v>0</v>
      </c>
      <c r="G117" s="18">
        <v>650.48387096774195</v>
      </c>
      <c r="H117" s="18">
        <v>1047.9032258064517</v>
      </c>
      <c r="I117" s="18">
        <v>302301</v>
      </c>
      <c r="J117" s="18">
        <v>86364</v>
      </c>
      <c r="K117" s="18">
        <v>0</v>
      </c>
      <c r="L117" s="18">
        <v>669.10714285714289</v>
      </c>
      <c r="M117" s="18">
        <v>1382.8571428571429</v>
      </c>
      <c r="N117" s="18">
        <v>282906</v>
      </c>
      <c r="O117" s="18">
        <v>69449</v>
      </c>
      <c r="P117" s="18">
        <v>0</v>
      </c>
      <c r="Q117" s="18">
        <v>694.67741935483866</v>
      </c>
      <c r="R117" s="18">
        <v>1590.3225806451612</v>
      </c>
      <c r="S117" s="18">
        <v>307532</v>
      </c>
      <c r="T117" s="18">
        <v>122294</v>
      </c>
      <c r="U117" s="18">
        <v>0</v>
      </c>
      <c r="V117" s="18">
        <v>694</v>
      </c>
      <c r="W117" s="18">
        <v>1353.6666666666667</v>
      </c>
      <c r="X117" s="18">
        <v>320296</v>
      </c>
      <c r="Y117" s="18">
        <v>101950</v>
      </c>
      <c r="Z117" s="18">
        <v>0</v>
      </c>
      <c r="AA117" s="18">
        <v>742.58064516129036</v>
      </c>
      <c r="AB117" s="18">
        <v>1197.4193548387098</v>
      </c>
      <c r="AC117" s="18">
        <v>316830</v>
      </c>
      <c r="AD117" s="18">
        <v>84520</v>
      </c>
      <c r="AE117" s="18">
        <v>0</v>
      </c>
      <c r="AF117" s="18">
        <v>735.33333333333337</v>
      </c>
      <c r="AG117" s="18">
        <v>1201.3333333333333</v>
      </c>
      <c r="AH117" s="18">
        <v>386394</v>
      </c>
      <c r="AI117" s="18">
        <v>53468</v>
      </c>
      <c r="AJ117" s="18">
        <v>0</v>
      </c>
      <c r="AK117" s="18">
        <v>750.80645161290317</v>
      </c>
      <c r="AL117" s="18">
        <v>1220</v>
      </c>
      <c r="AM117" s="18">
        <v>198183</v>
      </c>
      <c r="AN117" s="18">
        <v>44034</v>
      </c>
      <c r="AO117" s="18">
        <v>0</v>
      </c>
      <c r="AP117" s="18">
        <v>866.45161290322585</v>
      </c>
      <c r="AQ117" s="18">
        <v>1220</v>
      </c>
      <c r="AR117" s="18">
        <v>240590</v>
      </c>
      <c r="AS117" s="18">
        <v>57364</v>
      </c>
      <c r="AT117" s="18">
        <v>0</v>
      </c>
      <c r="AU117" s="18">
        <v>1108.8333333333333</v>
      </c>
      <c r="AV117" s="18">
        <v>1219.3333333333333</v>
      </c>
      <c r="AW117" s="18">
        <v>355024</v>
      </c>
      <c r="AX117" s="18">
        <v>80014</v>
      </c>
      <c r="AY117" s="18">
        <v>0</v>
      </c>
      <c r="AZ117" s="18">
        <v>1150.6451612903227</v>
      </c>
      <c r="BA117" s="18">
        <v>1211.2903225806451</v>
      </c>
      <c r="BB117" s="18">
        <v>319880</v>
      </c>
      <c r="BC117" s="18">
        <v>80389</v>
      </c>
      <c r="BD117" s="18">
        <v>0</v>
      </c>
      <c r="BE117" s="18">
        <v>1138.3333333333333</v>
      </c>
      <c r="BF117" s="18">
        <v>1179.3333333333333</v>
      </c>
      <c r="BG117" s="18">
        <v>293401</v>
      </c>
      <c r="BH117" s="18">
        <v>50019</v>
      </c>
      <c r="BI117" s="18">
        <v>0</v>
      </c>
      <c r="BJ117" s="18">
        <v>1081.6129032258063</v>
      </c>
      <c r="BK117" s="18">
        <v>1153.2258064516129</v>
      </c>
    </row>
    <row r="118" spans="1:63" x14ac:dyDescent="0.35">
      <c r="A118" s="19">
        <v>114</v>
      </c>
      <c r="B118" s="20" t="s">
        <v>247</v>
      </c>
      <c r="C118" s="20" t="s">
        <v>248</v>
      </c>
      <c r="D118" s="18">
        <v>130034</v>
      </c>
      <c r="E118" s="18">
        <v>32519</v>
      </c>
      <c r="F118" s="18">
        <v>0</v>
      </c>
      <c r="G118" s="18">
        <v>668.38709677419354</v>
      </c>
      <c r="H118" s="18">
        <v>1077.4193548387098</v>
      </c>
      <c r="I118" s="18">
        <v>170920</v>
      </c>
      <c r="J118" s="18">
        <v>19833</v>
      </c>
      <c r="K118" s="18">
        <v>1</v>
      </c>
      <c r="L118" s="18">
        <v>674.46428571428567</v>
      </c>
      <c r="M118" s="18">
        <v>1392.6785714285713</v>
      </c>
      <c r="N118" s="18">
        <v>159849</v>
      </c>
      <c r="O118" s="18">
        <v>19538</v>
      </c>
      <c r="P118" s="18">
        <v>0</v>
      </c>
      <c r="Q118" s="18">
        <v>688.87096774193549</v>
      </c>
      <c r="R118" s="18">
        <v>1598.0645161290322</v>
      </c>
      <c r="S118" s="18">
        <v>212000</v>
      </c>
      <c r="T118" s="18">
        <v>17422</v>
      </c>
      <c r="U118" s="18">
        <v>0</v>
      </c>
      <c r="V118" s="18">
        <v>702.33333333333337</v>
      </c>
      <c r="W118" s="18">
        <v>1386.6666666666667</v>
      </c>
      <c r="X118" s="18">
        <v>187412</v>
      </c>
      <c r="Y118" s="18">
        <v>11426</v>
      </c>
      <c r="Z118" s="18">
        <v>0</v>
      </c>
      <c r="AA118" s="18">
        <v>810.32258064516134</v>
      </c>
      <c r="AB118" s="18">
        <v>1242.258064516129</v>
      </c>
      <c r="AC118" s="18">
        <v>102031</v>
      </c>
      <c r="AD118" s="18">
        <v>8602</v>
      </c>
      <c r="AE118" s="18">
        <v>0</v>
      </c>
      <c r="AF118" s="18">
        <v>750</v>
      </c>
      <c r="AG118" s="18">
        <v>1251.3333333333333</v>
      </c>
      <c r="AH118" s="18">
        <v>2403</v>
      </c>
      <c r="AI118" s="18">
        <v>992</v>
      </c>
      <c r="AJ118" s="18">
        <v>0</v>
      </c>
      <c r="AK118" s="18">
        <v>761.61290322580646</v>
      </c>
      <c r="AL118" s="18">
        <v>1251.9354838709678</v>
      </c>
      <c r="AM118" s="18">
        <v>0</v>
      </c>
      <c r="AN118" s="18">
        <v>0</v>
      </c>
      <c r="AO118" s="18">
        <v>0</v>
      </c>
      <c r="AP118" s="18">
        <v>831.93548387096769</v>
      </c>
      <c r="AQ118" s="18">
        <v>1238.3870967741937</v>
      </c>
      <c r="AR118" s="18">
        <v>62163</v>
      </c>
      <c r="AS118" s="18">
        <v>1396</v>
      </c>
      <c r="AT118" s="18">
        <v>0</v>
      </c>
      <c r="AU118" s="18">
        <v>1061.3333333333333</v>
      </c>
      <c r="AV118" s="18">
        <v>1220</v>
      </c>
      <c r="AW118" s="18">
        <v>181903</v>
      </c>
      <c r="AX118" s="18">
        <v>16028</v>
      </c>
      <c r="AY118" s="18">
        <v>0</v>
      </c>
      <c r="AZ118" s="18">
        <v>1197.4193548387098</v>
      </c>
      <c r="BA118" s="18">
        <v>1220</v>
      </c>
      <c r="BB118" s="18">
        <v>165210</v>
      </c>
      <c r="BC118" s="18">
        <v>12696</v>
      </c>
      <c r="BD118" s="18">
        <v>0</v>
      </c>
      <c r="BE118" s="18">
        <v>1145.8333333333333</v>
      </c>
      <c r="BF118" s="18">
        <v>1209.3333333333333</v>
      </c>
      <c r="BG118" s="18">
        <v>201472</v>
      </c>
      <c r="BH118" s="18">
        <v>13200</v>
      </c>
      <c r="BI118" s="18">
        <v>0</v>
      </c>
      <c r="BJ118" s="18">
        <v>1107.258064516129</v>
      </c>
      <c r="BK118" s="18">
        <v>1193.5483870967741</v>
      </c>
    </row>
    <row r="119" spans="1:63" x14ac:dyDescent="0.35">
      <c r="A119" s="19">
        <v>115</v>
      </c>
      <c r="B119" s="20" t="s">
        <v>249</v>
      </c>
      <c r="C119" s="20" t="s">
        <v>250</v>
      </c>
      <c r="D119" s="18">
        <v>191059</v>
      </c>
      <c r="E119" s="18">
        <v>6475</v>
      </c>
      <c r="F119" s="18">
        <v>139</v>
      </c>
      <c r="G119" s="18">
        <v>666.77419354838707</v>
      </c>
      <c r="H119" s="18">
        <v>1080.8064516129032</v>
      </c>
      <c r="I119" s="18">
        <v>139616</v>
      </c>
      <c r="J119" s="18">
        <v>2828</v>
      </c>
      <c r="K119" s="18">
        <v>122</v>
      </c>
      <c r="L119" s="18">
        <v>690.35714285714289</v>
      </c>
      <c r="M119" s="18">
        <v>1408.5714285714287</v>
      </c>
      <c r="N119" s="18">
        <v>140399</v>
      </c>
      <c r="O119" s="18">
        <v>2852</v>
      </c>
      <c r="P119" s="18">
        <v>36</v>
      </c>
      <c r="Q119" s="18">
        <v>700</v>
      </c>
      <c r="R119" s="18">
        <v>1611.2903225806451</v>
      </c>
      <c r="S119" s="18">
        <v>134930</v>
      </c>
      <c r="T119" s="18">
        <v>3077</v>
      </c>
      <c r="U119" s="18">
        <v>92</v>
      </c>
      <c r="V119" s="18">
        <v>704</v>
      </c>
      <c r="W119" s="18">
        <v>1440</v>
      </c>
      <c r="X119" s="18">
        <v>76624</v>
      </c>
      <c r="Y119" s="18">
        <v>1451</v>
      </c>
      <c r="Z119" s="18">
        <v>116</v>
      </c>
      <c r="AA119" s="18">
        <v>804.19354838709683</v>
      </c>
      <c r="AB119" s="18">
        <v>1254.516129032258</v>
      </c>
      <c r="AC119" s="18">
        <v>110316</v>
      </c>
      <c r="AD119" s="18">
        <v>3234</v>
      </c>
      <c r="AE119" s="18">
        <v>11</v>
      </c>
      <c r="AF119" s="18">
        <v>775.66666666666663</v>
      </c>
      <c r="AG119" s="18">
        <v>1251.3333333333333</v>
      </c>
      <c r="AH119" s="18">
        <v>119253</v>
      </c>
      <c r="AI119" s="18">
        <v>3121</v>
      </c>
      <c r="AJ119" s="18">
        <v>0</v>
      </c>
      <c r="AK119" s="18">
        <v>774.19354838709683</v>
      </c>
      <c r="AL119" s="18">
        <v>1270</v>
      </c>
      <c r="AM119" s="18">
        <v>83055</v>
      </c>
      <c r="AN119" s="18">
        <v>2016</v>
      </c>
      <c r="AO119" s="18">
        <v>0</v>
      </c>
      <c r="AP119" s="18">
        <v>877.74193548387098</v>
      </c>
      <c r="AQ119" s="18">
        <v>1270</v>
      </c>
      <c r="AR119" s="18">
        <v>96287</v>
      </c>
      <c r="AS119" s="18">
        <v>2346</v>
      </c>
      <c r="AT119" s="18">
        <v>0</v>
      </c>
      <c r="AU119" s="18">
        <v>1179.6666666666667</v>
      </c>
      <c r="AV119" s="18">
        <v>1270</v>
      </c>
      <c r="AW119" s="18">
        <v>67331</v>
      </c>
      <c r="AX119" s="18">
        <v>2992</v>
      </c>
      <c r="AY119" s="18">
        <v>0</v>
      </c>
      <c r="AZ119" s="18">
        <v>1227.0967741935483</v>
      </c>
      <c r="BA119" s="18">
        <v>1255.483870967742</v>
      </c>
      <c r="BB119" s="18">
        <v>87194</v>
      </c>
      <c r="BC119" s="18">
        <v>4320</v>
      </c>
      <c r="BD119" s="18">
        <v>0</v>
      </c>
      <c r="BE119" s="18">
        <v>1152</v>
      </c>
      <c r="BF119" s="18">
        <v>1209</v>
      </c>
      <c r="BG119" s="18">
        <v>108070</v>
      </c>
      <c r="BH119" s="18">
        <v>4495</v>
      </c>
      <c r="BI119" s="18">
        <v>0</v>
      </c>
      <c r="BJ119" s="18">
        <v>1100.3225806451612</v>
      </c>
      <c r="BK119" s="18">
        <v>1190</v>
      </c>
    </row>
    <row r="120" spans="1:63" x14ac:dyDescent="0.35">
      <c r="A120" s="19">
        <v>116</v>
      </c>
      <c r="B120" s="20" t="s">
        <v>251</v>
      </c>
      <c r="C120" s="20" t="s">
        <v>252</v>
      </c>
      <c r="D120" s="18">
        <v>285563</v>
      </c>
      <c r="E120" s="18">
        <v>15761</v>
      </c>
      <c r="F120" s="18">
        <v>0</v>
      </c>
      <c r="G120" s="18">
        <v>660</v>
      </c>
      <c r="H120" s="18">
        <v>1066.7741935483871</v>
      </c>
      <c r="I120" s="18">
        <v>281234</v>
      </c>
      <c r="J120" s="18">
        <v>12026</v>
      </c>
      <c r="K120" s="18">
        <v>0</v>
      </c>
      <c r="L120" s="18">
        <v>668.75</v>
      </c>
      <c r="M120" s="18">
        <v>1377.8571428571429</v>
      </c>
      <c r="N120" s="18">
        <v>329275</v>
      </c>
      <c r="O120" s="18">
        <v>14734</v>
      </c>
      <c r="P120" s="18">
        <v>0</v>
      </c>
      <c r="Q120" s="18">
        <v>695</v>
      </c>
      <c r="R120" s="18">
        <v>1596.7741935483871</v>
      </c>
      <c r="S120" s="18">
        <v>317542</v>
      </c>
      <c r="T120" s="18">
        <v>17321</v>
      </c>
      <c r="U120" s="18">
        <v>0</v>
      </c>
      <c r="V120" s="18">
        <v>695</v>
      </c>
      <c r="W120" s="18">
        <v>1353.6666666666667</v>
      </c>
      <c r="X120" s="18">
        <v>263311</v>
      </c>
      <c r="Y120" s="18">
        <v>19343</v>
      </c>
      <c r="Z120" s="18">
        <v>0</v>
      </c>
      <c r="AA120" s="18">
        <v>755.16129032258061</v>
      </c>
      <c r="AB120" s="18">
        <v>1191.6129032258063</v>
      </c>
      <c r="AC120" s="18">
        <v>260339</v>
      </c>
      <c r="AD120" s="18">
        <v>22695</v>
      </c>
      <c r="AE120" s="18">
        <v>0</v>
      </c>
      <c r="AF120" s="18">
        <v>750</v>
      </c>
      <c r="AG120" s="18">
        <v>1181.3333333333333</v>
      </c>
      <c r="AH120" s="18">
        <v>269175</v>
      </c>
      <c r="AI120" s="18">
        <v>25929</v>
      </c>
      <c r="AJ120" s="18">
        <v>0</v>
      </c>
      <c r="AK120" s="18">
        <v>766.93548387096769</v>
      </c>
      <c r="AL120" s="18">
        <v>1200</v>
      </c>
      <c r="AM120" s="18">
        <v>173886</v>
      </c>
      <c r="AN120" s="18">
        <v>18756</v>
      </c>
      <c r="AO120" s="18">
        <v>0</v>
      </c>
      <c r="AP120" s="18">
        <v>867.09677419354841</v>
      </c>
      <c r="AQ120" s="18">
        <v>1200</v>
      </c>
      <c r="AR120" s="18">
        <v>212211</v>
      </c>
      <c r="AS120" s="18">
        <v>26439</v>
      </c>
      <c r="AT120" s="18">
        <v>0</v>
      </c>
      <c r="AU120" s="18">
        <v>1117.5</v>
      </c>
      <c r="AV120" s="18">
        <v>1200</v>
      </c>
      <c r="AW120" s="18">
        <v>222921</v>
      </c>
      <c r="AX120" s="18">
        <v>23583</v>
      </c>
      <c r="AY120" s="18">
        <v>0</v>
      </c>
      <c r="AZ120" s="18">
        <v>1162.258064516129</v>
      </c>
      <c r="BA120" s="18">
        <v>1196.1290322580646</v>
      </c>
      <c r="BB120" s="18">
        <v>205546</v>
      </c>
      <c r="BC120" s="18">
        <v>25801</v>
      </c>
      <c r="BD120" s="18">
        <v>0</v>
      </c>
      <c r="BE120" s="18">
        <v>1133.3333333333333</v>
      </c>
      <c r="BF120" s="18">
        <v>1179.3333333333333</v>
      </c>
      <c r="BG120" s="18">
        <v>176594</v>
      </c>
      <c r="BH120" s="18">
        <v>26463</v>
      </c>
      <c r="BI120" s="18">
        <v>0</v>
      </c>
      <c r="BJ120" s="18">
        <v>1087.4193548387098</v>
      </c>
      <c r="BK120" s="18">
        <v>1153.2258064516129</v>
      </c>
    </row>
    <row r="121" spans="1:63" x14ac:dyDescent="0.35">
      <c r="A121" s="19">
        <v>117</v>
      </c>
      <c r="B121" s="20" t="s">
        <v>253</v>
      </c>
      <c r="C121" s="20" t="s">
        <v>254</v>
      </c>
      <c r="D121" s="18">
        <v>288253</v>
      </c>
      <c r="E121" s="18">
        <v>14705</v>
      </c>
      <c r="F121" s="18">
        <v>0</v>
      </c>
      <c r="G121" s="18">
        <v>660</v>
      </c>
      <c r="H121" s="18">
        <v>1066.7741935483871</v>
      </c>
      <c r="I121" s="18">
        <v>239645</v>
      </c>
      <c r="J121" s="18">
        <v>6190</v>
      </c>
      <c r="K121" s="18">
        <v>0</v>
      </c>
      <c r="L121" s="18">
        <v>670.17857142857144</v>
      </c>
      <c r="M121" s="18">
        <v>1377.8571428571429</v>
      </c>
      <c r="N121" s="18">
        <v>247849</v>
      </c>
      <c r="O121" s="18">
        <v>5161</v>
      </c>
      <c r="P121" s="18">
        <v>0</v>
      </c>
      <c r="Q121" s="18">
        <v>695</v>
      </c>
      <c r="R121" s="18">
        <v>1598.3870967741937</v>
      </c>
      <c r="S121" s="18">
        <v>295277</v>
      </c>
      <c r="T121" s="18">
        <v>8787</v>
      </c>
      <c r="U121" s="18">
        <v>0</v>
      </c>
      <c r="V121" s="18">
        <v>695</v>
      </c>
      <c r="W121" s="18">
        <v>1353.6666666666667</v>
      </c>
      <c r="X121" s="18">
        <v>288546</v>
      </c>
      <c r="Y121" s="18">
        <v>10776</v>
      </c>
      <c r="Z121" s="18">
        <v>0</v>
      </c>
      <c r="AA121" s="18">
        <v>755.16129032258061</v>
      </c>
      <c r="AB121" s="18">
        <v>1189.0322580645161</v>
      </c>
      <c r="AC121" s="18">
        <v>273531</v>
      </c>
      <c r="AD121" s="18">
        <v>11253</v>
      </c>
      <c r="AE121" s="18">
        <v>0</v>
      </c>
      <c r="AF121" s="18">
        <v>750</v>
      </c>
      <c r="AG121" s="18">
        <v>1181.3333333333333</v>
      </c>
      <c r="AH121" s="18">
        <v>253746</v>
      </c>
      <c r="AI121" s="18">
        <v>12654</v>
      </c>
      <c r="AJ121" s="18">
        <v>0</v>
      </c>
      <c r="AK121" s="18">
        <v>766.93548387096769</v>
      </c>
      <c r="AL121" s="18">
        <v>1200</v>
      </c>
      <c r="AM121" s="18">
        <v>197665</v>
      </c>
      <c r="AN121" s="18">
        <v>7587</v>
      </c>
      <c r="AO121" s="18">
        <v>0</v>
      </c>
      <c r="AP121" s="18">
        <v>867.09677419354841</v>
      </c>
      <c r="AQ121" s="18">
        <v>1200</v>
      </c>
      <c r="AR121" s="18">
        <v>225447</v>
      </c>
      <c r="AS121" s="18">
        <v>14126</v>
      </c>
      <c r="AT121" s="18">
        <v>0</v>
      </c>
      <c r="AU121" s="18">
        <v>1117.5</v>
      </c>
      <c r="AV121" s="18">
        <v>1200</v>
      </c>
      <c r="AW121" s="18">
        <v>244433</v>
      </c>
      <c r="AX121" s="18">
        <v>17110</v>
      </c>
      <c r="AY121" s="18">
        <v>0</v>
      </c>
      <c r="AZ121" s="18">
        <v>1162.258064516129</v>
      </c>
      <c r="BA121" s="18">
        <v>1196.1290322580646</v>
      </c>
      <c r="BB121" s="18">
        <v>216914</v>
      </c>
      <c r="BC121" s="18">
        <v>10822</v>
      </c>
      <c r="BD121" s="18">
        <v>0</v>
      </c>
      <c r="BE121" s="18">
        <v>1132.6666666666667</v>
      </c>
      <c r="BF121" s="18">
        <v>1179.3333333333333</v>
      </c>
      <c r="BG121" s="18">
        <v>207454</v>
      </c>
      <c r="BH121" s="18">
        <v>23638</v>
      </c>
      <c r="BI121" s="18">
        <v>0</v>
      </c>
      <c r="BJ121" s="18">
        <v>1087.4193548387098</v>
      </c>
      <c r="BK121" s="18">
        <v>1153.2258064516129</v>
      </c>
    </row>
    <row r="122" spans="1:63" x14ac:dyDescent="0.35">
      <c r="A122" s="19">
        <v>118</v>
      </c>
      <c r="B122" s="20" t="s">
        <v>255</v>
      </c>
      <c r="C122" s="20" t="s">
        <v>256</v>
      </c>
      <c r="D122" s="18">
        <v>362377</v>
      </c>
      <c r="E122" s="18">
        <v>34550</v>
      </c>
      <c r="F122" s="18">
        <v>0</v>
      </c>
      <c r="G122" s="18">
        <v>660</v>
      </c>
      <c r="H122" s="18">
        <v>1066.4516129032259</v>
      </c>
      <c r="I122" s="18">
        <v>297679</v>
      </c>
      <c r="J122" s="18">
        <v>16145</v>
      </c>
      <c r="K122" s="18">
        <v>0</v>
      </c>
      <c r="L122" s="18">
        <v>669.46428571428567</v>
      </c>
      <c r="M122" s="18">
        <v>1406.4285714285713</v>
      </c>
      <c r="N122" s="18">
        <v>272889</v>
      </c>
      <c r="O122" s="18">
        <v>32172</v>
      </c>
      <c r="P122" s="18">
        <v>0</v>
      </c>
      <c r="Q122" s="18">
        <v>695</v>
      </c>
      <c r="R122" s="18">
        <v>1590.3225806451612</v>
      </c>
      <c r="S122" s="18">
        <v>312839</v>
      </c>
      <c r="T122" s="18">
        <v>28629</v>
      </c>
      <c r="U122" s="18">
        <v>0</v>
      </c>
      <c r="V122" s="18">
        <v>695</v>
      </c>
      <c r="W122" s="18">
        <v>1353.6666666666667</v>
      </c>
      <c r="X122" s="18">
        <v>238073</v>
      </c>
      <c r="Y122" s="18">
        <v>20690</v>
      </c>
      <c r="Z122" s="18">
        <v>0</v>
      </c>
      <c r="AA122" s="18">
        <v>755.16129032258061</v>
      </c>
      <c r="AB122" s="18">
        <v>1189.0322580645161</v>
      </c>
      <c r="AC122" s="18">
        <v>287230</v>
      </c>
      <c r="AD122" s="18">
        <v>26695</v>
      </c>
      <c r="AE122" s="18">
        <v>0</v>
      </c>
      <c r="AF122" s="18">
        <v>750</v>
      </c>
      <c r="AG122" s="18">
        <v>1181.3333333333333</v>
      </c>
      <c r="AH122" s="18">
        <v>357854</v>
      </c>
      <c r="AI122" s="18">
        <v>26853</v>
      </c>
      <c r="AJ122" s="18">
        <v>0</v>
      </c>
      <c r="AK122" s="18">
        <v>766.93548387096769</v>
      </c>
      <c r="AL122" s="18">
        <v>1200</v>
      </c>
      <c r="AM122" s="18">
        <v>170821</v>
      </c>
      <c r="AN122" s="18">
        <v>21221</v>
      </c>
      <c r="AO122" s="18">
        <v>0</v>
      </c>
      <c r="AP122" s="18">
        <v>867.09677419354841</v>
      </c>
      <c r="AQ122" s="18">
        <v>1201.2903225806451</v>
      </c>
      <c r="AR122" s="18">
        <v>286121</v>
      </c>
      <c r="AS122" s="18">
        <v>39542</v>
      </c>
      <c r="AT122" s="18">
        <v>0</v>
      </c>
      <c r="AU122" s="18">
        <v>1117.5</v>
      </c>
      <c r="AV122" s="18">
        <v>1200</v>
      </c>
      <c r="AW122" s="18">
        <v>239496</v>
      </c>
      <c r="AX122" s="18">
        <v>26687</v>
      </c>
      <c r="AY122" s="18">
        <v>0</v>
      </c>
      <c r="AZ122" s="18">
        <v>1162.258064516129</v>
      </c>
      <c r="BA122" s="18">
        <v>1196.1290322580646</v>
      </c>
      <c r="BB122" s="18">
        <v>239772</v>
      </c>
      <c r="BC122" s="18">
        <v>34808</v>
      </c>
      <c r="BD122" s="18">
        <v>0</v>
      </c>
      <c r="BE122" s="18">
        <v>1132.6666666666667</v>
      </c>
      <c r="BF122" s="18">
        <v>1179.3333333333333</v>
      </c>
      <c r="BG122" s="18">
        <v>205912</v>
      </c>
      <c r="BH122" s="18">
        <v>26948</v>
      </c>
      <c r="BI122" s="18">
        <v>0</v>
      </c>
      <c r="BJ122" s="18">
        <v>1087.4193548387098</v>
      </c>
      <c r="BK122" s="18">
        <v>1153.2258064516129</v>
      </c>
    </row>
    <row r="123" spans="1:63" x14ac:dyDescent="0.35">
      <c r="A123" s="19">
        <v>119</v>
      </c>
      <c r="B123" s="20" t="s">
        <v>257</v>
      </c>
      <c r="C123" s="20" t="s">
        <v>258</v>
      </c>
      <c r="D123" s="18">
        <v>289502</v>
      </c>
      <c r="E123" s="18">
        <v>78076</v>
      </c>
      <c r="F123" s="18">
        <v>0</v>
      </c>
      <c r="G123" s="18">
        <v>652.25806451612902</v>
      </c>
      <c r="H123" s="18">
        <v>1057.4193548387098</v>
      </c>
      <c r="I123" s="18">
        <v>271620</v>
      </c>
      <c r="J123" s="18">
        <v>82953</v>
      </c>
      <c r="K123" s="18">
        <v>0</v>
      </c>
      <c r="L123" s="18">
        <v>669.28571428571433</v>
      </c>
      <c r="M123" s="18">
        <v>1406.4285714285713</v>
      </c>
      <c r="N123" s="18">
        <v>279503</v>
      </c>
      <c r="O123" s="18">
        <v>71314</v>
      </c>
      <c r="P123" s="18">
        <v>0</v>
      </c>
      <c r="Q123" s="18">
        <v>695</v>
      </c>
      <c r="R123" s="18">
        <v>1590.3225806451612</v>
      </c>
      <c r="S123" s="18">
        <v>258691</v>
      </c>
      <c r="T123" s="18">
        <v>77010</v>
      </c>
      <c r="U123" s="18">
        <v>0</v>
      </c>
      <c r="V123" s="18">
        <v>695</v>
      </c>
      <c r="W123" s="18">
        <v>1357</v>
      </c>
      <c r="X123" s="18">
        <v>278717</v>
      </c>
      <c r="Y123" s="18">
        <v>72348</v>
      </c>
      <c r="Z123" s="18">
        <v>0</v>
      </c>
      <c r="AA123" s="18">
        <v>740</v>
      </c>
      <c r="AB123" s="18">
        <v>1195.483870967742</v>
      </c>
      <c r="AC123" s="18">
        <v>258455</v>
      </c>
      <c r="AD123" s="18">
        <v>64454</v>
      </c>
      <c r="AE123" s="18">
        <v>0</v>
      </c>
      <c r="AF123" s="18">
        <v>728.33333333333337</v>
      </c>
      <c r="AG123" s="18">
        <v>1181.3333333333333</v>
      </c>
      <c r="AH123" s="18">
        <v>315492</v>
      </c>
      <c r="AI123" s="18">
        <v>62311</v>
      </c>
      <c r="AJ123" s="18">
        <v>0</v>
      </c>
      <c r="AK123" s="18">
        <v>745.48387096774195</v>
      </c>
      <c r="AL123" s="18">
        <v>1206.1290322580646</v>
      </c>
      <c r="AM123" s="18">
        <v>172642</v>
      </c>
      <c r="AN123" s="18">
        <v>47223</v>
      </c>
      <c r="AO123" s="18">
        <v>0</v>
      </c>
      <c r="AP123" s="18">
        <v>841.77419354838707</v>
      </c>
      <c r="AQ123" s="18">
        <v>1233.2258064516129</v>
      </c>
      <c r="AR123" s="18">
        <v>152869</v>
      </c>
      <c r="AS123" s="18">
        <v>52622</v>
      </c>
      <c r="AT123" s="18">
        <v>0</v>
      </c>
      <c r="AU123" s="18">
        <v>1107.5</v>
      </c>
      <c r="AV123" s="18">
        <v>1190</v>
      </c>
      <c r="AW123" s="18">
        <v>196316</v>
      </c>
      <c r="AX123" s="18">
        <v>56452</v>
      </c>
      <c r="AY123" s="18">
        <v>0</v>
      </c>
      <c r="AZ123" s="18">
        <v>1186.4516129032259</v>
      </c>
      <c r="BA123" s="18">
        <v>1192.9032258064517</v>
      </c>
      <c r="BB123" s="18">
        <v>197593</v>
      </c>
      <c r="BC123" s="18">
        <v>94948</v>
      </c>
      <c r="BD123" s="18">
        <v>0</v>
      </c>
      <c r="BE123" s="18">
        <v>1130.6666666666667</v>
      </c>
      <c r="BF123" s="18">
        <v>1171.3333333333333</v>
      </c>
      <c r="BG123" s="18">
        <v>241491</v>
      </c>
      <c r="BH123" s="18">
        <v>42327</v>
      </c>
      <c r="BI123" s="18">
        <v>0</v>
      </c>
      <c r="BJ123" s="18">
        <v>1079.0322580645161</v>
      </c>
      <c r="BK123" s="18">
        <v>1150</v>
      </c>
    </row>
    <row r="124" spans="1:63" x14ac:dyDescent="0.35">
      <c r="A124" s="19">
        <v>120</v>
      </c>
      <c r="B124" s="20" t="s">
        <v>259</v>
      </c>
      <c r="C124" s="20" t="s">
        <v>260</v>
      </c>
      <c r="D124" s="18">
        <v>201700</v>
      </c>
      <c r="E124" s="18">
        <v>58396</v>
      </c>
      <c r="F124" s="18">
        <v>0</v>
      </c>
      <c r="G124" s="18">
        <v>652.25806451612902</v>
      </c>
      <c r="H124" s="18">
        <v>1057.258064516129</v>
      </c>
      <c r="I124" s="18">
        <v>218291</v>
      </c>
      <c r="J124" s="18">
        <v>60747</v>
      </c>
      <c r="K124" s="18">
        <v>0</v>
      </c>
      <c r="L124" s="18">
        <v>669.28571428571433</v>
      </c>
      <c r="M124" s="18">
        <v>1406.4285714285713</v>
      </c>
      <c r="N124" s="18">
        <v>173452</v>
      </c>
      <c r="O124" s="18">
        <v>57732</v>
      </c>
      <c r="P124" s="18">
        <v>0</v>
      </c>
      <c r="Q124" s="18">
        <v>695</v>
      </c>
      <c r="R124" s="18">
        <v>1590.3225806451612</v>
      </c>
      <c r="S124" s="18">
        <v>176143</v>
      </c>
      <c r="T124" s="18">
        <v>60976</v>
      </c>
      <c r="U124" s="18">
        <v>1198</v>
      </c>
      <c r="V124" s="18">
        <v>695</v>
      </c>
      <c r="W124" s="18">
        <v>1357</v>
      </c>
      <c r="X124" s="18">
        <v>264887</v>
      </c>
      <c r="Y124" s="18">
        <v>55852</v>
      </c>
      <c r="Z124" s="18">
        <v>915</v>
      </c>
      <c r="AA124" s="18">
        <v>739.0322580645161</v>
      </c>
      <c r="AB124" s="18">
        <v>1194.8387096774193</v>
      </c>
      <c r="AC124" s="18">
        <v>187385</v>
      </c>
      <c r="AD124" s="18">
        <v>51155</v>
      </c>
      <c r="AE124" s="18">
        <v>1131</v>
      </c>
      <c r="AF124" s="18">
        <v>726.66666666666663</v>
      </c>
      <c r="AG124" s="18">
        <v>1181.3333333333333</v>
      </c>
      <c r="AH124" s="18">
        <v>299180</v>
      </c>
      <c r="AI124" s="18">
        <v>44236</v>
      </c>
      <c r="AJ124" s="18">
        <v>2483</v>
      </c>
      <c r="AK124" s="18">
        <v>745.48387096774195</v>
      </c>
      <c r="AL124" s="18">
        <v>1206.1290322580646</v>
      </c>
      <c r="AM124" s="18">
        <v>158338</v>
      </c>
      <c r="AN124" s="18">
        <v>27688</v>
      </c>
      <c r="AO124" s="18">
        <v>4097</v>
      </c>
      <c r="AP124" s="18">
        <v>841.77419354838707</v>
      </c>
      <c r="AQ124" s="18">
        <v>1226.1290322580646</v>
      </c>
      <c r="AR124" s="18">
        <v>154298</v>
      </c>
      <c r="AS124" s="18">
        <v>49515</v>
      </c>
      <c r="AT124" s="18">
        <v>2004</v>
      </c>
      <c r="AU124" s="18">
        <v>1106.8333333333333</v>
      </c>
      <c r="AV124" s="18">
        <v>1194</v>
      </c>
      <c r="AW124" s="18">
        <v>167231</v>
      </c>
      <c r="AX124" s="18">
        <v>43453</v>
      </c>
      <c r="AY124" s="18">
        <v>34045</v>
      </c>
      <c r="AZ124" s="18">
        <v>1186.4516129032259</v>
      </c>
      <c r="BA124" s="18">
        <v>1195.483870967742</v>
      </c>
      <c r="BB124" s="18">
        <v>153018</v>
      </c>
      <c r="BC124" s="18">
        <v>52221</v>
      </c>
      <c r="BD124" s="18">
        <v>1323</v>
      </c>
      <c r="BE124" s="18">
        <v>1128.6666666666667</v>
      </c>
      <c r="BF124" s="18">
        <v>1171.3333333333333</v>
      </c>
      <c r="BG124" s="18">
        <v>154692</v>
      </c>
      <c r="BH124" s="18">
        <v>30347</v>
      </c>
      <c r="BI124" s="18">
        <v>823</v>
      </c>
      <c r="BJ124" s="18">
        <v>1078.0645161290322</v>
      </c>
      <c r="BK124" s="18">
        <v>1150</v>
      </c>
    </row>
    <row r="125" spans="1:63" x14ac:dyDescent="0.35">
      <c r="A125" s="19">
        <v>121</v>
      </c>
      <c r="B125" s="20" t="s">
        <v>261</v>
      </c>
      <c r="C125" s="20" t="s">
        <v>262</v>
      </c>
      <c r="D125" s="18">
        <v>260880</v>
      </c>
      <c r="E125" s="18">
        <v>22048</v>
      </c>
      <c r="F125" s="18">
        <v>0</v>
      </c>
      <c r="G125" s="18">
        <v>654.35483870967744</v>
      </c>
      <c r="H125" s="18">
        <v>1055.9677419354839</v>
      </c>
      <c r="I125" s="18">
        <v>257773</v>
      </c>
      <c r="J125" s="18">
        <v>19115</v>
      </c>
      <c r="K125" s="18">
        <v>0</v>
      </c>
      <c r="L125" s="18">
        <v>669.46428571428567</v>
      </c>
      <c r="M125" s="18">
        <v>1406.4285714285713</v>
      </c>
      <c r="N125" s="18">
        <v>246979</v>
      </c>
      <c r="O125" s="18">
        <v>21822</v>
      </c>
      <c r="P125" s="18">
        <v>0</v>
      </c>
      <c r="Q125" s="18">
        <v>695</v>
      </c>
      <c r="R125" s="18">
        <v>1590.3225806451612</v>
      </c>
      <c r="S125" s="18">
        <v>276855</v>
      </c>
      <c r="T125" s="18">
        <v>23429</v>
      </c>
      <c r="U125" s="18">
        <v>0</v>
      </c>
      <c r="V125" s="18">
        <v>695</v>
      </c>
      <c r="W125" s="18">
        <v>1353.6666666666667</v>
      </c>
      <c r="X125" s="18">
        <v>258419</v>
      </c>
      <c r="Y125" s="18">
        <v>31235</v>
      </c>
      <c r="Z125" s="18">
        <v>0</v>
      </c>
      <c r="AA125" s="18">
        <v>742.58064516129036</v>
      </c>
      <c r="AB125" s="18">
        <v>1197.4193548387098</v>
      </c>
      <c r="AC125" s="18">
        <v>256575</v>
      </c>
      <c r="AD125" s="18">
        <v>28813</v>
      </c>
      <c r="AE125" s="18">
        <v>0</v>
      </c>
      <c r="AF125" s="18">
        <v>735.33333333333337</v>
      </c>
      <c r="AG125" s="18">
        <v>1201.3333333333333</v>
      </c>
      <c r="AH125" s="18">
        <v>261353</v>
      </c>
      <c r="AI125" s="18">
        <v>34403</v>
      </c>
      <c r="AJ125" s="18">
        <v>0</v>
      </c>
      <c r="AK125" s="18">
        <v>749.83870967741939</v>
      </c>
      <c r="AL125" s="18">
        <v>1218.7096774193549</v>
      </c>
      <c r="AM125" s="18">
        <v>159196</v>
      </c>
      <c r="AN125" s="18">
        <v>25322</v>
      </c>
      <c r="AO125" s="18">
        <v>0</v>
      </c>
      <c r="AP125" s="18">
        <v>867.41935483870964</v>
      </c>
      <c r="AQ125" s="18">
        <v>1218.0645161290322</v>
      </c>
      <c r="AR125" s="18">
        <v>198251</v>
      </c>
      <c r="AS125" s="18">
        <v>20875</v>
      </c>
      <c r="AT125" s="18">
        <v>0</v>
      </c>
      <c r="AU125" s="18">
        <v>1108.8333333333333</v>
      </c>
      <c r="AV125" s="18">
        <v>1220</v>
      </c>
      <c r="AW125" s="18">
        <v>260083</v>
      </c>
      <c r="AX125" s="18">
        <v>23318</v>
      </c>
      <c r="AY125" s="18">
        <v>0</v>
      </c>
      <c r="AZ125" s="18">
        <v>1150.6451612903227</v>
      </c>
      <c r="BA125" s="18">
        <v>1211.2903225806451</v>
      </c>
      <c r="BB125" s="18">
        <v>265563</v>
      </c>
      <c r="BC125" s="18">
        <v>32649</v>
      </c>
      <c r="BD125" s="18">
        <v>0</v>
      </c>
      <c r="BE125" s="18">
        <v>1138.3333333333333</v>
      </c>
      <c r="BF125" s="18">
        <v>1179.3333333333333</v>
      </c>
      <c r="BG125" s="18">
        <v>211526</v>
      </c>
      <c r="BH125" s="18">
        <v>28279</v>
      </c>
      <c r="BI125" s="18">
        <v>0</v>
      </c>
      <c r="BJ125" s="18">
        <v>1081.6129032258063</v>
      </c>
      <c r="BK125" s="18">
        <v>1153.2258064516129</v>
      </c>
    </row>
    <row r="126" spans="1:63" x14ac:dyDescent="0.35">
      <c r="A126" s="19">
        <v>122</v>
      </c>
      <c r="B126" s="20" t="s">
        <v>263</v>
      </c>
      <c r="C126" s="20" t="s">
        <v>264</v>
      </c>
      <c r="D126" s="18">
        <v>245504</v>
      </c>
      <c r="E126" s="18">
        <v>16691</v>
      </c>
      <c r="F126" s="18">
        <v>0</v>
      </c>
      <c r="G126" s="18">
        <v>652.25806451612902</v>
      </c>
      <c r="H126" s="18">
        <v>1056.6129032258063</v>
      </c>
      <c r="I126" s="18">
        <v>280615</v>
      </c>
      <c r="J126" s="18">
        <v>17762</v>
      </c>
      <c r="K126" s="18">
        <v>0</v>
      </c>
      <c r="L126" s="18">
        <v>669.82142857142856</v>
      </c>
      <c r="M126" s="18">
        <v>1407.1428571428571</v>
      </c>
      <c r="N126" s="18">
        <v>275382</v>
      </c>
      <c r="O126" s="18">
        <v>17437</v>
      </c>
      <c r="P126" s="18">
        <v>0</v>
      </c>
      <c r="Q126" s="18">
        <v>695</v>
      </c>
      <c r="R126" s="18">
        <v>1590.3225806451612</v>
      </c>
      <c r="S126" s="18">
        <v>290861</v>
      </c>
      <c r="T126" s="18">
        <v>30159</v>
      </c>
      <c r="U126" s="18">
        <v>0</v>
      </c>
      <c r="V126" s="18">
        <v>695</v>
      </c>
      <c r="W126" s="18">
        <v>1357</v>
      </c>
      <c r="X126" s="18">
        <v>283893</v>
      </c>
      <c r="Y126" s="18">
        <v>27029</v>
      </c>
      <c r="Z126" s="18">
        <v>0</v>
      </c>
      <c r="AA126" s="18">
        <v>741.61290322580646</v>
      </c>
      <c r="AB126" s="18">
        <v>1194.8387096774193</v>
      </c>
      <c r="AC126" s="18">
        <v>213990</v>
      </c>
      <c r="AD126" s="18">
        <v>11755</v>
      </c>
      <c r="AE126" s="18">
        <v>18</v>
      </c>
      <c r="AF126" s="18">
        <v>734.66666666666663</v>
      </c>
      <c r="AG126" s="18">
        <v>1201.3333333333333</v>
      </c>
      <c r="AH126" s="18">
        <v>282359</v>
      </c>
      <c r="AI126" s="18">
        <v>14388</v>
      </c>
      <c r="AJ126" s="18">
        <v>0</v>
      </c>
      <c r="AK126" s="18">
        <v>749.35483870967744</v>
      </c>
      <c r="AL126" s="18">
        <v>1192.9032258064517</v>
      </c>
      <c r="AM126" s="18">
        <v>188524</v>
      </c>
      <c r="AN126" s="18">
        <v>11219</v>
      </c>
      <c r="AO126" s="18">
        <v>0</v>
      </c>
      <c r="AP126" s="18">
        <v>853.22580645161293</v>
      </c>
      <c r="AQ126" s="18">
        <v>1190</v>
      </c>
      <c r="AR126" s="18">
        <v>196202</v>
      </c>
      <c r="AS126" s="18">
        <v>16603</v>
      </c>
      <c r="AT126" s="18">
        <v>0</v>
      </c>
      <c r="AU126" s="18">
        <v>1109.5</v>
      </c>
      <c r="AV126" s="18">
        <v>1190</v>
      </c>
      <c r="AW126" s="18">
        <v>207074</v>
      </c>
      <c r="AX126" s="18">
        <v>21346</v>
      </c>
      <c r="AY126" s="18">
        <v>0</v>
      </c>
      <c r="AZ126" s="18">
        <v>1176.1290322580646</v>
      </c>
      <c r="BA126" s="18">
        <v>1190</v>
      </c>
      <c r="BB126" s="18">
        <v>185538</v>
      </c>
      <c r="BC126" s="18">
        <v>18850</v>
      </c>
      <c r="BD126" s="18">
        <v>0</v>
      </c>
      <c r="BE126" s="18">
        <v>1131.3333333333333</v>
      </c>
      <c r="BF126" s="18">
        <v>1179.3333333333333</v>
      </c>
      <c r="BG126" s="18">
        <v>213230</v>
      </c>
      <c r="BH126" s="18">
        <v>14052</v>
      </c>
      <c r="BI126" s="18">
        <v>0</v>
      </c>
      <c r="BJ126" s="18">
        <v>1075.483870967742</v>
      </c>
      <c r="BK126" s="18">
        <v>1154.516129032258</v>
      </c>
    </row>
    <row r="127" spans="1:63" x14ac:dyDescent="0.35">
      <c r="A127" s="19">
        <v>123</v>
      </c>
      <c r="B127" s="20" t="s">
        <v>265</v>
      </c>
      <c r="C127" s="20" t="s">
        <v>266</v>
      </c>
      <c r="D127" s="18">
        <v>112136</v>
      </c>
      <c r="E127" s="18">
        <v>7571</v>
      </c>
      <c r="F127" s="18">
        <v>0</v>
      </c>
      <c r="G127" s="18">
        <v>652.25806451612902</v>
      </c>
      <c r="H127" s="18">
        <v>1053.3870967741937</v>
      </c>
      <c r="I127" s="18">
        <v>152515</v>
      </c>
      <c r="J127" s="18">
        <v>9169</v>
      </c>
      <c r="K127" s="18">
        <v>0</v>
      </c>
      <c r="L127" s="18">
        <v>669.82142857142856</v>
      </c>
      <c r="M127" s="18">
        <v>1406.4285714285713</v>
      </c>
      <c r="N127" s="18">
        <v>138604</v>
      </c>
      <c r="O127" s="18">
        <v>6029</v>
      </c>
      <c r="P127" s="18">
        <v>0</v>
      </c>
      <c r="Q127" s="18">
        <v>695</v>
      </c>
      <c r="R127" s="18">
        <v>1590.3225806451612</v>
      </c>
      <c r="S127" s="18">
        <v>157312</v>
      </c>
      <c r="T127" s="18">
        <v>7257</v>
      </c>
      <c r="U127" s="18">
        <v>0</v>
      </c>
      <c r="V127" s="18">
        <v>695</v>
      </c>
      <c r="W127" s="18">
        <v>1357</v>
      </c>
      <c r="X127" s="18">
        <v>212038</v>
      </c>
      <c r="Y127" s="18">
        <v>16282</v>
      </c>
      <c r="Z127" s="18">
        <v>0</v>
      </c>
      <c r="AA127" s="18">
        <v>741.61290322580646</v>
      </c>
      <c r="AB127" s="18">
        <v>1194.8387096774193</v>
      </c>
      <c r="AC127" s="18">
        <v>139300</v>
      </c>
      <c r="AD127" s="18">
        <v>13410</v>
      </c>
      <c r="AE127" s="18">
        <v>0</v>
      </c>
      <c r="AF127" s="18">
        <v>734.66666666666663</v>
      </c>
      <c r="AG127" s="18">
        <v>1201.3333333333333</v>
      </c>
      <c r="AH127" s="18">
        <v>157832</v>
      </c>
      <c r="AI127" s="18">
        <v>12634</v>
      </c>
      <c r="AJ127" s="18">
        <v>0</v>
      </c>
      <c r="AK127" s="18">
        <v>749.35483870967744</v>
      </c>
      <c r="AL127" s="18">
        <v>1192.9032258064517</v>
      </c>
      <c r="AM127" s="18">
        <v>159708</v>
      </c>
      <c r="AN127" s="18">
        <v>13915</v>
      </c>
      <c r="AO127" s="18">
        <v>0</v>
      </c>
      <c r="AP127" s="18">
        <v>853.22580645161293</v>
      </c>
      <c r="AQ127" s="18">
        <v>1190</v>
      </c>
      <c r="AR127" s="18">
        <v>218671</v>
      </c>
      <c r="AS127" s="18">
        <v>23625</v>
      </c>
      <c r="AT127" s="18">
        <v>0</v>
      </c>
      <c r="AU127" s="18">
        <v>1108.6666666666667</v>
      </c>
      <c r="AV127" s="18">
        <v>1190</v>
      </c>
      <c r="AW127" s="18">
        <v>159160</v>
      </c>
      <c r="AX127" s="18">
        <v>27392</v>
      </c>
      <c r="AY127" s="18">
        <v>0</v>
      </c>
      <c r="AZ127" s="18">
        <v>1176.1290322580646</v>
      </c>
      <c r="BA127" s="18">
        <v>1190</v>
      </c>
      <c r="BB127" s="18">
        <v>123157</v>
      </c>
      <c r="BC127" s="18">
        <v>20300</v>
      </c>
      <c r="BD127" s="18">
        <v>0</v>
      </c>
      <c r="BE127" s="18">
        <v>1131.3333333333333</v>
      </c>
      <c r="BF127" s="18">
        <v>1179.3333333333333</v>
      </c>
      <c r="BG127" s="18">
        <v>131610</v>
      </c>
      <c r="BH127" s="18">
        <v>15759</v>
      </c>
      <c r="BI127" s="18">
        <v>0</v>
      </c>
      <c r="BJ127" s="18">
        <v>1075.483870967742</v>
      </c>
      <c r="BK127" s="18">
        <v>1154.516129032258</v>
      </c>
    </row>
    <row r="128" spans="1:63" x14ac:dyDescent="0.35">
      <c r="A128" s="19">
        <v>124</v>
      </c>
      <c r="B128" s="20" t="s">
        <v>267</v>
      </c>
      <c r="C128" s="20" t="s">
        <v>268</v>
      </c>
      <c r="D128" s="18">
        <v>182765</v>
      </c>
      <c r="E128" s="18">
        <v>10817</v>
      </c>
      <c r="F128" s="18">
        <v>0</v>
      </c>
      <c r="G128" s="18">
        <v>652.25806451612902</v>
      </c>
      <c r="H128" s="18">
        <v>1057.258064516129</v>
      </c>
      <c r="I128" s="18">
        <v>183689</v>
      </c>
      <c r="J128" s="18">
        <v>7196</v>
      </c>
      <c r="K128" s="18">
        <v>0</v>
      </c>
      <c r="L128" s="18">
        <v>669.82142857142856</v>
      </c>
      <c r="M128" s="18">
        <v>1406.4285714285713</v>
      </c>
      <c r="N128" s="18">
        <v>200979</v>
      </c>
      <c r="O128" s="18">
        <v>6548</v>
      </c>
      <c r="P128" s="18">
        <v>78</v>
      </c>
      <c r="Q128" s="18">
        <v>695</v>
      </c>
      <c r="R128" s="18">
        <v>1590.3225806451612</v>
      </c>
      <c r="S128" s="18">
        <v>229389</v>
      </c>
      <c r="T128" s="18">
        <v>9444</v>
      </c>
      <c r="U128" s="18">
        <v>338</v>
      </c>
      <c r="V128" s="18">
        <v>695</v>
      </c>
      <c r="W128" s="18">
        <v>1357</v>
      </c>
      <c r="X128" s="18">
        <v>244618</v>
      </c>
      <c r="Y128" s="18">
        <v>11037</v>
      </c>
      <c r="Z128" s="18">
        <v>324</v>
      </c>
      <c r="AA128" s="18">
        <v>741.61290322580646</v>
      </c>
      <c r="AB128" s="18">
        <v>1194.8387096774193</v>
      </c>
      <c r="AC128" s="18">
        <v>151981</v>
      </c>
      <c r="AD128" s="18">
        <v>9279</v>
      </c>
      <c r="AE128" s="18">
        <v>615</v>
      </c>
      <c r="AF128" s="18">
        <v>734.66666666666663</v>
      </c>
      <c r="AG128" s="18">
        <v>1201.3333333333333</v>
      </c>
      <c r="AH128" s="18">
        <v>214381</v>
      </c>
      <c r="AI128" s="18">
        <v>6281</v>
      </c>
      <c r="AJ128" s="18">
        <v>1194</v>
      </c>
      <c r="AK128" s="18">
        <v>749.0322580645161</v>
      </c>
      <c r="AL128" s="18">
        <v>1192.9032258064517</v>
      </c>
      <c r="AM128" s="18">
        <v>120312</v>
      </c>
      <c r="AN128" s="18">
        <v>6223</v>
      </c>
      <c r="AO128" s="18">
        <v>616</v>
      </c>
      <c r="AP128" s="18">
        <v>853.22580645161293</v>
      </c>
      <c r="AQ128" s="18">
        <v>1190</v>
      </c>
      <c r="AR128" s="18">
        <v>168695</v>
      </c>
      <c r="AS128" s="18">
        <v>10484</v>
      </c>
      <c r="AT128" s="18">
        <v>133</v>
      </c>
      <c r="AU128" s="18">
        <v>1108.8333333333333</v>
      </c>
      <c r="AV128" s="18">
        <v>1190</v>
      </c>
      <c r="AW128" s="18">
        <v>166992</v>
      </c>
      <c r="AX128" s="18">
        <v>20660</v>
      </c>
      <c r="AY128" s="18">
        <v>0</v>
      </c>
      <c r="AZ128" s="18">
        <v>1176.1290322580646</v>
      </c>
      <c r="BA128" s="18">
        <v>1190</v>
      </c>
      <c r="BB128" s="18">
        <v>121925</v>
      </c>
      <c r="BC128" s="18">
        <v>19187</v>
      </c>
      <c r="BD128" s="18">
        <v>0</v>
      </c>
      <c r="BE128" s="18">
        <v>1131.3333333333333</v>
      </c>
      <c r="BF128" s="18">
        <v>1179.3333333333333</v>
      </c>
      <c r="BG128" s="18">
        <v>135851</v>
      </c>
      <c r="BH128" s="18">
        <v>17074</v>
      </c>
      <c r="BI128" s="18">
        <v>0</v>
      </c>
      <c r="BJ128" s="18">
        <v>1075.483870967742</v>
      </c>
      <c r="BK128" s="18">
        <v>1154.516129032258</v>
      </c>
    </row>
    <row r="129" spans="1:63" x14ac:dyDescent="0.35">
      <c r="A129" s="19">
        <v>125</v>
      </c>
      <c r="B129" s="20" t="s">
        <v>269</v>
      </c>
      <c r="C129" s="20" t="s">
        <v>270</v>
      </c>
      <c r="D129" s="18">
        <v>179965</v>
      </c>
      <c r="E129" s="18">
        <v>14036</v>
      </c>
      <c r="F129" s="18">
        <v>0</v>
      </c>
      <c r="G129" s="18">
        <v>652.25806451612902</v>
      </c>
      <c r="H129" s="18">
        <v>1057.4193548387098</v>
      </c>
      <c r="I129" s="18">
        <v>215734</v>
      </c>
      <c r="J129" s="18">
        <v>17530</v>
      </c>
      <c r="K129" s="18">
        <v>0</v>
      </c>
      <c r="L129" s="18">
        <v>669.28571428571433</v>
      </c>
      <c r="M129" s="18">
        <v>1406.4285714285713</v>
      </c>
      <c r="N129" s="18">
        <v>170124</v>
      </c>
      <c r="O129" s="18">
        <v>12116</v>
      </c>
      <c r="P129" s="18">
        <v>0</v>
      </c>
      <c r="Q129" s="18">
        <v>695</v>
      </c>
      <c r="R129" s="18">
        <v>1590.3225806451612</v>
      </c>
      <c r="S129" s="18">
        <v>151435</v>
      </c>
      <c r="T129" s="18">
        <v>14742</v>
      </c>
      <c r="U129" s="18">
        <v>173</v>
      </c>
      <c r="V129" s="18">
        <v>695</v>
      </c>
      <c r="W129" s="18">
        <v>1357</v>
      </c>
      <c r="X129" s="18">
        <v>244110</v>
      </c>
      <c r="Y129" s="18">
        <v>17023</v>
      </c>
      <c r="Z129" s="18">
        <v>642</v>
      </c>
      <c r="AA129" s="18">
        <v>741.61290322580646</v>
      </c>
      <c r="AB129" s="18">
        <v>1197.4193548387098</v>
      </c>
      <c r="AC129" s="18">
        <v>168601</v>
      </c>
      <c r="AD129" s="18">
        <v>11223</v>
      </c>
      <c r="AE129" s="18">
        <v>321</v>
      </c>
      <c r="AF129" s="18">
        <v>726.66666666666663</v>
      </c>
      <c r="AG129" s="18">
        <v>1181.3333333333333</v>
      </c>
      <c r="AH129" s="18">
        <v>217994</v>
      </c>
      <c r="AI129" s="18">
        <v>10256</v>
      </c>
      <c r="AJ129" s="18">
        <v>930</v>
      </c>
      <c r="AK129" s="18">
        <v>746.45161290322585</v>
      </c>
      <c r="AL129" s="18">
        <v>1207.4193548387098</v>
      </c>
      <c r="AM129" s="18">
        <v>151560</v>
      </c>
      <c r="AN129" s="18">
        <v>5369</v>
      </c>
      <c r="AO129" s="18">
        <v>1677</v>
      </c>
      <c r="AP129" s="18">
        <v>842.25806451612902</v>
      </c>
      <c r="AQ129" s="18">
        <v>1230</v>
      </c>
      <c r="AR129" s="18">
        <v>146337</v>
      </c>
      <c r="AS129" s="18">
        <v>6724</v>
      </c>
      <c r="AT129" s="18">
        <v>702</v>
      </c>
      <c r="AU129" s="18">
        <v>1107.5</v>
      </c>
      <c r="AV129" s="18">
        <v>1230</v>
      </c>
      <c r="AW129" s="18">
        <v>125798</v>
      </c>
      <c r="AX129" s="18">
        <v>8410</v>
      </c>
      <c r="AY129" s="18">
        <v>853</v>
      </c>
      <c r="AZ129" s="18">
        <v>1186.4516129032259</v>
      </c>
      <c r="BA129" s="18">
        <v>1217.4193548387098</v>
      </c>
      <c r="BB129" s="18">
        <v>102115</v>
      </c>
      <c r="BC129" s="18">
        <v>8419</v>
      </c>
      <c r="BD129" s="18">
        <v>633</v>
      </c>
      <c r="BE129" s="18">
        <v>1128.3333333333333</v>
      </c>
      <c r="BF129" s="18">
        <v>1171.3333333333333</v>
      </c>
      <c r="BG129" s="18">
        <v>118911</v>
      </c>
      <c r="BH129" s="18">
        <v>9990</v>
      </c>
      <c r="BI129" s="18">
        <v>655</v>
      </c>
      <c r="BJ129" s="18">
        <v>1071.2903225806451</v>
      </c>
      <c r="BK129" s="18">
        <v>1150</v>
      </c>
    </row>
    <row r="130" spans="1:63" x14ac:dyDescent="0.35">
      <c r="A130" s="19">
        <v>126</v>
      </c>
      <c r="B130" s="20" t="s">
        <v>271</v>
      </c>
      <c r="C130" s="20" t="s">
        <v>272</v>
      </c>
      <c r="D130" s="18">
        <v>345306</v>
      </c>
      <c r="E130" s="18">
        <v>7959</v>
      </c>
      <c r="F130" s="18">
        <v>0</v>
      </c>
      <c r="G130" s="18">
        <v>660</v>
      </c>
      <c r="H130" s="18">
        <v>1078.3870967741937</v>
      </c>
      <c r="I130" s="18">
        <v>588730</v>
      </c>
      <c r="J130" s="18">
        <v>7086</v>
      </c>
      <c r="K130" s="18">
        <v>0</v>
      </c>
      <c r="L130" s="18">
        <v>674.64285714285711</v>
      </c>
      <c r="M130" s="18">
        <v>1388.5714285714287</v>
      </c>
      <c r="N130" s="18">
        <v>439879</v>
      </c>
      <c r="O130" s="18">
        <v>2909</v>
      </c>
      <c r="P130" s="18">
        <v>0</v>
      </c>
      <c r="Q130" s="18">
        <v>695</v>
      </c>
      <c r="R130" s="18">
        <v>1603.2258064516129</v>
      </c>
      <c r="S130" s="18">
        <v>310188</v>
      </c>
      <c r="T130" s="18">
        <v>6259</v>
      </c>
      <c r="U130" s="18">
        <v>0</v>
      </c>
      <c r="V130" s="18">
        <v>696.33333333333337</v>
      </c>
      <c r="W130" s="18">
        <v>1360.5</v>
      </c>
      <c r="X130" s="18">
        <v>295856</v>
      </c>
      <c r="Y130" s="18">
        <v>20581</v>
      </c>
      <c r="Z130" s="18">
        <v>0</v>
      </c>
      <c r="AA130" s="18">
        <v>791.93548387096769</v>
      </c>
      <c r="AB130" s="18">
        <v>1229.516129032258</v>
      </c>
      <c r="AC130" s="18">
        <v>187659</v>
      </c>
      <c r="AD130" s="18">
        <v>13546</v>
      </c>
      <c r="AE130" s="18">
        <v>0</v>
      </c>
      <c r="AF130" s="18">
        <v>767.33333333333337</v>
      </c>
      <c r="AG130" s="18">
        <v>1236.3333333333333</v>
      </c>
      <c r="AH130" s="18">
        <v>253671</v>
      </c>
      <c r="AI130" s="18">
        <v>2079</v>
      </c>
      <c r="AJ130" s="18">
        <v>0</v>
      </c>
      <c r="AK130" s="18">
        <v>770.64516129032256</v>
      </c>
      <c r="AL130" s="18">
        <v>1255</v>
      </c>
      <c r="AM130" s="18">
        <v>119009</v>
      </c>
      <c r="AN130" s="18">
        <v>5375</v>
      </c>
      <c r="AO130" s="18">
        <v>0</v>
      </c>
      <c r="AP130" s="18">
        <v>875.80645161290317</v>
      </c>
      <c r="AQ130" s="18">
        <v>1255</v>
      </c>
      <c r="AR130" s="18">
        <v>197502</v>
      </c>
      <c r="AS130" s="18">
        <v>5752</v>
      </c>
      <c r="AT130" s="18">
        <v>0</v>
      </c>
      <c r="AU130" s="18">
        <v>1064.6666666666667</v>
      </c>
      <c r="AV130" s="18">
        <v>1254.3333333333333</v>
      </c>
      <c r="AW130" s="18">
        <v>179004</v>
      </c>
      <c r="AX130" s="18">
        <v>8576</v>
      </c>
      <c r="AY130" s="18">
        <v>0</v>
      </c>
      <c r="AZ130" s="18">
        <v>1206.4516129032259</v>
      </c>
      <c r="BA130" s="18">
        <v>1244.516129032258</v>
      </c>
      <c r="BB130" s="18">
        <v>154470</v>
      </c>
      <c r="BC130" s="18">
        <v>14622</v>
      </c>
      <c r="BD130" s="18">
        <v>413</v>
      </c>
      <c r="BE130" s="18">
        <v>1142.5</v>
      </c>
      <c r="BF130" s="18">
        <v>1216.3333333333333</v>
      </c>
      <c r="BG130" s="18">
        <v>197576</v>
      </c>
      <c r="BH130" s="18">
        <v>17948</v>
      </c>
      <c r="BI130" s="18">
        <v>0</v>
      </c>
      <c r="BJ130" s="18">
        <v>1079.3548387096773</v>
      </c>
      <c r="BK130" s="18">
        <v>1200</v>
      </c>
    </row>
    <row r="131" spans="1:63" x14ac:dyDescent="0.35">
      <c r="A131" s="19">
        <v>127</v>
      </c>
      <c r="B131" s="20" t="s">
        <v>273</v>
      </c>
      <c r="C131" s="20" t="s">
        <v>274</v>
      </c>
      <c r="D131" s="18">
        <v>1415623</v>
      </c>
      <c r="E131" s="18">
        <v>500950</v>
      </c>
      <c r="F131" s="18">
        <v>1300</v>
      </c>
      <c r="G131" s="18">
        <v>650.48387096774195</v>
      </c>
      <c r="H131" s="18">
        <v>1044.8387096774193</v>
      </c>
      <c r="I131" s="18">
        <v>1085673</v>
      </c>
      <c r="J131" s="18">
        <v>501891</v>
      </c>
      <c r="K131" s="18">
        <v>1300</v>
      </c>
      <c r="L131" s="18">
        <v>667.32142857142856</v>
      </c>
      <c r="M131" s="18">
        <v>1393.2142857142858</v>
      </c>
      <c r="N131" s="18">
        <v>1238720</v>
      </c>
      <c r="O131" s="18">
        <v>488095</v>
      </c>
      <c r="P131" s="18">
        <v>0</v>
      </c>
      <c r="Q131" s="18">
        <v>680</v>
      </c>
      <c r="R131" s="18">
        <v>1562.9032258064517</v>
      </c>
      <c r="S131" s="18">
        <v>1332486</v>
      </c>
      <c r="T131" s="18">
        <v>576372</v>
      </c>
      <c r="U131" s="18">
        <v>0</v>
      </c>
      <c r="V131" s="18">
        <v>680</v>
      </c>
      <c r="W131" s="18">
        <v>1339.3333333333333</v>
      </c>
      <c r="X131" s="18">
        <v>1397742</v>
      </c>
      <c r="Y131" s="18">
        <v>542663</v>
      </c>
      <c r="Z131" s="18">
        <v>9</v>
      </c>
      <c r="AA131" s="18">
        <v>718.70967741935488</v>
      </c>
      <c r="AB131" s="18">
        <v>1183.8709677419354</v>
      </c>
      <c r="AC131" s="18">
        <v>1232177</v>
      </c>
      <c r="AD131" s="18">
        <v>554014</v>
      </c>
      <c r="AE131" s="18">
        <v>0</v>
      </c>
      <c r="AF131" s="18">
        <v>717.5</v>
      </c>
      <c r="AG131" s="18">
        <v>1171.6666666666667</v>
      </c>
      <c r="AH131" s="18">
        <v>1415173</v>
      </c>
      <c r="AI131" s="18">
        <v>531006</v>
      </c>
      <c r="AJ131" s="18">
        <v>0</v>
      </c>
      <c r="AK131" s="18">
        <v>742.25806451612902</v>
      </c>
      <c r="AL131" s="18">
        <v>1197.0967741935483</v>
      </c>
      <c r="AM131" s="18">
        <v>999591</v>
      </c>
      <c r="AN131" s="18">
        <v>371990</v>
      </c>
      <c r="AO131" s="18">
        <v>0</v>
      </c>
      <c r="AP131" s="18">
        <v>826.45161290322585</v>
      </c>
      <c r="AQ131" s="18">
        <v>1200.6451612903227</v>
      </c>
      <c r="AR131" s="18">
        <v>1237179</v>
      </c>
      <c r="AS131" s="18">
        <v>519923</v>
      </c>
      <c r="AT131" s="18">
        <v>0</v>
      </c>
      <c r="AU131" s="18">
        <v>1055.1666666666667</v>
      </c>
      <c r="AV131" s="18">
        <v>1193.6666666666667</v>
      </c>
      <c r="AW131" s="18">
        <v>1063344</v>
      </c>
      <c r="AX131" s="18">
        <v>582785</v>
      </c>
      <c r="AY131" s="18">
        <v>0</v>
      </c>
      <c r="AZ131" s="18">
        <v>1145.483870967742</v>
      </c>
      <c r="BA131" s="18">
        <v>1186.7741935483871</v>
      </c>
      <c r="BB131" s="18">
        <v>920845</v>
      </c>
      <c r="BC131" s="18">
        <v>614113</v>
      </c>
      <c r="BD131" s="18">
        <v>0</v>
      </c>
      <c r="BE131" s="18">
        <v>1127.6666666666667</v>
      </c>
      <c r="BF131" s="18">
        <v>1161.6666666666667</v>
      </c>
      <c r="BG131" s="18">
        <v>1121267</v>
      </c>
      <c r="BH131" s="18">
        <v>587438</v>
      </c>
      <c r="BI131" s="18">
        <v>0</v>
      </c>
      <c r="BJ131" s="18">
        <v>1081.2903225806451</v>
      </c>
      <c r="BK131" s="18">
        <v>1150</v>
      </c>
    </row>
    <row r="132" spans="1:63" x14ac:dyDescent="0.35">
      <c r="A132" s="19">
        <v>128</v>
      </c>
      <c r="B132" s="20" t="s">
        <v>275</v>
      </c>
      <c r="C132" s="20" t="s">
        <v>276</v>
      </c>
      <c r="D132" s="18">
        <v>118520</v>
      </c>
      <c r="E132" s="18">
        <v>7187</v>
      </c>
      <c r="F132" s="18">
        <v>0</v>
      </c>
      <c r="G132" s="18">
        <v>656.29032258064512</v>
      </c>
      <c r="H132" s="18">
        <v>1066.7741935483871</v>
      </c>
      <c r="I132" s="18">
        <v>107234</v>
      </c>
      <c r="J132" s="18">
        <v>6757</v>
      </c>
      <c r="K132" s="18">
        <v>0</v>
      </c>
      <c r="L132" s="18">
        <v>669.10714285714289</v>
      </c>
      <c r="M132" s="18">
        <v>1406.4285714285713</v>
      </c>
      <c r="N132" s="18">
        <v>120459</v>
      </c>
      <c r="O132" s="18">
        <v>7092</v>
      </c>
      <c r="P132" s="18">
        <v>0</v>
      </c>
      <c r="Q132" s="18">
        <v>695</v>
      </c>
      <c r="R132" s="18">
        <v>1588.7096774193549</v>
      </c>
      <c r="S132" s="18">
        <v>137428</v>
      </c>
      <c r="T132" s="18">
        <v>11165</v>
      </c>
      <c r="U132" s="18">
        <v>0</v>
      </c>
      <c r="V132" s="18">
        <v>689.83333333333337</v>
      </c>
      <c r="W132" s="18">
        <v>1339.3333333333333</v>
      </c>
      <c r="X132" s="18">
        <v>139514</v>
      </c>
      <c r="Y132" s="18">
        <v>9736</v>
      </c>
      <c r="Z132" s="18">
        <v>0</v>
      </c>
      <c r="AA132" s="18">
        <v>717.90322580645159</v>
      </c>
      <c r="AB132" s="18">
        <v>1187.0967741935483</v>
      </c>
      <c r="AC132" s="18">
        <v>134066</v>
      </c>
      <c r="AD132" s="18">
        <v>10075</v>
      </c>
      <c r="AE132" s="18">
        <v>0</v>
      </c>
      <c r="AF132" s="18">
        <v>725</v>
      </c>
      <c r="AG132" s="18">
        <v>1183.3333333333333</v>
      </c>
      <c r="AH132" s="18">
        <v>131835</v>
      </c>
      <c r="AI132" s="18">
        <v>11716</v>
      </c>
      <c r="AJ132" s="18">
        <v>0</v>
      </c>
      <c r="AK132" s="18">
        <v>756.61290322580646</v>
      </c>
      <c r="AL132" s="18">
        <v>1190.6451612903227</v>
      </c>
      <c r="AM132" s="18">
        <v>90492</v>
      </c>
      <c r="AN132" s="18">
        <v>4380</v>
      </c>
      <c r="AO132" s="18">
        <v>0</v>
      </c>
      <c r="AP132" s="18">
        <v>867.09677419354841</v>
      </c>
      <c r="AQ132" s="18">
        <v>1190.9677419354839</v>
      </c>
      <c r="AR132" s="18">
        <v>135955</v>
      </c>
      <c r="AS132" s="18">
        <v>13241</v>
      </c>
      <c r="AT132" s="18">
        <v>0</v>
      </c>
      <c r="AU132" s="18">
        <v>1104.5</v>
      </c>
      <c r="AV132" s="18">
        <v>1190</v>
      </c>
      <c r="AW132" s="18">
        <v>115108</v>
      </c>
      <c r="AX132" s="18">
        <v>16134</v>
      </c>
      <c r="AY132" s="18">
        <v>0</v>
      </c>
      <c r="AZ132" s="18">
        <v>1160</v>
      </c>
      <c r="BA132" s="18">
        <v>1193.8709677419354</v>
      </c>
      <c r="BB132" s="18">
        <v>107372</v>
      </c>
      <c r="BC132" s="18">
        <v>21615</v>
      </c>
      <c r="BD132" s="18">
        <v>0</v>
      </c>
      <c r="BE132" s="18">
        <v>1127.3333333333333</v>
      </c>
      <c r="BF132" s="18">
        <v>1168.6666666666667</v>
      </c>
      <c r="BG132" s="18">
        <v>132694</v>
      </c>
      <c r="BH132" s="18">
        <v>20141</v>
      </c>
      <c r="BI132" s="18">
        <v>0</v>
      </c>
      <c r="BJ132" s="18">
        <v>1080</v>
      </c>
      <c r="BK132" s="18">
        <v>1150</v>
      </c>
    </row>
    <row r="133" spans="1:63" x14ac:dyDescent="0.35">
      <c r="A133" s="19">
        <v>129</v>
      </c>
      <c r="B133" s="20" t="s">
        <v>277</v>
      </c>
      <c r="C133" s="20" t="s">
        <v>278</v>
      </c>
      <c r="D133" s="18">
        <v>359766</v>
      </c>
      <c r="E133" s="18">
        <v>76675</v>
      </c>
      <c r="F133" s="18">
        <v>0</v>
      </c>
      <c r="G133" s="18">
        <v>654.35483870967744</v>
      </c>
      <c r="H133" s="18">
        <v>1054.1935483870968</v>
      </c>
      <c r="I133" s="18">
        <v>334397</v>
      </c>
      <c r="J133" s="18">
        <v>35917</v>
      </c>
      <c r="K133" s="18">
        <v>0</v>
      </c>
      <c r="L133" s="18">
        <v>668.57142857142856</v>
      </c>
      <c r="M133" s="18">
        <v>1385</v>
      </c>
      <c r="N133" s="18">
        <v>316730</v>
      </c>
      <c r="O133" s="18">
        <v>32981</v>
      </c>
      <c r="P133" s="18">
        <v>0</v>
      </c>
      <c r="Q133" s="18">
        <v>695</v>
      </c>
      <c r="R133" s="18">
        <v>1593.5483870967741</v>
      </c>
      <c r="S133" s="18">
        <v>340939</v>
      </c>
      <c r="T133" s="18">
        <v>72614</v>
      </c>
      <c r="U133" s="18">
        <v>0</v>
      </c>
      <c r="V133" s="18">
        <v>695</v>
      </c>
      <c r="W133" s="18">
        <v>1353.6666666666667</v>
      </c>
      <c r="X133" s="18">
        <v>328591</v>
      </c>
      <c r="Y133" s="18">
        <v>34975</v>
      </c>
      <c r="Z133" s="18">
        <v>0</v>
      </c>
      <c r="AA133" s="18">
        <v>742.58064516129036</v>
      </c>
      <c r="AB133" s="18">
        <v>1197.4193548387098</v>
      </c>
      <c r="AC133" s="18">
        <v>345624</v>
      </c>
      <c r="AD133" s="18">
        <v>43076</v>
      </c>
      <c r="AE133" s="18">
        <v>0</v>
      </c>
      <c r="AF133" s="18">
        <v>735.33333333333337</v>
      </c>
      <c r="AG133" s="18">
        <v>1201.3333333333333</v>
      </c>
      <c r="AH133" s="18">
        <v>390697</v>
      </c>
      <c r="AI133" s="18">
        <v>22199</v>
      </c>
      <c r="AJ133" s="18">
        <v>0</v>
      </c>
      <c r="AK133" s="18">
        <v>749.83870967741939</v>
      </c>
      <c r="AL133" s="18">
        <v>1220</v>
      </c>
      <c r="AM133" s="18">
        <v>214655</v>
      </c>
      <c r="AN133" s="18">
        <v>17102</v>
      </c>
      <c r="AO133" s="18">
        <v>0</v>
      </c>
      <c r="AP133" s="18">
        <v>866.77419354838707</v>
      </c>
      <c r="AQ133" s="18">
        <v>1219.0322580645161</v>
      </c>
      <c r="AR133" s="18">
        <v>273973</v>
      </c>
      <c r="AS133" s="18">
        <v>39250</v>
      </c>
      <c r="AT133" s="18">
        <v>0</v>
      </c>
      <c r="AU133" s="18">
        <v>1108.8333333333333</v>
      </c>
      <c r="AV133" s="18">
        <v>1220</v>
      </c>
      <c r="AW133" s="18">
        <v>365534</v>
      </c>
      <c r="AX133" s="18">
        <v>28309</v>
      </c>
      <c r="AY133" s="18">
        <v>0</v>
      </c>
      <c r="AZ133" s="18">
        <v>1150.6451612903227</v>
      </c>
      <c r="BA133" s="18">
        <v>1211.2903225806451</v>
      </c>
      <c r="BB133" s="18">
        <v>342580</v>
      </c>
      <c r="BC133" s="18">
        <v>37317</v>
      </c>
      <c r="BD133" s="18">
        <v>0</v>
      </c>
      <c r="BE133" s="18">
        <v>1138.3333333333333</v>
      </c>
      <c r="BF133" s="18">
        <v>1179.3333333333333</v>
      </c>
      <c r="BG133" s="18">
        <v>330001</v>
      </c>
      <c r="BH133" s="18">
        <v>37198</v>
      </c>
      <c r="BI133" s="18">
        <v>0</v>
      </c>
      <c r="BJ133" s="18">
        <v>1081.6129032258063</v>
      </c>
      <c r="BK133" s="18">
        <v>1153.2258064516129</v>
      </c>
    </row>
    <row r="134" spans="1:63" x14ac:dyDescent="0.35">
      <c r="A134" s="19">
        <v>130</v>
      </c>
      <c r="B134" s="20" t="s">
        <v>279</v>
      </c>
      <c r="C134" s="20" t="s">
        <v>280</v>
      </c>
      <c r="D134" s="18">
        <v>252796</v>
      </c>
      <c r="E134" s="18">
        <v>24294</v>
      </c>
      <c r="F134" s="18">
        <v>0</v>
      </c>
      <c r="G134" s="18">
        <v>654.35483870967744</v>
      </c>
      <c r="H134" s="18">
        <v>1056.4516129032259</v>
      </c>
      <c r="I134" s="18">
        <v>238839</v>
      </c>
      <c r="J134" s="18">
        <v>19828</v>
      </c>
      <c r="K134" s="18">
        <v>0</v>
      </c>
      <c r="L134" s="18">
        <v>668.75</v>
      </c>
      <c r="M134" s="18">
        <v>1407.1428571428571</v>
      </c>
      <c r="N134" s="18">
        <v>248539</v>
      </c>
      <c r="O134" s="18">
        <v>18136</v>
      </c>
      <c r="P134" s="18">
        <v>0</v>
      </c>
      <c r="Q134" s="18">
        <v>695</v>
      </c>
      <c r="R134" s="18">
        <v>1590.3225806451612</v>
      </c>
      <c r="S134" s="18">
        <v>250332</v>
      </c>
      <c r="T134" s="18">
        <v>24783</v>
      </c>
      <c r="U134" s="18">
        <v>0</v>
      </c>
      <c r="V134" s="18">
        <v>695</v>
      </c>
      <c r="W134" s="18">
        <v>1353.6666666666667</v>
      </c>
      <c r="X134" s="18">
        <v>226558</v>
      </c>
      <c r="Y134" s="18">
        <v>18049</v>
      </c>
      <c r="Z134" s="18">
        <v>0</v>
      </c>
      <c r="AA134" s="18">
        <v>742.58064516129036</v>
      </c>
      <c r="AB134" s="18">
        <v>1194.8387096774193</v>
      </c>
      <c r="AC134" s="18">
        <v>226125</v>
      </c>
      <c r="AD134" s="18">
        <v>20272</v>
      </c>
      <c r="AE134" s="18">
        <v>0</v>
      </c>
      <c r="AF134" s="18">
        <v>735.33333333333337</v>
      </c>
      <c r="AG134" s="18">
        <v>1201.3333333333333</v>
      </c>
      <c r="AH134" s="18">
        <v>283488</v>
      </c>
      <c r="AI134" s="18">
        <v>17401</v>
      </c>
      <c r="AJ134" s="18">
        <v>0</v>
      </c>
      <c r="AK134" s="18">
        <v>750.80645161290317</v>
      </c>
      <c r="AL134" s="18">
        <v>1220</v>
      </c>
      <c r="AM134" s="18">
        <v>189311</v>
      </c>
      <c r="AN134" s="18">
        <v>13797</v>
      </c>
      <c r="AO134" s="18">
        <v>0</v>
      </c>
      <c r="AP134" s="18">
        <v>866.77419354838707</v>
      </c>
      <c r="AQ134" s="18">
        <v>1219.0322580645161</v>
      </c>
      <c r="AR134" s="18">
        <v>218808</v>
      </c>
      <c r="AS134" s="18">
        <v>17965</v>
      </c>
      <c r="AT134" s="18">
        <v>0</v>
      </c>
      <c r="AU134" s="18">
        <v>1108.8333333333333</v>
      </c>
      <c r="AV134" s="18">
        <v>1220</v>
      </c>
      <c r="AW134" s="18">
        <v>250099</v>
      </c>
      <c r="AX134" s="18">
        <v>20621</v>
      </c>
      <c r="AY134" s="18">
        <v>0</v>
      </c>
      <c r="AZ134" s="18">
        <v>1150.6451612903227</v>
      </c>
      <c r="BA134" s="18">
        <v>1211.2903225806451</v>
      </c>
      <c r="BB134" s="18">
        <v>240542</v>
      </c>
      <c r="BC134" s="18">
        <v>32491</v>
      </c>
      <c r="BD134" s="18">
        <v>0</v>
      </c>
      <c r="BE134" s="18">
        <v>1138.3333333333333</v>
      </c>
      <c r="BF134" s="18">
        <v>1179.3333333333333</v>
      </c>
      <c r="BG134" s="18">
        <v>247057</v>
      </c>
      <c r="BH134" s="18">
        <v>31477</v>
      </c>
      <c r="BI134" s="18">
        <v>0</v>
      </c>
      <c r="BJ134" s="18">
        <v>1081.6129032258063</v>
      </c>
      <c r="BK134" s="18">
        <v>1153.2258064516129</v>
      </c>
    </row>
    <row r="135" spans="1:63" x14ac:dyDescent="0.35">
      <c r="A135" s="19">
        <v>131</v>
      </c>
      <c r="B135" s="20" t="s">
        <v>281</v>
      </c>
      <c r="C135" s="20" t="s">
        <v>282</v>
      </c>
      <c r="D135" s="18">
        <v>276448</v>
      </c>
      <c r="E135" s="18">
        <v>10261</v>
      </c>
      <c r="F135" s="18">
        <v>0</v>
      </c>
      <c r="G135" s="18">
        <v>654.35483870967744</v>
      </c>
      <c r="H135" s="18">
        <v>1056.4516129032259</v>
      </c>
      <c r="I135" s="18">
        <v>257964</v>
      </c>
      <c r="J135" s="18">
        <v>8282</v>
      </c>
      <c r="K135" s="18">
        <v>0</v>
      </c>
      <c r="L135" s="18">
        <v>668.75</v>
      </c>
      <c r="M135" s="18">
        <v>1399.2857142857142</v>
      </c>
      <c r="N135" s="18">
        <v>244358</v>
      </c>
      <c r="O135" s="18">
        <v>7224</v>
      </c>
      <c r="P135" s="18">
        <v>0</v>
      </c>
      <c r="Q135" s="18">
        <v>695</v>
      </c>
      <c r="R135" s="18">
        <v>1590.3225806451612</v>
      </c>
      <c r="S135" s="18">
        <v>323630</v>
      </c>
      <c r="T135" s="18">
        <v>9045</v>
      </c>
      <c r="U135" s="18">
        <v>0</v>
      </c>
      <c r="V135" s="18">
        <v>695</v>
      </c>
      <c r="W135" s="18">
        <v>1353.6666666666667</v>
      </c>
      <c r="X135" s="18">
        <v>271179</v>
      </c>
      <c r="Y135" s="18">
        <v>9826</v>
      </c>
      <c r="Z135" s="18">
        <v>0</v>
      </c>
      <c r="AA135" s="18">
        <v>742.58064516129036</v>
      </c>
      <c r="AB135" s="18">
        <v>1197.4193548387098</v>
      </c>
      <c r="AC135" s="18">
        <v>293799</v>
      </c>
      <c r="AD135" s="18">
        <v>7839</v>
      </c>
      <c r="AE135" s="18">
        <v>0</v>
      </c>
      <c r="AF135" s="18">
        <v>735.33333333333337</v>
      </c>
      <c r="AG135" s="18">
        <v>1201.3333333333333</v>
      </c>
      <c r="AH135" s="18">
        <v>328412</v>
      </c>
      <c r="AI135" s="18">
        <v>8762</v>
      </c>
      <c r="AJ135" s="18">
        <v>0</v>
      </c>
      <c r="AK135" s="18">
        <v>750.80645161290317</v>
      </c>
      <c r="AL135" s="18">
        <v>1220</v>
      </c>
      <c r="AM135" s="18">
        <v>156871</v>
      </c>
      <c r="AN135" s="18">
        <v>9060</v>
      </c>
      <c r="AO135" s="18">
        <v>0</v>
      </c>
      <c r="AP135" s="18">
        <v>867.41935483870964</v>
      </c>
      <c r="AQ135" s="18">
        <v>1220</v>
      </c>
      <c r="AR135" s="18">
        <v>221188</v>
      </c>
      <c r="AS135" s="18">
        <v>5474</v>
      </c>
      <c r="AT135" s="18">
        <v>0</v>
      </c>
      <c r="AU135" s="18">
        <v>1108.8333333333333</v>
      </c>
      <c r="AV135" s="18">
        <v>1220</v>
      </c>
      <c r="AW135" s="18">
        <v>309202</v>
      </c>
      <c r="AX135" s="18">
        <v>6778</v>
      </c>
      <c r="AY135" s="18">
        <v>0</v>
      </c>
      <c r="AZ135" s="18">
        <v>1150.6451612903227</v>
      </c>
      <c r="BA135" s="18">
        <v>1211.2903225806451</v>
      </c>
      <c r="BB135" s="18">
        <v>278932</v>
      </c>
      <c r="BC135" s="18">
        <v>8228</v>
      </c>
      <c r="BD135" s="18">
        <v>0</v>
      </c>
      <c r="BE135" s="18">
        <v>1138.3333333333333</v>
      </c>
      <c r="BF135" s="18">
        <v>1179.3333333333333</v>
      </c>
      <c r="BG135" s="18">
        <v>303601</v>
      </c>
      <c r="BH135" s="18">
        <v>12752</v>
      </c>
      <c r="BI135" s="18">
        <v>0</v>
      </c>
      <c r="BJ135" s="18">
        <v>1081.6129032258063</v>
      </c>
      <c r="BK135" s="18">
        <v>1153.2258064516129</v>
      </c>
    </row>
    <row r="136" spans="1:63" x14ac:dyDescent="0.35">
      <c r="A136" s="19">
        <v>132</v>
      </c>
      <c r="B136" s="20" t="s">
        <v>283</v>
      </c>
      <c r="C136" s="20" t="s">
        <v>284</v>
      </c>
      <c r="D136" s="18">
        <v>270894</v>
      </c>
      <c r="E136" s="18">
        <v>13957</v>
      </c>
      <c r="F136" s="18">
        <v>0</v>
      </c>
      <c r="G136" s="18">
        <v>654.35483870967744</v>
      </c>
      <c r="H136" s="18">
        <v>1056.4516129032259</v>
      </c>
      <c r="I136" s="18">
        <v>256432</v>
      </c>
      <c r="J136" s="18">
        <v>13255</v>
      </c>
      <c r="K136" s="18">
        <v>0</v>
      </c>
      <c r="L136" s="18">
        <v>669.46428571428567</v>
      </c>
      <c r="M136" s="18">
        <v>1406.4285714285713</v>
      </c>
      <c r="N136" s="18">
        <v>263186</v>
      </c>
      <c r="O136" s="18">
        <v>12465</v>
      </c>
      <c r="P136" s="18">
        <v>0</v>
      </c>
      <c r="Q136" s="18">
        <v>695</v>
      </c>
      <c r="R136" s="18">
        <v>1590.3225806451612</v>
      </c>
      <c r="S136" s="18">
        <v>258635</v>
      </c>
      <c r="T136" s="18">
        <v>19883</v>
      </c>
      <c r="U136" s="18">
        <v>0</v>
      </c>
      <c r="V136" s="18">
        <v>695</v>
      </c>
      <c r="W136" s="18">
        <v>1353.6666666666667</v>
      </c>
      <c r="X136" s="18">
        <v>242100</v>
      </c>
      <c r="Y136" s="18">
        <v>15288</v>
      </c>
      <c r="Z136" s="18">
        <v>0</v>
      </c>
      <c r="AA136" s="18">
        <v>742.58064516129036</v>
      </c>
      <c r="AB136" s="18">
        <v>1194.8387096774193</v>
      </c>
      <c r="AC136" s="18">
        <v>238700</v>
      </c>
      <c r="AD136" s="18">
        <v>17165</v>
      </c>
      <c r="AE136" s="18">
        <v>0</v>
      </c>
      <c r="AF136" s="18">
        <v>735.33333333333337</v>
      </c>
      <c r="AG136" s="18">
        <v>1201.3333333333333</v>
      </c>
      <c r="AH136" s="18">
        <v>260944</v>
      </c>
      <c r="AI136" s="18">
        <v>15950</v>
      </c>
      <c r="AJ136" s="18">
        <v>0</v>
      </c>
      <c r="AK136" s="18">
        <v>749.83870967741939</v>
      </c>
      <c r="AL136" s="18">
        <v>1220</v>
      </c>
      <c r="AM136" s="18">
        <v>142464</v>
      </c>
      <c r="AN136" s="18">
        <v>13603</v>
      </c>
      <c r="AO136" s="18">
        <v>0</v>
      </c>
      <c r="AP136" s="18">
        <v>867.41935483870964</v>
      </c>
      <c r="AQ136" s="18">
        <v>1220</v>
      </c>
      <c r="AR136" s="18">
        <v>225435</v>
      </c>
      <c r="AS136" s="18">
        <v>20846</v>
      </c>
      <c r="AT136" s="18">
        <v>0</v>
      </c>
      <c r="AU136" s="18">
        <v>1108.8333333333333</v>
      </c>
      <c r="AV136" s="18">
        <v>1220</v>
      </c>
      <c r="AW136" s="18">
        <v>261723</v>
      </c>
      <c r="AX136" s="18">
        <v>24980</v>
      </c>
      <c r="AY136" s="18">
        <v>0</v>
      </c>
      <c r="AZ136" s="18">
        <v>1150.6451612903227</v>
      </c>
      <c r="BA136" s="18">
        <v>1211.2903225806451</v>
      </c>
      <c r="BB136" s="18">
        <v>247297</v>
      </c>
      <c r="BC136" s="18">
        <v>28165</v>
      </c>
      <c r="BD136" s="18">
        <v>0</v>
      </c>
      <c r="BE136" s="18">
        <v>1138.3333333333333</v>
      </c>
      <c r="BF136" s="18">
        <v>1179.3333333333333</v>
      </c>
      <c r="BG136" s="18">
        <v>251710</v>
      </c>
      <c r="BH136" s="18">
        <v>32065</v>
      </c>
      <c r="BI136" s="18">
        <v>0</v>
      </c>
      <c r="BJ136" s="18">
        <v>1081.6129032258063</v>
      </c>
      <c r="BK136" s="18">
        <v>1153.2258064516129</v>
      </c>
    </row>
    <row r="137" spans="1:63" x14ac:dyDescent="0.35">
      <c r="A137" s="19">
        <v>133</v>
      </c>
      <c r="B137" s="20" t="s">
        <v>285</v>
      </c>
      <c r="C137" s="20" t="s">
        <v>286</v>
      </c>
      <c r="D137" s="18">
        <v>313140</v>
      </c>
      <c r="E137" s="18">
        <v>47461</v>
      </c>
      <c r="F137" s="18">
        <v>0</v>
      </c>
      <c r="G137" s="18">
        <v>652.25806451612902</v>
      </c>
      <c r="H137" s="18">
        <v>1057.4193548387098</v>
      </c>
      <c r="I137" s="18">
        <v>314633</v>
      </c>
      <c r="J137" s="18">
        <v>39902</v>
      </c>
      <c r="K137" s="18">
        <v>0</v>
      </c>
      <c r="L137" s="18">
        <v>669.28571428571433</v>
      </c>
      <c r="M137" s="18">
        <v>1406.4285714285713</v>
      </c>
      <c r="N137" s="18">
        <v>274459</v>
      </c>
      <c r="O137" s="18">
        <v>35830</v>
      </c>
      <c r="P137" s="18">
        <v>0</v>
      </c>
      <c r="Q137" s="18">
        <v>695</v>
      </c>
      <c r="R137" s="18">
        <v>1590.3225806451612</v>
      </c>
      <c r="S137" s="18">
        <v>277329</v>
      </c>
      <c r="T137" s="18">
        <v>45244</v>
      </c>
      <c r="U137" s="18">
        <v>0</v>
      </c>
      <c r="V137" s="18">
        <v>695</v>
      </c>
      <c r="W137" s="18">
        <v>1357</v>
      </c>
      <c r="X137" s="18">
        <v>270398</v>
      </c>
      <c r="Y137" s="18">
        <v>51677</v>
      </c>
      <c r="Z137" s="18">
        <v>0</v>
      </c>
      <c r="AA137" s="18">
        <v>741.61290322580646</v>
      </c>
      <c r="AB137" s="18">
        <v>1194.8387096774193</v>
      </c>
      <c r="AC137" s="18">
        <v>253445</v>
      </c>
      <c r="AD137" s="18">
        <v>48364</v>
      </c>
      <c r="AE137" s="18">
        <v>0</v>
      </c>
      <c r="AF137" s="18">
        <v>726.66666666666663</v>
      </c>
      <c r="AG137" s="18">
        <v>1181.3333333333333</v>
      </c>
      <c r="AH137" s="18">
        <v>377883</v>
      </c>
      <c r="AI137" s="18">
        <v>46309</v>
      </c>
      <c r="AJ137" s="18">
        <v>0</v>
      </c>
      <c r="AK137" s="18">
        <v>747.09677419354841</v>
      </c>
      <c r="AL137" s="18">
        <v>1207.4193548387098</v>
      </c>
      <c r="AM137" s="18">
        <v>163539</v>
      </c>
      <c r="AN137" s="18">
        <v>34815</v>
      </c>
      <c r="AO137" s="18">
        <v>0</v>
      </c>
      <c r="AP137" s="18">
        <v>842.25806451612902</v>
      </c>
      <c r="AQ137" s="18">
        <v>1230</v>
      </c>
      <c r="AR137" s="18">
        <v>216726</v>
      </c>
      <c r="AS137" s="18">
        <v>37828</v>
      </c>
      <c r="AT137" s="18">
        <v>0</v>
      </c>
      <c r="AU137" s="18">
        <v>1106.8333333333333</v>
      </c>
      <c r="AV137" s="18">
        <v>1230</v>
      </c>
      <c r="AW137" s="18">
        <v>244067</v>
      </c>
      <c r="AX137" s="18">
        <v>40312</v>
      </c>
      <c r="AY137" s="18">
        <v>0</v>
      </c>
      <c r="AZ137" s="18">
        <v>1186.4516129032259</v>
      </c>
      <c r="BA137" s="18">
        <v>1218.7096774193549</v>
      </c>
      <c r="BB137" s="18">
        <v>252915</v>
      </c>
      <c r="BC137" s="18">
        <v>44553</v>
      </c>
      <c r="BD137" s="18">
        <v>0</v>
      </c>
      <c r="BE137" s="18">
        <v>1128.6666666666667</v>
      </c>
      <c r="BF137" s="18">
        <v>1171.3333333333333</v>
      </c>
      <c r="BG137" s="18">
        <v>273768</v>
      </c>
      <c r="BH137" s="18">
        <v>29437</v>
      </c>
      <c r="BI137" s="18">
        <v>0</v>
      </c>
      <c r="BJ137" s="18">
        <v>1079.0322580645161</v>
      </c>
      <c r="BK137" s="18">
        <v>1150</v>
      </c>
    </row>
    <row r="138" spans="1:63" x14ac:dyDescent="0.35">
      <c r="A138" s="19">
        <v>134</v>
      </c>
      <c r="B138" s="20" t="s">
        <v>287</v>
      </c>
      <c r="C138" s="20" t="s">
        <v>288</v>
      </c>
      <c r="D138" s="18">
        <v>177686</v>
      </c>
      <c r="E138" s="18">
        <v>79240</v>
      </c>
      <c r="F138" s="18">
        <v>0</v>
      </c>
      <c r="G138" s="18">
        <v>652.25806451612902</v>
      </c>
      <c r="H138" s="18">
        <v>1057.4193548387098</v>
      </c>
      <c r="I138" s="18">
        <v>223605</v>
      </c>
      <c r="J138" s="18">
        <v>103058</v>
      </c>
      <c r="K138" s="18">
        <v>485</v>
      </c>
      <c r="L138" s="18">
        <v>669.28571428571433</v>
      </c>
      <c r="M138" s="18">
        <v>1406.4285714285713</v>
      </c>
      <c r="N138" s="18">
        <v>200700</v>
      </c>
      <c r="O138" s="18">
        <v>72426</v>
      </c>
      <c r="P138" s="18">
        <v>12086</v>
      </c>
      <c r="Q138" s="18">
        <v>695</v>
      </c>
      <c r="R138" s="18">
        <v>1590.3225806451612</v>
      </c>
      <c r="S138" s="18">
        <v>208323</v>
      </c>
      <c r="T138" s="18">
        <v>67976</v>
      </c>
      <c r="U138" s="18">
        <v>0</v>
      </c>
      <c r="V138" s="18">
        <v>695</v>
      </c>
      <c r="W138" s="18">
        <v>1357</v>
      </c>
      <c r="X138" s="18">
        <v>225391</v>
      </c>
      <c r="Y138" s="18">
        <v>48907</v>
      </c>
      <c r="Z138" s="18">
        <v>0</v>
      </c>
      <c r="AA138" s="18">
        <v>741.61290322580646</v>
      </c>
      <c r="AB138" s="18">
        <v>1197.4193548387098</v>
      </c>
      <c r="AC138" s="18">
        <v>181366</v>
      </c>
      <c r="AD138" s="18">
        <v>40466</v>
      </c>
      <c r="AE138" s="18">
        <v>0</v>
      </c>
      <c r="AF138" s="18">
        <v>726.66666666666663</v>
      </c>
      <c r="AG138" s="18">
        <v>1181.3333333333333</v>
      </c>
      <c r="AH138" s="18">
        <v>314566</v>
      </c>
      <c r="AI138" s="18">
        <v>41793</v>
      </c>
      <c r="AJ138" s="18">
        <v>0</v>
      </c>
      <c r="AK138" s="18">
        <v>747.09677419354841</v>
      </c>
      <c r="AL138" s="18">
        <v>1207.4193548387098</v>
      </c>
      <c r="AM138" s="18">
        <v>223177</v>
      </c>
      <c r="AN138" s="18">
        <v>22196</v>
      </c>
      <c r="AO138" s="18">
        <v>0</v>
      </c>
      <c r="AP138" s="18">
        <v>842.25806451612902</v>
      </c>
      <c r="AQ138" s="18">
        <v>1226.1290322580646</v>
      </c>
      <c r="AR138" s="18">
        <v>158191</v>
      </c>
      <c r="AS138" s="18">
        <v>0</v>
      </c>
      <c r="AT138" s="18">
        <v>0</v>
      </c>
      <c r="AU138" s="18">
        <v>1107.5</v>
      </c>
      <c r="AV138" s="18">
        <v>1192.6666666666667</v>
      </c>
      <c r="AW138" s="18">
        <v>150413</v>
      </c>
      <c r="AX138" s="18">
        <v>28642</v>
      </c>
      <c r="AY138" s="18">
        <v>0</v>
      </c>
      <c r="AZ138" s="18">
        <v>1186.4516129032259</v>
      </c>
      <c r="BA138" s="18">
        <v>1192.9032258064517</v>
      </c>
      <c r="BB138" s="18">
        <v>171929</v>
      </c>
      <c r="BC138" s="18">
        <v>46714</v>
      </c>
      <c r="BD138" s="18">
        <v>0</v>
      </c>
      <c r="BE138" s="18">
        <v>1128.6666666666667</v>
      </c>
      <c r="BF138" s="18">
        <v>1171.3333333333333</v>
      </c>
      <c r="BG138" s="18">
        <v>173919</v>
      </c>
      <c r="BH138" s="18">
        <v>43622</v>
      </c>
      <c r="BI138" s="18">
        <v>0</v>
      </c>
      <c r="BJ138" s="18">
        <v>1079.0322580645161</v>
      </c>
      <c r="BK138" s="18">
        <v>1150</v>
      </c>
    </row>
    <row r="139" spans="1:63" x14ac:dyDescent="0.35">
      <c r="A139" s="19">
        <v>135</v>
      </c>
      <c r="B139" s="20" t="s">
        <v>289</v>
      </c>
      <c r="C139" s="20" t="s">
        <v>290</v>
      </c>
      <c r="D139" s="18">
        <v>463904</v>
      </c>
      <c r="E139" s="18">
        <v>50664</v>
      </c>
      <c r="F139" s="18">
        <v>836</v>
      </c>
      <c r="G139" s="18">
        <v>666.77419354838707</v>
      </c>
      <c r="H139" s="18">
        <v>1053.5483870967741</v>
      </c>
      <c r="I139" s="18">
        <v>425247</v>
      </c>
      <c r="J139" s="18">
        <v>54863</v>
      </c>
      <c r="K139" s="18">
        <v>3714</v>
      </c>
      <c r="L139" s="18">
        <v>677.85714285714289</v>
      </c>
      <c r="M139" s="18">
        <v>1380.3571428571429</v>
      </c>
      <c r="N139" s="18">
        <v>480660</v>
      </c>
      <c r="O139" s="18">
        <v>38257</v>
      </c>
      <c r="P139" s="18">
        <v>3924</v>
      </c>
      <c r="Q139" s="18">
        <v>695</v>
      </c>
      <c r="R139" s="18">
        <v>1603.2258064516129</v>
      </c>
      <c r="S139" s="18">
        <v>444796</v>
      </c>
      <c r="T139" s="18">
        <v>55574</v>
      </c>
      <c r="U139" s="18">
        <v>11001</v>
      </c>
      <c r="V139" s="18">
        <v>697.83333333333337</v>
      </c>
      <c r="W139" s="18">
        <v>1467.5</v>
      </c>
      <c r="X139" s="18">
        <v>525457</v>
      </c>
      <c r="Y139" s="18">
        <v>78791</v>
      </c>
      <c r="Z139" s="18">
        <v>4037</v>
      </c>
      <c r="AA139" s="18">
        <v>806.45161290322585</v>
      </c>
      <c r="AB139" s="18">
        <v>1253.5483870967741</v>
      </c>
      <c r="AC139" s="18">
        <v>403761</v>
      </c>
      <c r="AD139" s="18">
        <v>43393</v>
      </c>
      <c r="AE139" s="18">
        <v>0</v>
      </c>
      <c r="AF139" s="18">
        <v>754.33333333333337</v>
      </c>
      <c r="AG139" s="18">
        <v>1241.3333333333333</v>
      </c>
      <c r="AH139" s="18">
        <v>617423</v>
      </c>
      <c r="AI139" s="18">
        <v>43639</v>
      </c>
      <c r="AJ139" s="18">
        <v>893</v>
      </c>
      <c r="AK139" s="18">
        <v>762.90322580645159</v>
      </c>
      <c r="AL139" s="18">
        <v>1260</v>
      </c>
      <c r="AM139" s="18">
        <v>473789</v>
      </c>
      <c r="AN139" s="18">
        <v>56961</v>
      </c>
      <c r="AO139" s="18">
        <v>5800</v>
      </c>
      <c r="AP139" s="18">
        <v>849.67741935483866</v>
      </c>
      <c r="AQ139" s="18">
        <v>1258.0645161290322</v>
      </c>
      <c r="AR139" s="18">
        <v>178001</v>
      </c>
      <c r="AS139" s="18">
        <v>50021</v>
      </c>
      <c r="AT139" s="18">
        <v>2099</v>
      </c>
      <c r="AU139" s="18">
        <v>1093.8333333333333</v>
      </c>
      <c r="AV139" s="18">
        <v>1260</v>
      </c>
      <c r="AW139" s="18">
        <v>368734</v>
      </c>
      <c r="AX139" s="18">
        <v>70463</v>
      </c>
      <c r="AY139" s="18">
        <v>868</v>
      </c>
      <c r="AZ139" s="18">
        <v>1192.258064516129</v>
      </c>
      <c r="BA139" s="18">
        <v>1248.3870967741937</v>
      </c>
      <c r="BB139" s="18">
        <v>396461</v>
      </c>
      <c r="BC139" s="18">
        <v>72821</v>
      </c>
      <c r="BD139" s="18">
        <v>2566</v>
      </c>
      <c r="BE139" s="18">
        <v>1131.1666666666667</v>
      </c>
      <c r="BF139" s="18">
        <v>1201</v>
      </c>
      <c r="BG139" s="18">
        <v>442619</v>
      </c>
      <c r="BH139" s="18">
        <v>64079</v>
      </c>
      <c r="BI139" s="18">
        <v>6184</v>
      </c>
      <c r="BJ139" s="18">
        <v>1072.5806451612902</v>
      </c>
      <c r="BK139" s="18">
        <v>1200</v>
      </c>
    </row>
    <row r="140" spans="1:63" x14ac:dyDescent="0.35">
      <c r="A140" s="19">
        <v>136</v>
      </c>
      <c r="B140" s="20" t="s">
        <v>291</v>
      </c>
      <c r="C140" s="20" t="s">
        <v>292</v>
      </c>
      <c r="D140" s="18">
        <v>120242</v>
      </c>
      <c r="E140" s="18">
        <v>7043</v>
      </c>
      <c r="F140" s="18">
        <v>0</v>
      </c>
      <c r="G140" s="18">
        <v>650.16129032258061</v>
      </c>
      <c r="H140" s="18">
        <v>1051.4516129032259</v>
      </c>
      <c r="I140" s="18">
        <v>120437</v>
      </c>
      <c r="J140" s="18">
        <v>13138</v>
      </c>
      <c r="K140" s="18">
        <v>0</v>
      </c>
      <c r="L140" s="18">
        <v>669.46428571428567</v>
      </c>
      <c r="M140" s="18">
        <v>1403.9285714285713</v>
      </c>
      <c r="N140" s="18">
        <v>110287</v>
      </c>
      <c r="O140" s="18">
        <v>9903</v>
      </c>
      <c r="P140" s="18">
        <v>0</v>
      </c>
      <c r="Q140" s="18">
        <v>683.38709677419354</v>
      </c>
      <c r="R140" s="18">
        <v>1590.3225806451612</v>
      </c>
      <c r="S140" s="18">
        <v>121193</v>
      </c>
      <c r="T140" s="18">
        <v>11350</v>
      </c>
      <c r="U140" s="18">
        <v>0</v>
      </c>
      <c r="V140" s="18">
        <v>677.66666666666663</v>
      </c>
      <c r="W140" s="18">
        <v>1348.3333333333333</v>
      </c>
      <c r="X140" s="18">
        <v>137142</v>
      </c>
      <c r="Y140" s="18">
        <v>10138</v>
      </c>
      <c r="Z140" s="18">
        <v>0</v>
      </c>
      <c r="AA140" s="18">
        <v>742.58064516129036</v>
      </c>
      <c r="AB140" s="18">
        <v>1197.4193548387098</v>
      </c>
      <c r="AC140" s="18">
        <v>133671</v>
      </c>
      <c r="AD140" s="18">
        <v>10728</v>
      </c>
      <c r="AE140" s="18">
        <v>0</v>
      </c>
      <c r="AF140" s="18">
        <v>735.33333333333337</v>
      </c>
      <c r="AG140" s="18">
        <v>1201.3333333333333</v>
      </c>
      <c r="AH140" s="18">
        <v>142963</v>
      </c>
      <c r="AI140" s="18">
        <v>11460</v>
      </c>
      <c r="AJ140" s="18">
        <v>0</v>
      </c>
      <c r="AK140" s="18">
        <v>750.80645161290317</v>
      </c>
      <c r="AL140" s="18">
        <v>1220</v>
      </c>
      <c r="AM140" s="18">
        <v>109312</v>
      </c>
      <c r="AN140" s="18">
        <v>8448</v>
      </c>
      <c r="AO140" s="18">
        <v>0</v>
      </c>
      <c r="AP140" s="18">
        <v>867.41935483870964</v>
      </c>
      <c r="AQ140" s="18">
        <v>1220</v>
      </c>
      <c r="AR140" s="18">
        <v>122601</v>
      </c>
      <c r="AS140" s="18">
        <v>9237</v>
      </c>
      <c r="AT140" s="18">
        <v>0</v>
      </c>
      <c r="AU140" s="18">
        <v>1108.8333333333333</v>
      </c>
      <c r="AV140" s="18">
        <v>1220</v>
      </c>
      <c r="AW140" s="18">
        <v>136270</v>
      </c>
      <c r="AX140" s="18">
        <v>8363</v>
      </c>
      <c r="AY140" s="18">
        <v>0</v>
      </c>
      <c r="AZ140" s="18">
        <v>1150.6451612903227</v>
      </c>
      <c r="BA140" s="18">
        <v>1211.2903225806451</v>
      </c>
      <c r="BB140" s="18">
        <v>127155</v>
      </c>
      <c r="BC140" s="18">
        <v>14808</v>
      </c>
      <c r="BD140" s="18">
        <v>0</v>
      </c>
      <c r="BE140" s="18">
        <v>1138.3333333333333</v>
      </c>
      <c r="BF140" s="18">
        <v>1179.6333333333334</v>
      </c>
      <c r="BG140" s="18">
        <v>107932</v>
      </c>
      <c r="BH140" s="18">
        <v>13567</v>
      </c>
      <c r="BI140" s="18">
        <v>0</v>
      </c>
      <c r="BJ140" s="18">
        <v>1081.6129032258063</v>
      </c>
      <c r="BK140" s="18">
        <v>1153.2258064516129</v>
      </c>
    </row>
    <row r="141" spans="1:63" x14ac:dyDescent="0.35">
      <c r="A141" s="19">
        <v>137</v>
      </c>
      <c r="B141" s="20" t="s">
        <v>293</v>
      </c>
      <c r="C141" s="20" t="s">
        <v>294</v>
      </c>
      <c r="D141" s="18">
        <v>135211</v>
      </c>
      <c r="E141" s="18">
        <v>5695</v>
      </c>
      <c r="F141" s="18">
        <v>0</v>
      </c>
      <c r="G141" s="18">
        <v>650.48387096774195</v>
      </c>
      <c r="H141" s="18">
        <v>1055.9677419354839</v>
      </c>
      <c r="I141" s="18">
        <v>147536</v>
      </c>
      <c r="J141" s="18">
        <v>10730</v>
      </c>
      <c r="K141" s="18">
        <v>0</v>
      </c>
      <c r="L141" s="18">
        <v>669.46428571428567</v>
      </c>
      <c r="M141" s="18">
        <v>1403.9285714285713</v>
      </c>
      <c r="N141" s="18">
        <v>141728</v>
      </c>
      <c r="O141" s="18">
        <v>15144</v>
      </c>
      <c r="P141" s="18">
        <v>0</v>
      </c>
      <c r="Q141" s="18">
        <v>695</v>
      </c>
      <c r="R141" s="18">
        <v>1590.3225806451612</v>
      </c>
      <c r="S141" s="18">
        <v>174847</v>
      </c>
      <c r="T141" s="18">
        <v>27609</v>
      </c>
      <c r="U141" s="18">
        <v>0</v>
      </c>
      <c r="V141" s="18">
        <v>695</v>
      </c>
      <c r="W141" s="18">
        <v>1353.6666666666667</v>
      </c>
      <c r="X141" s="18">
        <v>183050</v>
      </c>
      <c r="Y141" s="18">
        <v>18830</v>
      </c>
      <c r="Z141" s="18">
        <v>0</v>
      </c>
      <c r="AA141" s="18">
        <v>742.58064516129036</v>
      </c>
      <c r="AB141" s="18">
        <v>1194.8387096774193</v>
      </c>
      <c r="AC141" s="18">
        <v>173764</v>
      </c>
      <c r="AD141" s="18">
        <v>21131</v>
      </c>
      <c r="AE141" s="18">
        <v>0</v>
      </c>
      <c r="AF141" s="18">
        <v>735.33333333333337</v>
      </c>
      <c r="AG141" s="18">
        <v>1201.3333333333333</v>
      </c>
      <c r="AH141" s="18">
        <v>209108</v>
      </c>
      <c r="AI141" s="18">
        <v>18984</v>
      </c>
      <c r="AJ141" s="18">
        <v>0</v>
      </c>
      <c r="AK141" s="18">
        <v>750.80645161290317</v>
      </c>
      <c r="AL141" s="18">
        <v>1220</v>
      </c>
      <c r="AM141" s="18">
        <v>135389</v>
      </c>
      <c r="AN141" s="18">
        <v>15380</v>
      </c>
      <c r="AO141" s="18">
        <v>0</v>
      </c>
      <c r="AP141" s="18">
        <v>867.41935483870964</v>
      </c>
      <c r="AQ141" s="18">
        <v>1220</v>
      </c>
      <c r="AR141" s="18">
        <v>216001</v>
      </c>
      <c r="AS141" s="18">
        <v>20070</v>
      </c>
      <c r="AT141" s="18">
        <v>400</v>
      </c>
      <c r="AU141" s="18">
        <v>1108.1666666666667</v>
      </c>
      <c r="AV141" s="18">
        <v>1220</v>
      </c>
      <c r="AW141" s="18">
        <v>194011</v>
      </c>
      <c r="AX141" s="18">
        <v>29754</v>
      </c>
      <c r="AY141" s="18">
        <v>800</v>
      </c>
      <c r="AZ141" s="18">
        <v>1150.6451612903227</v>
      </c>
      <c r="BA141" s="18">
        <v>1211.2903225806451</v>
      </c>
      <c r="BB141" s="18">
        <v>162340</v>
      </c>
      <c r="BC141" s="18">
        <v>28301</v>
      </c>
      <c r="BD141" s="18">
        <v>0</v>
      </c>
      <c r="BE141" s="18">
        <v>1138.3333333333333</v>
      </c>
      <c r="BF141" s="18">
        <v>1179.3333333333333</v>
      </c>
      <c r="BG141" s="18">
        <v>125427</v>
      </c>
      <c r="BH141" s="18">
        <v>25442</v>
      </c>
      <c r="BI141" s="18">
        <v>0</v>
      </c>
      <c r="BJ141" s="18">
        <v>1081.6129032258063</v>
      </c>
      <c r="BK141" s="18">
        <v>1153.2258064516129</v>
      </c>
    </row>
    <row r="142" spans="1:63" x14ac:dyDescent="0.35">
      <c r="A142" s="19">
        <v>138</v>
      </c>
      <c r="B142" s="20" t="s">
        <v>295</v>
      </c>
      <c r="C142" s="20" t="s">
        <v>296</v>
      </c>
      <c r="D142" s="18">
        <v>238484</v>
      </c>
      <c r="E142" s="18">
        <v>53690</v>
      </c>
      <c r="F142" s="18">
        <v>0</v>
      </c>
      <c r="G142" s="18">
        <v>650.48387096774195</v>
      </c>
      <c r="H142" s="18">
        <v>1052.741935483871</v>
      </c>
      <c r="I142" s="18">
        <v>217994</v>
      </c>
      <c r="J142" s="18">
        <v>44383</v>
      </c>
      <c r="K142" s="18">
        <v>0</v>
      </c>
      <c r="L142" s="18">
        <v>668.21428571428567</v>
      </c>
      <c r="M142" s="18">
        <v>1406.4285714285713</v>
      </c>
      <c r="N142" s="18">
        <v>167687</v>
      </c>
      <c r="O142" s="18">
        <v>33255</v>
      </c>
      <c r="P142" s="18">
        <v>0</v>
      </c>
      <c r="Q142" s="18">
        <v>695</v>
      </c>
      <c r="R142" s="18">
        <v>1596.7741935483871</v>
      </c>
      <c r="S142" s="18">
        <v>276000</v>
      </c>
      <c r="T142" s="18">
        <v>53116</v>
      </c>
      <c r="U142" s="18">
        <v>0</v>
      </c>
      <c r="V142" s="18">
        <v>695</v>
      </c>
      <c r="W142" s="18">
        <v>1348.3333333333333</v>
      </c>
      <c r="X142" s="18">
        <v>331364</v>
      </c>
      <c r="Y142" s="18">
        <v>38938</v>
      </c>
      <c r="Z142" s="18">
        <v>0</v>
      </c>
      <c r="AA142" s="18">
        <v>742.58064516129036</v>
      </c>
      <c r="AB142" s="18">
        <v>1194.8387096774193</v>
      </c>
      <c r="AC142" s="18">
        <v>287983</v>
      </c>
      <c r="AD142" s="18">
        <v>39457</v>
      </c>
      <c r="AE142" s="18">
        <v>0</v>
      </c>
      <c r="AF142" s="18">
        <v>735.33333333333337</v>
      </c>
      <c r="AG142" s="18">
        <v>1201.3333333333333</v>
      </c>
      <c r="AH142" s="18">
        <v>350653</v>
      </c>
      <c r="AI142" s="18">
        <v>35296</v>
      </c>
      <c r="AJ142" s="18">
        <v>0</v>
      </c>
      <c r="AK142" s="18">
        <v>750.80645161290317</v>
      </c>
      <c r="AL142" s="18">
        <v>1220</v>
      </c>
      <c r="AM142" s="18">
        <v>153921</v>
      </c>
      <c r="AN142" s="18">
        <v>32454</v>
      </c>
      <c r="AO142" s="18">
        <v>0</v>
      </c>
      <c r="AP142" s="18">
        <v>867.41935483870964</v>
      </c>
      <c r="AQ142" s="18">
        <v>1220</v>
      </c>
      <c r="AR142" s="18">
        <v>168599</v>
      </c>
      <c r="AS142" s="18">
        <v>35731</v>
      </c>
      <c r="AT142" s="18">
        <v>0</v>
      </c>
      <c r="AU142" s="18">
        <v>1108.8333333333333</v>
      </c>
      <c r="AV142" s="18">
        <v>1220</v>
      </c>
      <c r="AW142" s="18">
        <v>368160</v>
      </c>
      <c r="AX142" s="18">
        <v>41593</v>
      </c>
      <c r="AY142" s="18">
        <v>0</v>
      </c>
      <c r="AZ142" s="18">
        <v>1150.6451612903227</v>
      </c>
      <c r="BA142" s="18">
        <v>1211.2903225806451</v>
      </c>
      <c r="BB142" s="18">
        <v>283061</v>
      </c>
      <c r="BC142" s="18">
        <v>49445</v>
      </c>
      <c r="BD142" s="18">
        <v>0</v>
      </c>
      <c r="BE142" s="18">
        <v>1138.3333333333333</v>
      </c>
      <c r="BF142" s="18">
        <v>1179.3333333333333</v>
      </c>
      <c r="BG142" s="18">
        <v>292917</v>
      </c>
      <c r="BH142" s="18">
        <v>52071</v>
      </c>
      <c r="BI142" s="18">
        <v>0</v>
      </c>
      <c r="BJ142" s="18">
        <v>1081.9354838709678</v>
      </c>
      <c r="BK142" s="18">
        <v>1153.2258064516129</v>
      </c>
    </row>
    <row r="143" spans="1:63" x14ac:dyDescent="0.35">
      <c r="A143" s="19">
        <v>139</v>
      </c>
      <c r="B143" s="20" t="s">
        <v>297</v>
      </c>
      <c r="C143" s="20" t="s">
        <v>298</v>
      </c>
      <c r="D143" s="18">
        <v>114293</v>
      </c>
      <c r="E143" s="18">
        <v>6321</v>
      </c>
      <c r="F143" s="18">
        <v>0</v>
      </c>
      <c r="G143" s="18">
        <v>646.93548387096769</v>
      </c>
      <c r="H143" s="18">
        <v>1052.0967741935483</v>
      </c>
      <c r="I143" s="18">
        <v>119170</v>
      </c>
      <c r="J143" s="18">
        <v>3504</v>
      </c>
      <c r="K143" s="18">
        <v>0</v>
      </c>
      <c r="L143" s="18">
        <v>669.46428571428567</v>
      </c>
      <c r="M143" s="18">
        <v>1405.3571428571429</v>
      </c>
      <c r="N143" s="18">
        <v>111384</v>
      </c>
      <c r="O143" s="18">
        <v>5080</v>
      </c>
      <c r="P143" s="18">
        <v>0</v>
      </c>
      <c r="Q143" s="18">
        <v>695</v>
      </c>
      <c r="R143" s="18">
        <v>1590.3225806451612</v>
      </c>
      <c r="S143" s="18">
        <v>205591</v>
      </c>
      <c r="T143" s="18">
        <v>18470</v>
      </c>
      <c r="U143" s="18">
        <v>0</v>
      </c>
      <c r="V143" s="18">
        <v>686.16666666666663</v>
      </c>
      <c r="W143" s="18">
        <v>1348.3333333333333</v>
      </c>
      <c r="X143" s="18">
        <v>198054</v>
      </c>
      <c r="Y143" s="18">
        <v>6386</v>
      </c>
      <c r="Z143" s="18">
        <v>0</v>
      </c>
      <c r="AA143" s="18">
        <v>742.58064516129036</v>
      </c>
      <c r="AB143" s="18">
        <v>1194.8387096774193</v>
      </c>
      <c r="AC143" s="18">
        <v>153239</v>
      </c>
      <c r="AD143" s="18">
        <v>8987</v>
      </c>
      <c r="AE143" s="18">
        <v>0</v>
      </c>
      <c r="AF143" s="18">
        <v>735.33333333333337</v>
      </c>
      <c r="AG143" s="18">
        <v>1201.3333333333333</v>
      </c>
      <c r="AH143" s="18">
        <v>203929</v>
      </c>
      <c r="AI143" s="18">
        <v>6187</v>
      </c>
      <c r="AJ143" s="18">
        <v>0</v>
      </c>
      <c r="AK143" s="18">
        <v>750.80645161290317</v>
      </c>
      <c r="AL143" s="18">
        <v>1220</v>
      </c>
      <c r="AM143" s="18">
        <v>114916</v>
      </c>
      <c r="AN143" s="18">
        <v>5751</v>
      </c>
      <c r="AO143" s="18">
        <v>0</v>
      </c>
      <c r="AP143" s="18">
        <v>867.41935483870964</v>
      </c>
      <c r="AQ143" s="18">
        <v>1220</v>
      </c>
      <c r="AR143" s="18">
        <v>208159</v>
      </c>
      <c r="AS143" s="18">
        <v>3219</v>
      </c>
      <c r="AT143" s="18">
        <v>0</v>
      </c>
      <c r="AU143" s="18">
        <v>1108.8333333333333</v>
      </c>
      <c r="AV143" s="18">
        <v>1220</v>
      </c>
      <c r="AW143" s="18">
        <v>191563</v>
      </c>
      <c r="AX143" s="18">
        <v>9244</v>
      </c>
      <c r="AY143" s="18">
        <v>0</v>
      </c>
      <c r="AZ143" s="18">
        <v>1150.6451612903227</v>
      </c>
      <c r="BA143" s="18">
        <v>1211.2903225806451</v>
      </c>
      <c r="BB143" s="18">
        <v>135897</v>
      </c>
      <c r="BC143" s="18">
        <v>8712</v>
      </c>
      <c r="BD143" s="18">
        <v>0</v>
      </c>
      <c r="BE143" s="18">
        <v>1138.3333333333333</v>
      </c>
      <c r="BF143" s="18">
        <v>1179.3333333333333</v>
      </c>
      <c r="BG143" s="18">
        <v>116669</v>
      </c>
      <c r="BH143" s="18">
        <v>8312</v>
      </c>
      <c r="BI143" s="18">
        <v>0</v>
      </c>
      <c r="BJ143" s="18">
        <v>1081.6129032258063</v>
      </c>
      <c r="BK143" s="18">
        <v>1153.2258064516129</v>
      </c>
    </row>
    <row r="144" spans="1:63" x14ac:dyDescent="0.35">
      <c r="A144" s="19">
        <v>140</v>
      </c>
      <c r="B144" s="20" t="s">
        <v>299</v>
      </c>
      <c r="C144" s="20" t="s">
        <v>300</v>
      </c>
      <c r="D144" s="18">
        <v>74101</v>
      </c>
      <c r="E144" s="18">
        <v>2696</v>
      </c>
      <c r="F144" s="18">
        <v>0</v>
      </c>
      <c r="G144" s="18">
        <v>641.12903225806451</v>
      </c>
      <c r="H144" s="18">
        <v>1050.3225806451612</v>
      </c>
      <c r="I144" s="18">
        <v>66634</v>
      </c>
      <c r="J144" s="18">
        <v>2041</v>
      </c>
      <c r="K144" s="18">
        <v>0</v>
      </c>
      <c r="L144" s="18">
        <v>668.57142857142856</v>
      </c>
      <c r="M144" s="18">
        <v>1399.2857142857142</v>
      </c>
      <c r="N144" s="18">
        <v>73649</v>
      </c>
      <c r="O144" s="18">
        <v>1003</v>
      </c>
      <c r="P144" s="18">
        <v>0</v>
      </c>
      <c r="Q144" s="18">
        <v>678.87096774193549</v>
      </c>
      <c r="R144" s="18">
        <v>1627.4193548387098</v>
      </c>
      <c r="S144" s="18">
        <v>120213</v>
      </c>
      <c r="T144" s="18">
        <v>5514</v>
      </c>
      <c r="U144" s="18">
        <v>0</v>
      </c>
      <c r="V144" s="18">
        <v>679</v>
      </c>
      <c r="W144" s="18">
        <v>1353.6666666666667</v>
      </c>
      <c r="X144" s="18">
        <v>122917</v>
      </c>
      <c r="Y144" s="18">
        <v>4001</v>
      </c>
      <c r="Z144" s="18">
        <v>0</v>
      </c>
      <c r="AA144" s="18">
        <v>742.58064516129036</v>
      </c>
      <c r="AB144" s="18">
        <v>1197.4193548387098</v>
      </c>
      <c r="AC144" s="18">
        <v>77876</v>
      </c>
      <c r="AD144" s="18">
        <v>3076</v>
      </c>
      <c r="AE144" s="18">
        <v>0</v>
      </c>
      <c r="AF144" s="18">
        <v>735.33333333333337</v>
      </c>
      <c r="AG144" s="18">
        <v>1201.3333333333333</v>
      </c>
      <c r="AH144" s="18">
        <v>151000</v>
      </c>
      <c r="AI144" s="18">
        <v>2347</v>
      </c>
      <c r="AJ144" s="18">
        <v>0</v>
      </c>
      <c r="AK144" s="18">
        <v>750.80645161290317</v>
      </c>
      <c r="AL144" s="18">
        <v>1220</v>
      </c>
      <c r="AM144" s="18">
        <v>111428</v>
      </c>
      <c r="AN144" s="18">
        <v>1620</v>
      </c>
      <c r="AO144" s="18">
        <v>0</v>
      </c>
      <c r="AP144" s="18">
        <v>867.41935483870964</v>
      </c>
      <c r="AQ144" s="18">
        <v>1220</v>
      </c>
      <c r="AR144" s="18">
        <v>106472</v>
      </c>
      <c r="AS144" s="18">
        <v>2632</v>
      </c>
      <c r="AT144" s="18">
        <v>0</v>
      </c>
      <c r="AU144" s="18">
        <v>1108.8333333333333</v>
      </c>
      <c r="AV144" s="18">
        <v>1220</v>
      </c>
      <c r="AW144" s="18">
        <v>172424</v>
      </c>
      <c r="AX144" s="18">
        <v>4207</v>
      </c>
      <c r="AY144" s="18">
        <v>0</v>
      </c>
      <c r="AZ144" s="18">
        <v>1150.6451612903227</v>
      </c>
      <c r="BA144" s="18">
        <v>1211.2903225806451</v>
      </c>
      <c r="BB144" s="18">
        <v>113594</v>
      </c>
      <c r="BC144" s="18">
        <v>5397</v>
      </c>
      <c r="BD144" s="18">
        <v>0</v>
      </c>
      <c r="BE144" s="18">
        <v>1138.3333333333333</v>
      </c>
      <c r="BF144" s="18">
        <v>1179.3333333333333</v>
      </c>
      <c r="BG144" s="18">
        <v>110055</v>
      </c>
      <c r="BH144" s="18">
        <v>4548</v>
      </c>
      <c r="BI144" s="18">
        <v>0</v>
      </c>
      <c r="BJ144" s="18">
        <v>1073.8709677419354</v>
      </c>
      <c r="BK144" s="18">
        <v>1153.2258064516129</v>
      </c>
    </row>
    <row r="145" spans="1:63" x14ac:dyDescent="0.35">
      <c r="A145" s="19">
        <v>141</v>
      </c>
      <c r="B145" s="20" t="s">
        <v>301</v>
      </c>
      <c r="C145" s="20" t="s">
        <v>302</v>
      </c>
      <c r="D145" s="18">
        <v>408049</v>
      </c>
      <c r="E145" s="18">
        <v>18988</v>
      </c>
      <c r="F145" s="18">
        <v>0</v>
      </c>
      <c r="G145" s="18">
        <v>655.9677419354839</v>
      </c>
      <c r="H145" s="18">
        <v>1050.6451612903227</v>
      </c>
      <c r="I145" s="18">
        <v>383631</v>
      </c>
      <c r="J145" s="18">
        <v>24016</v>
      </c>
      <c r="K145" s="18">
        <v>0</v>
      </c>
      <c r="L145" s="18">
        <v>673.03571428571433</v>
      </c>
      <c r="M145" s="18">
        <v>1382.3214285714287</v>
      </c>
      <c r="N145" s="18">
        <v>407931</v>
      </c>
      <c r="O145" s="18">
        <v>19094</v>
      </c>
      <c r="P145" s="18">
        <v>0</v>
      </c>
      <c r="Q145" s="18">
        <v>695</v>
      </c>
      <c r="R145" s="18">
        <v>1603.2258064516129</v>
      </c>
      <c r="S145" s="18">
        <v>318604</v>
      </c>
      <c r="T145" s="18">
        <v>14388</v>
      </c>
      <c r="U145" s="18">
        <v>0</v>
      </c>
      <c r="V145" s="18">
        <v>696.33333333333337</v>
      </c>
      <c r="W145" s="18">
        <v>1360.5</v>
      </c>
      <c r="X145" s="18">
        <v>356221</v>
      </c>
      <c r="Y145" s="18">
        <v>10628</v>
      </c>
      <c r="Z145" s="18">
        <v>0</v>
      </c>
      <c r="AA145" s="18">
        <v>789.35483870967744</v>
      </c>
      <c r="AB145" s="18">
        <v>1224.8387096774193</v>
      </c>
      <c r="AC145" s="18">
        <v>315087</v>
      </c>
      <c r="AD145" s="18">
        <v>9523</v>
      </c>
      <c r="AE145" s="18">
        <v>0</v>
      </c>
      <c r="AF145" s="18">
        <v>747.33333333333337</v>
      </c>
      <c r="AG145" s="18">
        <v>1236.3333333333333</v>
      </c>
      <c r="AH145" s="18">
        <v>439980</v>
      </c>
      <c r="AI145" s="18">
        <v>6868</v>
      </c>
      <c r="AJ145" s="18">
        <v>0</v>
      </c>
      <c r="AK145" s="18">
        <v>783.54838709677415</v>
      </c>
      <c r="AL145" s="18">
        <v>1255</v>
      </c>
      <c r="AM145" s="18">
        <v>219945</v>
      </c>
      <c r="AN145" s="18">
        <v>10642</v>
      </c>
      <c r="AO145" s="18">
        <v>0</v>
      </c>
      <c r="AP145" s="18">
        <v>900.32258064516134</v>
      </c>
      <c r="AQ145" s="18">
        <v>1254.8387096774193</v>
      </c>
      <c r="AR145" s="18">
        <v>333469</v>
      </c>
      <c r="AS145" s="18">
        <v>15875</v>
      </c>
      <c r="AT145" s="18">
        <v>0</v>
      </c>
      <c r="AU145" s="18">
        <v>1075</v>
      </c>
      <c r="AV145" s="18">
        <v>1254.8333333333333</v>
      </c>
      <c r="AW145" s="18">
        <v>242905</v>
      </c>
      <c r="AX145" s="18">
        <v>26020</v>
      </c>
      <c r="AY145" s="18">
        <v>0</v>
      </c>
      <c r="AZ145" s="18">
        <v>1225.8064516129032</v>
      </c>
      <c r="BA145" s="18">
        <v>1244.516129032258</v>
      </c>
      <c r="BB145" s="18">
        <v>270558</v>
      </c>
      <c r="BC145" s="18">
        <v>15948</v>
      </c>
      <c r="BD145" s="18">
        <v>0</v>
      </c>
      <c r="BE145" s="18">
        <v>1141.6666666666667</v>
      </c>
      <c r="BF145" s="18">
        <v>1214.6666666666667</v>
      </c>
      <c r="BG145" s="18">
        <v>289368</v>
      </c>
      <c r="BH145" s="18">
        <v>28414</v>
      </c>
      <c r="BI145" s="18">
        <v>0</v>
      </c>
      <c r="BJ145" s="18">
        <v>1086.7741935483871</v>
      </c>
      <c r="BK145" s="18">
        <v>1200</v>
      </c>
    </row>
    <row r="146" spans="1:63" x14ac:dyDescent="0.35">
      <c r="A146" s="19">
        <v>142</v>
      </c>
      <c r="B146" s="20" t="s">
        <v>303</v>
      </c>
      <c r="C146" s="20" t="s">
        <v>304</v>
      </c>
      <c r="D146" s="18">
        <v>385460</v>
      </c>
      <c r="E146" s="18">
        <v>15732</v>
      </c>
      <c r="F146" s="18">
        <v>0</v>
      </c>
      <c r="G146" s="18">
        <v>655.9677419354839</v>
      </c>
      <c r="H146" s="18">
        <v>1050.6451612903227</v>
      </c>
      <c r="I146" s="18">
        <v>350663</v>
      </c>
      <c r="J146" s="18">
        <v>7663</v>
      </c>
      <c r="K146" s="18">
        <v>0</v>
      </c>
      <c r="L146" s="18">
        <v>674.64285714285711</v>
      </c>
      <c r="M146" s="18">
        <v>1382.3214285714287</v>
      </c>
      <c r="N146" s="18">
        <v>379183</v>
      </c>
      <c r="O146" s="18">
        <v>6141</v>
      </c>
      <c r="P146" s="18">
        <v>0</v>
      </c>
      <c r="Q146" s="18">
        <v>693.54838709677415</v>
      </c>
      <c r="R146" s="18">
        <v>1603.2258064516129</v>
      </c>
      <c r="S146" s="18">
        <v>305806</v>
      </c>
      <c r="T146" s="18">
        <v>11913</v>
      </c>
      <c r="U146" s="18">
        <v>0</v>
      </c>
      <c r="V146" s="18">
        <v>696</v>
      </c>
      <c r="W146" s="18">
        <v>1360.5</v>
      </c>
      <c r="X146" s="18">
        <v>295238</v>
      </c>
      <c r="Y146" s="18">
        <v>12863</v>
      </c>
      <c r="Z146" s="18">
        <v>0</v>
      </c>
      <c r="AA146" s="18">
        <v>787.74193548387098</v>
      </c>
      <c r="AB146" s="18">
        <v>1225.9677419354839</v>
      </c>
      <c r="AC146" s="18">
        <v>274881</v>
      </c>
      <c r="AD146" s="18">
        <v>9281</v>
      </c>
      <c r="AE146" s="18">
        <v>0</v>
      </c>
      <c r="AF146" s="18">
        <v>747.33333333333337</v>
      </c>
      <c r="AG146" s="18">
        <v>1236.3333333333333</v>
      </c>
      <c r="AH146" s="18">
        <v>425704</v>
      </c>
      <c r="AI146" s="18">
        <v>10579</v>
      </c>
      <c r="AJ146" s="18">
        <v>0</v>
      </c>
      <c r="AK146" s="18">
        <v>782.25806451612902</v>
      </c>
      <c r="AL146" s="18">
        <v>1255</v>
      </c>
      <c r="AM146" s="18">
        <v>221421</v>
      </c>
      <c r="AN146" s="18">
        <v>9010</v>
      </c>
      <c r="AO146" s="18">
        <v>0</v>
      </c>
      <c r="AP146" s="18">
        <v>901.61290322580646</v>
      </c>
      <c r="AQ146" s="18">
        <v>1255</v>
      </c>
      <c r="AR146" s="18">
        <v>359916</v>
      </c>
      <c r="AS146" s="18">
        <v>19319</v>
      </c>
      <c r="AT146" s="18">
        <v>0</v>
      </c>
      <c r="AU146" s="18">
        <v>1075</v>
      </c>
      <c r="AV146" s="18">
        <v>1255</v>
      </c>
      <c r="AW146" s="18">
        <v>267046</v>
      </c>
      <c r="AX146" s="18">
        <v>29730</v>
      </c>
      <c r="AY146" s="18">
        <v>0</v>
      </c>
      <c r="AZ146" s="18">
        <v>1232.258064516129</v>
      </c>
      <c r="BA146" s="18">
        <v>1244.8387096774193</v>
      </c>
      <c r="BB146" s="18">
        <v>259071</v>
      </c>
      <c r="BC146" s="18">
        <v>32110</v>
      </c>
      <c r="BD146" s="18">
        <v>0</v>
      </c>
      <c r="BE146" s="18">
        <v>1141.3333333333333</v>
      </c>
      <c r="BF146" s="18">
        <v>1215.3333333333333</v>
      </c>
      <c r="BG146" s="18">
        <v>277222</v>
      </c>
      <c r="BH146" s="18">
        <v>31380</v>
      </c>
      <c r="BI146" s="18">
        <v>0</v>
      </c>
      <c r="BJ146" s="18">
        <v>1086.7741935483871</v>
      </c>
      <c r="BK146" s="18">
        <v>1200</v>
      </c>
    </row>
    <row r="147" spans="1:63" x14ac:dyDescent="0.35">
      <c r="A147" s="19">
        <v>143</v>
      </c>
      <c r="B147" s="20" t="s">
        <v>305</v>
      </c>
      <c r="C147" s="20" t="s">
        <v>306</v>
      </c>
      <c r="D147" s="18">
        <v>69786</v>
      </c>
      <c r="E147" s="18">
        <v>11683</v>
      </c>
      <c r="F147" s="18">
        <v>0</v>
      </c>
      <c r="G147" s="18">
        <v>680</v>
      </c>
      <c r="H147" s="18">
        <v>1085.483870967742</v>
      </c>
      <c r="I147" s="18">
        <v>132570</v>
      </c>
      <c r="J147" s="18">
        <v>10818</v>
      </c>
      <c r="K147" s="18">
        <v>0</v>
      </c>
      <c r="L147" s="18">
        <v>700</v>
      </c>
      <c r="M147" s="18">
        <v>1384.2857142857142</v>
      </c>
      <c r="N147" s="18">
        <v>124128</v>
      </c>
      <c r="O147" s="18">
        <v>15718</v>
      </c>
      <c r="P147" s="18">
        <v>0</v>
      </c>
      <c r="Q147" s="18">
        <v>720</v>
      </c>
      <c r="R147" s="18">
        <v>1608.0645161290322</v>
      </c>
      <c r="S147" s="18">
        <v>135395</v>
      </c>
      <c r="T147" s="18">
        <v>5444</v>
      </c>
      <c r="U147" s="18">
        <v>0</v>
      </c>
      <c r="V147" s="18">
        <v>731.66666666666663</v>
      </c>
      <c r="W147" s="18">
        <v>1418.3333333333333</v>
      </c>
      <c r="X147" s="18">
        <v>182495</v>
      </c>
      <c r="Y147" s="18">
        <v>15153</v>
      </c>
      <c r="Z147" s="18">
        <v>482</v>
      </c>
      <c r="AA147" s="18">
        <v>833.87096774193549</v>
      </c>
      <c r="AB147" s="18">
        <v>1250</v>
      </c>
      <c r="AC147" s="18">
        <v>159612</v>
      </c>
      <c r="AD147" s="18">
        <v>11161</v>
      </c>
      <c r="AE147" s="18">
        <v>0</v>
      </c>
      <c r="AF147" s="18">
        <v>770.66666666666663</v>
      </c>
      <c r="AG147" s="18">
        <v>1230.3333333333333</v>
      </c>
      <c r="AH147" s="18">
        <v>195968</v>
      </c>
      <c r="AI147" s="18">
        <v>4729</v>
      </c>
      <c r="AJ147" s="18">
        <v>0</v>
      </c>
      <c r="AK147" s="18">
        <v>787.74193548387098</v>
      </c>
      <c r="AL147" s="18">
        <v>1240</v>
      </c>
      <c r="AM147" s="18">
        <v>131730</v>
      </c>
      <c r="AN147" s="18">
        <v>1738</v>
      </c>
      <c r="AO147" s="18">
        <v>0</v>
      </c>
      <c r="AP147" s="18">
        <v>859.35483870967744</v>
      </c>
      <c r="AQ147" s="18">
        <v>1240</v>
      </c>
      <c r="AR147" s="18">
        <v>94571</v>
      </c>
      <c r="AS147" s="18">
        <v>1543</v>
      </c>
      <c r="AT147" s="18">
        <v>0</v>
      </c>
      <c r="AU147" s="18">
        <v>1111</v>
      </c>
      <c r="AV147" s="18">
        <v>1240</v>
      </c>
      <c r="AW147" s="18">
        <v>100220</v>
      </c>
      <c r="AX147" s="18">
        <v>14528</v>
      </c>
      <c r="AY147" s="18">
        <v>0</v>
      </c>
      <c r="AZ147" s="18">
        <v>1214.516129032258</v>
      </c>
      <c r="BA147" s="18">
        <v>1240</v>
      </c>
      <c r="BB147" s="18">
        <v>82414</v>
      </c>
      <c r="BC147" s="18">
        <v>22088</v>
      </c>
      <c r="BD147" s="18">
        <v>0</v>
      </c>
      <c r="BE147" s="18">
        <v>1170.3333333333333</v>
      </c>
      <c r="BF147" s="18">
        <v>1209.3333333333333</v>
      </c>
      <c r="BG147" s="18">
        <v>102274</v>
      </c>
      <c r="BH147" s="18">
        <v>13891</v>
      </c>
      <c r="BI147" s="18">
        <v>0</v>
      </c>
      <c r="BJ147" s="18">
        <v>1112.9032258064517</v>
      </c>
      <c r="BK147" s="18">
        <v>1197.741935483871</v>
      </c>
    </row>
    <row r="148" spans="1:63" x14ac:dyDescent="0.35">
      <c r="A148" s="19">
        <v>144</v>
      </c>
      <c r="B148" s="20" t="s">
        <v>307</v>
      </c>
      <c r="C148" s="20" t="s">
        <v>308</v>
      </c>
      <c r="D148" s="18">
        <v>120113</v>
      </c>
      <c r="E148" s="18">
        <v>16152</v>
      </c>
      <c r="F148" s="18">
        <v>0</v>
      </c>
      <c r="G148" s="18">
        <v>672.58064516129036</v>
      </c>
      <c r="H148" s="18">
        <v>1077.4193548387098</v>
      </c>
      <c r="I148" s="18">
        <v>190305</v>
      </c>
      <c r="J148" s="18">
        <v>25062</v>
      </c>
      <c r="K148" s="18">
        <v>0</v>
      </c>
      <c r="L148" s="18">
        <v>674.64285714285711</v>
      </c>
      <c r="M148" s="18">
        <v>1399.8214285714287</v>
      </c>
      <c r="N148" s="18">
        <v>199000</v>
      </c>
      <c r="O148" s="18">
        <v>23425</v>
      </c>
      <c r="P148" s="18">
        <v>0</v>
      </c>
      <c r="Q148" s="18">
        <v>689.19354838709683</v>
      </c>
      <c r="R148" s="18">
        <v>1611.2903225806451</v>
      </c>
      <c r="S148" s="18">
        <v>210962</v>
      </c>
      <c r="T148" s="18">
        <v>19119</v>
      </c>
      <c r="U148" s="18">
        <v>0</v>
      </c>
      <c r="V148" s="18">
        <v>702.5</v>
      </c>
      <c r="W148" s="18">
        <v>1424</v>
      </c>
      <c r="X148" s="18">
        <v>150187</v>
      </c>
      <c r="Y148" s="18">
        <v>28639</v>
      </c>
      <c r="Z148" s="18">
        <v>0</v>
      </c>
      <c r="AA148" s="18">
        <v>810.32258064516134</v>
      </c>
      <c r="AB148" s="18">
        <v>1242.258064516129</v>
      </c>
      <c r="AC148" s="18">
        <v>191143</v>
      </c>
      <c r="AD148" s="18">
        <v>21323</v>
      </c>
      <c r="AE148" s="18">
        <v>0</v>
      </c>
      <c r="AF148" s="18">
        <v>750</v>
      </c>
      <c r="AG148" s="18">
        <v>1251.3333333333333</v>
      </c>
      <c r="AH148" s="18">
        <v>125496</v>
      </c>
      <c r="AI148" s="18">
        <v>14062</v>
      </c>
      <c r="AJ148" s="18">
        <v>0</v>
      </c>
      <c r="AK148" s="18">
        <v>762.90322580645159</v>
      </c>
      <c r="AL148" s="18">
        <v>1252.5806451612902</v>
      </c>
      <c r="AM148" s="18">
        <v>67222</v>
      </c>
      <c r="AN148" s="18">
        <v>11169</v>
      </c>
      <c r="AO148" s="18">
        <v>0</v>
      </c>
      <c r="AP148" s="18">
        <v>835.16129032258061</v>
      </c>
      <c r="AQ148" s="18">
        <v>1238.3870967741937</v>
      </c>
      <c r="AR148" s="18">
        <v>111092</v>
      </c>
      <c r="AS148" s="18">
        <v>9801</v>
      </c>
      <c r="AT148" s="18">
        <v>0</v>
      </c>
      <c r="AU148" s="18">
        <v>1066.6666666666667</v>
      </c>
      <c r="AV148" s="18">
        <v>1220</v>
      </c>
      <c r="AW148" s="18">
        <v>144854</v>
      </c>
      <c r="AX148" s="18">
        <v>6891</v>
      </c>
      <c r="AY148" s="18">
        <v>0</v>
      </c>
      <c r="AZ148" s="18">
        <v>1197.4193548387098</v>
      </c>
      <c r="BA148" s="18">
        <v>1220</v>
      </c>
      <c r="BB148" s="18">
        <v>252944</v>
      </c>
      <c r="BC148" s="18">
        <v>1471</v>
      </c>
      <c r="BD148" s="18">
        <v>0</v>
      </c>
      <c r="BE148" s="18">
        <v>1149.3333333333333</v>
      </c>
      <c r="BF148" s="18">
        <v>1209.3333333333333</v>
      </c>
      <c r="BG148" s="18">
        <v>161144</v>
      </c>
      <c r="BH148" s="18">
        <v>2649</v>
      </c>
      <c r="BI148" s="18">
        <v>0</v>
      </c>
      <c r="BJ148" s="18">
        <v>1109.3548387096773</v>
      </c>
      <c r="BK148" s="18">
        <v>1193.5483870967741</v>
      </c>
    </row>
    <row r="149" spans="1:63" x14ac:dyDescent="0.35">
      <c r="A149" s="19">
        <v>145</v>
      </c>
      <c r="B149" s="20" t="s">
        <v>309</v>
      </c>
      <c r="C149" s="20" t="s">
        <v>310</v>
      </c>
      <c r="D149" s="18">
        <v>218576</v>
      </c>
      <c r="E149" s="18">
        <v>5034</v>
      </c>
      <c r="F149" s="18">
        <v>652</v>
      </c>
      <c r="G149" s="18">
        <v>652.90322580645159</v>
      </c>
      <c r="H149" s="18">
        <v>1051.4516129032259</v>
      </c>
      <c r="I149" s="18">
        <v>239703</v>
      </c>
      <c r="J149" s="18">
        <v>4516</v>
      </c>
      <c r="K149" s="18">
        <v>536</v>
      </c>
      <c r="L149" s="18">
        <v>669.46428571428567</v>
      </c>
      <c r="M149" s="18">
        <v>1406.4285714285713</v>
      </c>
      <c r="N149" s="18">
        <v>250038</v>
      </c>
      <c r="O149" s="18">
        <v>4016</v>
      </c>
      <c r="P149" s="18">
        <v>952</v>
      </c>
      <c r="Q149" s="18">
        <v>695</v>
      </c>
      <c r="R149" s="18">
        <v>1590.3225806451612</v>
      </c>
      <c r="S149" s="18">
        <v>260706</v>
      </c>
      <c r="T149" s="18">
        <v>7785</v>
      </c>
      <c r="U149" s="18">
        <v>1282</v>
      </c>
      <c r="V149" s="18">
        <v>695</v>
      </c>
      <c r="W149" s="18">
        <v>1353.6666666666667</v>
      </c>
      <c r="X149" s="18">
        <v>211298</v>
      </c>
      <c r="Y149" s="18">
        <v>5583</v>
      </c>
      <c r="Z149" s="18">
        <v>1152</v>
      </c>
      <c r="AA149" s="18">
        <v>741.61290322580646</v>
      </c>
      <c r="AB149" s="18">
        <v>1197.4193548387098</v>
      </c>
      <c r="AC149" s="18">
        <v>197369</v>
      </c>
      <c r="AD149" s="18">
        <v>6452</v>
      </c>
      <c r="AE149" s="18">
        <v>827</v>
      </c>
      <c r="AF149" s="18">
        <v>731.66666666666663</v>
      </c>
      <c r="AG149" s="18">
        <v>1182.3333333333333</v>
      </c>
      <c r="AH149" s="18">
        <v>185963</v>
      </c>
      <c r="AI149" s="18">
        <v>5808</v>
      </c>
      <c r="AJ149" s="18">
        <v>913</v>
      </c>
      <c r="AK149" s="18">
        <v>747.58064516129036</v>
      </c>
      <c r="AL149" s="18">
        <v>1199.0322580645161</v>
      </c>
      <c r="AM149" s="18">
        <v>126968</v>
      </c>
      <c r="AN149" s="18">
        <v>4195</v>
      </c>
      <c r="AO149" s="18">
        <v>501</v>
      </c>
      <c r="AP149" s="18">
        <v>836.45161290322585</v>
      </c>
      <c r="AQ149" s="18">
        <v>1200.6451612903227</v>
      </c>
      <c r="AR149" s="18">
        <v>169505</v>
      </c>
      <c r="AS149" s="18">
        <v>3588</v>
      </c>
      <c r="AT149" s="18">
        <v>683</v>
      </c>
      <c r="AU149" s="18">
        <v>1106.1666666666667</v>
      </c>
      <c r="AV149" s="18">
        <v>1200</v>
      </c>
      <c r="AW149" s="18">
        <v>142286</v>
      </c>
      <c r="AX149" s="18">
        <v>4687</v>
      </c>
      <c r="AY149" s="18">
        <v>970</v>
      </c>
      <c r="AZ149" s="18">
        <v>1161.6129032258063</v>
      </c>
      <c r="BA149" s="18">
        <v>1195.8064516129032</v>
      </c>
      <c r="BB149" s="18">
        <v>154629</v>
      </c>
      <c r="BC149" s="18">
        <v>6377</v>
      </c>
      <c r="BD149" s="18">
        <v>748</v>
      </c>
      <c r="BE149" s="18">
        <v>1132.6666666666667</v>
      </c>
      <c r="BF149" s="18">
        <v>1179.3333333333333</v>
      </c>
      <c r="BG149" s="18">
        <v>152639</v>
      </c>
      <c r="BH149" s="18">
        <v>4663</v>
      </c>
      <c r="BI149" s="18">
        <v>813</v>
      </c>
      <c r="BJ149" s="18">
        <v>1090.6451612903227</v>
      </c>
      <c r="BK149" s="18">
        <v>1153.2258064516129</v>
      </c>
    </row>
    <row r="150" spans="1:63" x14ac:dyDescent="0.35">
      <c r="A150" s="19">
        <v>146</v>
      </c>
      <c r="B150" s="20" t="s">
        <v>311</v>
      </c>
      <c r="C150" s="20" t="s">
        <v>312</v>
      </c>
      <c r="D150" s="18">
        <v>250795</v>
      </c>
      <c r="E150" s="18">
        <v>59106</v>
      </c>
      <c r="F150" s="18">
        <v>0</v>
      </c>
      <c r="G150" s="18">
        <v>660</v>
      </c>
      <c r="H150" s="18">
        <v>1063.2258064516129</v>
      </c>
      <c r="I150" s="18">
        <v>220762</v>
      </c>
      <c r="J150" s="18">
        <v>67001</v>
      </c>
      <c r="K150" s="18">
        <v>0</v>
      </c>
      <c r="L150" s="18">
        <v>670.17857142857144</v>
      </c>
      <c r="M150" s="18">
        <v>1409.2857142857142</v>
      </c>
      <c r="N150" s="18">
        <v>263573</v>
      </c>
      <c r="O150" s="18">
        <v>58601</v>
      </c>
      <c r="P150" s="18">
        <v>0</v>
      </c>
      <c r="Q150" s="18">
        <v>695</v>
      </c>
      <c r="R150" s="18">
        <v>1590.3225806451612</v>
      </c>
      <c r="S150" s="18">
        <v>242300</v>
      </c>
      <c r="T150" s="18">
        <v>61545</v>
      </c>
      <c r="U150" s="18">
        <v>0</v>
      </c>
      <c r="V150" s="18">
        <v>696.16666666666663</v>
      </c>
      <c r="W150" s="18">
        <v>1362</v>
      </c>
      <c r="X150" s="18">
        <v>185990</v>
      </c>
      <c r="Y150" s="18">
        <v>53204</v>
      </c>
      <c r="Z150" s="18">
        <v>0</v>
      </c>
      <c r="AA150" s="18">
        <v>778.06451612903231</v>
      </c>
      <c r="AB150" s="18">
        <v>1214.516129032258</v>
      </c>
      <c r="AC150" s="18">
        <v>176560</v>
      </c>
      <c r="AD150" s="18">
        <v>48938</v>
      </c>
      <c r="AE150" s="18">
        <v>0</v>
      </c>
      <c r="AF150" s="18">
        <v>752.66666666666663</v>
      </c>
      <c r="AG150" s="18">
        <v>1189.3333333333333</v>
      </c>
      <c r="AH150" s="18">
        <v>292511</v>
      </c>
      <c r="AI150" s="18">
        <v>49253</v>
      </c>
      <c r="AJ150" s="18">
        <v>0</v>
      </c>
      <c r="AK150" s="18">
        <v>750.80645161290317</v>
      </c>
      <c r="AL150" s="18">
        <v>1208.0645161290322</v>
      </c>
      <c r="AM150" s="18">
        <v>100750</v>
      </c>
      <c r="AN150" s="18">
        <v>52004</v>
      </c>
      <c r="AO150" s="18">
        <v>0</v>
      </c>
      <c r="AP150" s="18">
        <v>847.25806451612902</v>
      </c>
      <c r="AQ150" s="18">
        <v>1230</v>
      </c>
      <c r="AR150" s="18">
        <v>135374</v>
      </c>
      <c r="AS150" s="18">
        <v>50518</v>
      </c>
      <c r="AT150" s="18">
        <v>0</v>
      </c>
      <c r="AU150" s="18">
        <v>1109.5</v>
      </c>
      <c r="AV150" s="18">
        <v>1228.6666666666667</v>
      </c>
      <c r="AW150" s="18">
        <v>235254</v>
      </c>
      <c r="AX150" s="18">
        <v>65101</v>
      </c>
      <c r="AY150" s="18">
        <v>0</v>
      </c>
      <c r="AZ150" s="18">
        <v>1179.6774193548388</v>
      </c>
      <c r="BA150" s="18">
        <v>1218.3870967741937</v>
      </c>
      <c r="BB150" s="18">
        <v>236590</v>
      </c>
      <c r="BC150" s="18">
        <v>72223</v>
      </c>
      <c r="BD150" s="18">
        <v>0</v>
      </c>
      <c r="BE150" s="18">
        <v>1137</v>
      </c>
      <c r="BF150" s="18">
        <v>1170.3333333333333</v>
      </c>
      <c r="BG150" s="18">
        <v>255573</v>
      </c>
      <c r="BH150" s="18">
        <v>40696</v>
      </c>
      <c r="BI150" s="18">
        <v>0</v>
      </c>
      <c r="BJ150" s="18">
        <v>1084.516129032258</v>
      </c>
      <c r="BK150" s="18">
        <v>1150</v>
      </c>
    </row>
    <row r="151" spans="1:63" x14ac:dyDescent="0.35">
      <c r="A151" s="19">
        <v>147</v>
      </c>
      <c r="B151" s="20" t="s">
        <v>313</v>
      </c>
      <c r="C151" s="20" t="s">
        <v>313</v>
      </c>
      <c r="D151" s="18">
        <v>281863</v>
      </c>
      <c r="E151" s="18">
        <v>9114</v>
      </c>
      <c r="F151" s="18">
        <v>1724</v>
      </c>
      <c r="G151" s="18">
        <v>622.58064516129036</v>
      </c>
      <c r="H151" s="18">
        <v>1056.9354838709678</v>
      </c>
      <c r="I151" s="18">
        <v>188836</v>
      </c>
      <c r="J151" s="18">
        <v>16559</v>
      </c>
      <c r="K151" s="18">
        <v>1171</v>
      </c>
      <c r="L151" s="18">
        <v>645.89285714285711</v>
      </c>
      <c r="M151" s="18">
        <v>1393.9285714285713</v>
      </c>
      <c r="N151" s="18">
        <v>128988</v>
      </c>
      <c r="O151" s="18">
        <v>9445</v>
      </c>
      <c r="P151" s="18">
        <v>2115</v>
      </c>
      <c r="Q151" s="18">
        <v>655.80645161290317</v>
      </c>
      <c r="R151" s="18">
        <v>1562.9032258064517</v>
      </c>
      <c r="S151" s="18">
        <v>403561</v>
      </c>
      <c r="T151" s="18">
        <v>16452</v>
      </c>
      <c r="U151" s="18">
        <v>2398</v>
      </c>
      <c r="V151" s="18">
        <v>665</v>
      </c>
      <c r="W151" s="18">
        <v>1385</v>
      </c>
      <c r="X151" s="18">
        <v>243255</v>
      </c>
      <c r="Y151" s="18">
        <v>7100</v>
      </c>
      <c r="Z151" s="18">
        <v>3883</v>
      </c>
      <c r="AA151" s="18">
        <v>742.90322580645159</v>
      </c>
      <c r="AB151" s="18">
        <v>1230.9677419354839</v>
      </c>
      <c r="AC151" s="18">
        <v>246645</v>
      </c>
      <c r="AD151" s="18">
        <v>5683</v>
      </c>
      <c r="AE151" s="18">
        <v>4472</v>
      </c>
      <c r="AF151" s="18">
        <v>650.66666666666663</v>
      </c>
      <c r="AG151" s="18">
        <v>1219.3333333333333</v>
      </c>
      <c r="AH151" s="18">
        <v>384294</v>
      </c>
      <c r="AI151" s="18">
        <v>4878</v>
      </c>
      <c r="AJ151" s="18">
        <v>1662</v>
      </c>
      <c r="AK151" s="18">
        <v>741.61290322580646</v>
      </c>
      <c r="AL151" s="18">
        <v>1200</v>
      </c>
      <c r="AM151" s="18">
        <v>210191</v>
      </c>
      <c r="AN151" s="18">
        <v>3436</v>
      </c>
      <c r="AO151" s="18">
        <v>1611</v>
      </c>
      <c r="AP151" s="18">
        <v>813.54838709677415</v>
      </c>
      <c r="AQ151" s="18">
        <v>1200</v>
      </c>
      <c r="AR151" s="18">
        <v>162702</v>
      </c>
      <c r="AS151" s="18">
        <v>4226</v>
      </c>
      <c r="AT151" s="18">
        <v>2075</v>
      </c>
      <c r="AU151" s="18">
        <v>997.33333333333337</v>
      </c>
      <c r="AV151" s="18">
        <v>1200</v>
      </c>
      <c r="AW151" s="18">
        <v>190005</v>
      </c>
      <c r="AX151" s="18">
        <v>6244</v>
      </c>
      <c r="AY151" s="18">
        <v>644</v>
      </c>
      <c r="AZ151" s="18">
        <v>1085.1612903225807</v>
      </c>
      <c r="BA151" s="18">
        <v>1200</v>
      </c>
      <c r="BB151" s="18">
        <v>122496</v>
      </c>
      <c r="BC151" s="18">
        <v>9980</v>
      </c>
      <c r="BD151" s="18">
        <v>1426</v>
      </c>
      <c r="BE151" s="18">
        <v>1090.6666666666667</v>
      </c>
      <c r="BF151" s="18">
        <v>1178.3333333333333</v>
      </c>
      <c r="BG151" s="18">
        <v>83193</v>
      </c>
      <c r="BH151" s="18">
        <v>9593</v>
      </c>
      <c r="BI151" s="18">
        <v>2512</v>
      </c>
      <c r="BJ151" s="18">
        <v>1044.516129032258</v>
      </c>
      <c r="BK151" s="18">
        <v>1150</v>
      </c>
    </row>
    <row r="152" spans="1:63" x14ac:dyDescent="0.35">
      <c r="A152" s="19">
        <v>148</v>
      </c>
      <c r="B152" s="20" t="s">
        <v>314</v>
      </c>
      <c r="C152" s="20" t="s">
        <v>314</v>
      </c>
      <c r="D152" s="18">
        <v>452079</v>
      </c>
      <c r="E152" s="18">
        <v>311608</v>
      </c>
      <c r="F152" s="18">
        <v>0</v>
      </c>
      <c r="G152" s="18">
        <v>649.83870967741939</v>
      </c>
      <c r="H152" s="18">
        <v>1046.9354838709678</v>
      </c>
      <c r="I152" s="18">
        <v>355721</v>
      </c>
      <c r="J152" s="18">
        <v>303743</v>
      </c>
      <c r="K152" s="18">
        <v>0</v>
      </c>
      <c r="L152" s="18">
        <v>666.42857142857144</v>
      </c>
      <c r="M152" s="18">
        <v>1395.3571428571429</v>
      </c>
      <c r="N152" s="18">
        <v>345877</v>
      </c>
      <c r="O152" s="18">
        <v>278941</v>
      </c>
      <c r="P152" s="18">
        <v>0</v>
      </c>
      <c r="Q152" s="18">
        <v>680.48387096774195</v>
      </c>
      <c r="R152" s="18">
        <v>1562.9032258064517</v>
      </c>
      <c r="S152" s="18">
        <v>368949</v>
      </c>
      <c r="T152" s="18">
        <v>272760</v>
      </c>
      <c r="U152" s="18">
        <v>0</v>
      </c>
      <c r="V152" s="18">
        <v>680</v>
      </c>
      <c r="W152" s="18">
        <v>1341</v>
      </c>
      <c r="X152" s="18">
        <v>361531</v>
      </c>
      <c r="Y152" s="18">
        <v>326630</v>
      </c>
      <c r="Z152" s="18">
        <v>0</v>
      </c>
      <c r="AA152" s="18">
        <v>721.12903225806451</v>
      </c>
      <c r="AB152" s="18">
        <v>1187.0967741935483</v>
      </c>
      <c r="AC152" s="18">
        <v>286747</v>
      </c>
      <c r="AD152" s="18">
        <v>216286</v>
      </c>
      <c r="AE152" s="18">
        <v>0</v>
      </c>
      <c r="AF152" s="18">
        <v>716</v>
      </c>
      <c r="AG152" s="18">
        <v>1181.3333333333333</v>
      </c>
      <c r="AH152" s="18">
        <v>301595</v>
      </c>
      <c r="AI152" s="18">
        <v>187461</v>
      </c>
      <c r="AJ152" s="18">
        <v>0</v>
      </c>
      <c r="AK152" s="18">
        <v>746.45161290322585</v>
      </c>
      <c r="AL152" s="18">
        <v>1207.4193548387098</v>
      </c>
      <c r="AM152" s="18">
        <v>150995</v>
      </c>
      <c r="AN152" s="18">
        <v>85348</v>
      </c>
      <c r="AO152" s="18">
        <v>0</v>
      </c>
      <c r="AP152" s="18">
        <v>842.25806451612902</v>
      </c>
      <c r="AQ152" s="18">
        <v>1230</v>
      </c>
      <c r="AR152" s="18">
        <v>9972</v>
      </c>
      <c r="AS152" s="18">
        <v>1922</v>
      </c>
      <c r="AT152" s="18">
        <v>0</v>
      </c>
      <c r="AU152" s="18">
        <v>1107.5</v>
      </c>
      <c r="AV152" s="18">
        <v>1229.6666666666667</v>
      </c>
      <c r="AW152" s="18">
        <v>0</v>
      </c>
      <c r="AX152" s="18">
        <v>0</v>
      </c>
      <c r="AY152" s="18">
        <v>0</v>
      </c>
      <c r="AZ152" s="18">
        <v>1186.4516129032259</v>
      </c>
      <c r="BA152" s="18">
        <v>1218.7096774193549</v>
      </c>
      <c r="BB152" s="18">
        <v>102544</v>
      </c>
      <c r="BC152" s="18">
        <v>89726</v>
      </c>
      <c r="BD152" s="18">
        <v>0</v>
      </c>
      <c r="BE152" s="18">
        <v>1126</v>
      </c>
      <c r="BF152" s="18">
        <v>1171.3333333333333</v>
      </c>
      <c r="BG152" s="18">
        <v>194191</v>
      </c>
      <c r="BH152" s="18">
        <v>117094</v>
      </c>
      <c r="BI152" s="18">
        <v>0</v>
      </c>
      <c r="BJ152" s="18">
        <v>1072.5806451612902</v>
      </c>
      <c r="BK152" s="18">
        <v>1150</v>
      </c>
    </row>
    <row r="153" spans="1:63" x14ac:dyDescent="0.35">
      <c r="A153" s="19">
        <v>149</v>
      </c>
      <c r="B153" s="20" t="s">
        <v>315</v>
      </c>
      <c r="C153" s="20" t="s">
        <v>315</v>
      </c>
      <c r="D153" s="18">
        <v>122963</v>
      </c>
      <c r="E153" s="18">
        <v>18152</v>
      </c>
      <c r="F153" s="18">
        <v>0</v>
      </c>
      <c r="G153" s="18">
        <v>652.25806451612902</v>
      </c>
      <c r="H153" s="18">
        <v>1066.7741935483871</v>
      </c>
      <c r="I153" s="18">
        <v>134528</v>
      </c>
      <c r="J153" s="18">
        <v>12703</v>
      </c>
      <c r="K153" s="18">
        <v>0</v>
      </c>
      <c r="L153" s="18">
        <v>670.17857142857144</v>
      </c>
      <c r="M153" s="18">
        <v>1406.4285714285713</v>
      </c>
      <c r="N153" s="18">
        <v>123056</v>
      </c>
      <c r="O153" s="18">
        <v>8898</v>
      </c>
      <c r="P153" s="18">
        <v>0</v>
      </c>
      <c r="Q153" s="18">
        <v>695</v>
      </c>
      <c r="R153" s="18">
        <v>1590.3225806451612</v>
      </c>
      <c r="S153" s="18">
        <v>148854</v>
      </c>
      <c r="T153" s="18">
        <v>12101</v>
      </c>
      <c r="U153" s="18">
        <v>0</v>
      </c>
      <c r="V153" s="18">
        <v>695</v>
      </c>
      <c r="W153" s="18">
        <v>1353.6666666666667</v>
      </c>
      <c r="X153" s="18">
        <v>154712</v>
      </c>
      <c r="Y153" s="18">
        <v>11695</v>
      </c>
      <c r="Z153" s="18">
        <v>0</v>
      </c>
      <c r="AA153" s="18">
        <v>755.16129032258061</v>
      </c>
      <c r="AB153" s="18">
        <v>1197.4193548387098</v>
      </c>
      <c r="AC153" s="18">
        <v>137712</v>
      </c>
      <c r="AD153" s="18">
        <v>12971</v>
      </c>
      <c r="AE153" s="18">
        <v>0</v>
      </c>
      <c r="AF153" s="18">
        <v>736</v>
      </c>
      <c r="AG153" s="18">
        <v>1200.6666666666667</v>
      </c>
      <c r="AH153" s="18">
        <v>173889</v>
      </c>
      <c r="AI153" s="18">
        <v>25152</v>
      </c>
      <c r="AJ153" s="18">
        <v>0</v>
      </c>
      <c r="AK153" s="18">
        <v>766.93548387096769</v>
      </c>
      <c r="AL153" s="18">
        <v>1220</v>
      </c>
      <c r="AM153" s="18">
        <v>97748</v>
      </c>
      <c r="AN153" s="18">
        <v>9168</v>
      </c>
      <c r="AO153" s="18">
        <v>0</v>
      </c>
      <c r="AP153" s="18">
        <v>860.64516129032256</v>
      </c>
      <c r="AQ153" s="18">
        <v>1220</v>
      </c>
      <c r="AR153" s="18">
        <v>206191</v>
      </c>
      <c r="AS153" s="18">
        <v>10606</v>
      </c>
      <c r="AT153" s="18">
        <v>0</v>
      </c>
      <c r="AU153" s="18">
        <v>1108.1666666666667</v>
      </c>
      <c r="AV153" s="18">
        <v>1220</v>
      </c>
      <c r="AW153" s="18">
        <v>141244</v>
      </c>
      <c r="AX153" s="18">
        <v>15182</v>
      </c>
      <c r="AY153" s="18">
        <v>0</v>
      </c>
      <c r="AZ153" s="18">
        <v>1162.258064516129</v>
      </c>
      <c r="BA153" s="18">
        <v>1198.7096774193549</v>
      </c>
      <c r="BB153" s="18">
        <v>141151</v>
      </c>
      <c r="BC153" s="18">
        <v>14323</v>
      </c>
      <c r="BD153" s="18">
        <v>0</v>
      </c>
      <c r="BE153" s="18">
        <v>1132.6666666666667</v>
      </c>
      <c r="BF153" s="18">
        <v>1179.3333333333333</v>
      </c>
      <c r="BG153" s="18">
        <v>162607</v>
      </c>
      <c r="BH153" s="18">
        <v>21425</v>
      </c>
      <c r="BI153" s="18">
        <v>0</v>
      </c>
      <c r="BJ153" s="18">
        <v>1087.4193548387098</v>
      </c>
      <c r="BK153" s="18">
        <v>1153.2258064516129</v>
      </c>
    </row>
    <row r="154" spans="1:63" x14ac:dyDescent="0.35">
      <c r="A154" s="19">
        <v>150</v>
      </c>
      <c r="B154" s="20" t="s">
        <v>316</v>
      </c>
      <c r="C154" s="20" t="s">
        <v>316</v>
      </c>
      <c r="D154" s="18">
        <v>219770</v>
      </c>
      <c r="E154" s="18">
        <v>37832</v>
      </c>
      <c r="F154" s="18">
        <v>2052</v>
      </c>
      <c r="G154" s="18">
        <v>666.77419354838707</v>
      </c>
      <c r="H154" s="18">
        <v>1080.8064516129032</v>
      </c>
      <c r="I154" s="18">
        <v>140089</v>
      </c>
      <c r="J154" s="18">
        <v>22159</v>
      </c>
      <c r="K154" s="18">
        <v>944</v>
      </c>
      <c r="L154" s="18">
        <v>688.03571428571433</v>
      </c>
      <c r="M154" s="18">
        <v>1408.5714285714287</v>
      </c>
      <c r="N154" s="18">
        <v>164026</v>
      </c>
      <c r="O154" s="18">
        <v>16927</v>
      </c>
      <c r="P154" s="18">
        <v>975</v>
      </c>
      <c r="Q154" s="18">
        <v>700</v>
      </c>
      <c r="R154" s="18">
        <v>1604.8387096774193</v>
      </c>
      <c r="S154" s="18">
        <v>189947</v>
      </c>
      <c r="T154" s="18">
        <v>34517</v>
      </c>
      <c r="U154" s="18">
        <v>1098</v>
      </c>
      <c r="V154" s="18">
        <v>704</v>
      </c>
      <c r="W154" s="18">
        <v>1440</v>
      </c>
      <c r="X154" s="18">
        <v>160514</v>
      </c>
      <c r="Y154" s="18">
        <v>38939</v>
      </c>
      <c r="Z154" s="18">
        <v>4343</v>
      </c>
      <c r="AA154" s="18">
        <v>803.87096774193549</v>
      </c>
      <c r="AB154" s="18">
        <v>1254.516129032258</v>
      </c>
      <c r="AC154" s="18">
        <v>141319</v>
      </c>
      <c r="AD154" s="18">
        <v>44445</v>
      </c>
      <c r="AE154" s="18">
        <v>1501</v>
      </c>
      <c r="AF154" s="18">
        <v>764.33333333333337</v>
      </c>
      <c r="AG154" s="18">
        <v>1216.3333333333333</v>
      </c>
      <c r="AH154" s="18">
        <v>144729</v>
      </c>
      <c r="AI154" s="18">
        <v>36292</v>
      </c>
      <c r="AJ154" s="18">
        <v>1969</v>
      </c>
      <c r="AK154" s="18">
        <v>775.48387096774195</v>
      </c>
      <c r="AL154" s="18">
        <v>1220</v>
      </c>
      <c r="AM154" s="18">
        <v>123385</v>
      </c>
      <c r="AN154" s="18">
        <v>33207</v>
      </c>
      <c r="AO154" s="18">
        <v>0</v>
      </c>
      <c r="AP154" s="18">
        <v>883.54838709677415</v>
      </c>
      <c r="AQ154" s="18">
        <v>1220</v>
      </c>
      <c r="AR154" s="18">
        <v>97279</v>
      </c>
      <c r="AS154" s="18">
        <v>33933</v>
      </c>
      <c r="AT154" s="18">
        <v>0</v>
      </c>
      <c r="AU154" s="18">
        <v>1153.6666666666667</v>
      </c>
      <c r="AV154" s="18">
        <v>1220</v>
      </c>
      <c r="AW154" s="18">
        <v>104286</v>
      </c>
      <c r="AX154" s="18">
        <v>38515</v>
      </c>
      <c r="AY154" s="18">
        <v>140</v>
      </c>
      <c r="AZ154" s="18">
        <v>1223.2258064516129</v>
      </c>
      <c r="BA154" s="18">
        <v>1220</v>
      </c>
      <c r="BB154" s="18">
        <v>116755</v>
      </c>
      <c r="BC154" s="18">
        <v>48612</v>
      </c>
      <c r="BD154" s="18">
        <v>866</v>
      </c>
      <c r="BE154" s="18">
        <v>1161.3333333333333</v>
      </c>
      <c r="BF154" s="18">
        <v>1212.6666666666667</v>
      </c>
      <c r="BG154" s="18">
        <v>150945</v>
      </c>
      <c r="BH154" s="18">
        <v>49404</v>
      </c>
      <c r="BI154" s="18">
        <v>1653</v>
      </c>
      <c r="BJ154" s="18">
        <v>1096.7741935483871</v>
      </c>
      <c r="BK154" s="18">
        <v>1185.8064516129032</v>
      </c>
    </row>
    <row r="155" spans="1:63" x14ac:dyDescent="0.35">
      <c r="A155" s="19">
        <v>151</v>
      </c>
      <c r="B155" s="20" t="s">
        <v>317</v>
      </c>
      <c r="C155" s="20" t="s">
        <v>317</v>
      </c>
      <c r="D155" s="18">
        <v>146894</v>
      </c>
      <c r="E155" s="18">
        <v>13632</v>
      </c>
      <c r="F155" s="18">
        <v>0</v>
      </c>
      <c r="G155" s="18">
        <v>666.77419354838707</v>
      </c>
      <c r="H155" s="18">
        <v>1080.8064516129032</v>
      </c>
      <c r="I155" s="18">
        <v>104541</v>
      </c>
      <c r="J155" s="18">
        <v>11451</v>
      </c>
      <c r="K155" s="18">
        <v>0</v>
      </c>
      <c r="L155" s="18">
        <v>688.03571428571433</v>
      </c>
      <c r="M155" s="18">
        <v>1408.5714285714287</v>
      </c>
      <c r="N155" s="18">
        <v>120733</v>
      </c>
      <c r="O155" s="18">
        <v>8221</v>
      </c>
      <c r="P155" s="18">
        <v>0</v>
      </c>
      <c r="Q155" s="18">
        <v>695</v>
      </c>
      <c r="R155" s="18">
        <v>1604.8387096774193</v>
      </c>
      <c r="S155" s="18">
        <v>118892</v>
      </c>
      <c r="T155" s="18">
        <v>14698</v>
      </c>
      <c r="U155" s="18">
        <v>0</v>
      </c>
      <c r="V155" s="18">
        <v>700.5</v>
      </c>
      <c r="W155" s="18">
        <v>1440</v>
      </c>
      <c r="X155" s="18">
        <v>102696</v>
      </c>
      <c r="Y155" s="18">
        <v>15223</v>
      </c>
      <c r="Z155" s="18">
        <v>0</v>
      </c>
      <c r="AA155" s="18">
        <v>800.64516129032256</v>
      </c>
      <c r="AB155" s="18">
        <v>1254.516129032258</v>
      </c>
      <c r="AC155" s="18">
        <v>100559</v>
      </c>
      <c r="AD155" s="18">
        <v>20826</v>
      </c>
      <c r="AE155" s="18">
        <v>0</v>
      </c>
      <c r="AF155" s="18">
        <v>762.33333333333337</v>
      </c>
      <c r="AG155" s="18">
        <v>1221.3333333333333</v>
      </c>
      <c r="AH155" s="18">
        <v>131961</v>
      </c>
      <c r="AI155" s="18">
        <v>13669</v>
      </c>
      <c r="AJ155" s="18">
        <v>0</v>
      </c>
      <c r="AK155" s="18">
        <v>770.9677419354839</v>
      </c>
      <c r="AL155" s="18">
        <v>1220</v>
      </c>
      <c r="AM155" s="18">
        <v>44451</v>
      </c>
      <c r="AN155" s="18">
        <v>6362</v>
      </c>
      <c r="AO155" s="18">
        <v>0</v>
      </c>
      <c r="AP155" s="18">
        <v>879.35483870967744</v>
      </c>
      <c r="AQ155" s="18">
        <v>1220</v>
      </c>
      <c r="AR155" s="18">
        <v>95041</v>
      </c>
      <c r="AS155" s="18">
        <v>11147</v>
      </c>
      <c r="AT155" s="18">
        <v>0</v>
      </c>
      <c r="AU155" s="18">
        <v>1146.3333333333333</v>
      </c>
      <c r="AV155" s="18">
        <v>1220</v>
      </c>
      <c r="AW155" s="18">
        <v>108266</v>
      </c>
      <c r="AX155" s="18">
        <v>12097</v>
      </c>
      <c r="AY155" s="18">
        <v>0</v>
      </c>
      <c r="AZ155" s="18">
        <v>1219.3548387096773</v>
      </c>
      <c r="BA155" s="18">
        <v>1220</v>
      </c>
      <c r="BB155" s="18">
        <v>120753</v>
      </c>
      <c r="BC155" s="18">
        <v>21696</v>
      </c>
      <c r="BD155" s="18">
        <v>0</v>
      </c>
      <c r="BE155" s="18">
        <v>1152</v>
      </c>
      <c r="BF155" s="18">
        <v>1212.6666666666667</v>
      </c>
      <c r="BG155" s="18">
        <v>154031</v>
      </c>
      <c r="BH155" s="18">
        <v>23991</v>
      </c>
      <c r="BI155" s="18">
        <v>0</v>
      </c>
      <c r="BJ155" s="18">
        <v>1091.6129032258063</v>
      </c>
      <c r="BK155" s="18">
        <v>1200</v>
      </c>
    </row>
    <row r="156" spans="1:63" x14ac:dyDescent="0.35">
      <c r="A156" s="19">
        <v>152</v>
      </c>
      <c r="B156" s="20" t="s">
        <v>318</v>
      </c>
      <c r="C156" s="20" t="s">
        <v>318</v>
      </c>
      <c r="D156" s="18">
        <v>281085</v>
      </c>
      <c r="E156" s="18">
        <v>15092</v>
      </c>
      <c r="F156" s="18">
        <v>0</v>
      </c>
      <c r="G156" s="18">
        <v>666.77419354838707</v>
      </c>
      <c r="H156" s="18">
        <v>1080.8064516129032</v>
      </c>
      <c r="I156" s="18">
        <v>231472</v>
      </c>
      <c r="J156" s="18">
        <v>7578</v>
      </c>
      <c r="K156" s="18">
        <v>0</v>
      </c>
      <c r="L156" s="18">
        <v>687.85714285714289</v>
      </c>
      <c r="M156" s="18">
        <v>1408.5714285714287</v>
      </c>
      <c r="N156" s="18">
        <v>269647</v>
      </c>
      <c r="O156" s="18">
        <v>11143</v>
      </c>
      <c r="P156" s="18">
        <v>0</v>
      </c>
      <c r="Q156" s="18">
        <v>695</v>
      </c>
      <c r="R156" s="18">
        <v>1604.8387096774193</v>
      </c>
      <c r="S156" s="18">
        <v>286442</v>
      </c>
      <c r="T156" s="18">
        <v>18024</v>
      </c>
      <c r="U156" s="18">
        <v>0</v>
      </c>
      <c r="V156" s="18">
        <v>699.83333333333337</v>
      </c>
      <c r="W156" s="18">
        <v>1440</v>
      </c>
      <c r="X156" s="18">
        <v>204742</v>
      </c>
      <c r="Y156" s="18">
        <v>17528</v>
      </c>
      <c r="Z156" s="18">
        <v>0</v>
      </c>
      <c r="AA156" s="18">
        <v>801.93548387096769</v>
      </c>
      <c r="AB156" s="18">
        <v>1267.4193548387098</v>
      </c>
      <c r="AC156" s="18">
        <v>205270</v>
      </c>
      <c r="AD156" s="18">
        <v>10996</v>
      </c>
      <c r="AE156" s="18">
        <v>0</v>
      </c>
      <c r="AF156" s="18">
        <v>762.33333333333337</v>
      </c>
      <c r="AG156" s="18">
        <v>1243.3333333333333</v>
      </c>
      <c r="AH156" s="18">
        <v>241513</v>
      </c>
      <c r="AI156" s="18">
        <v>11171</v>
      </c>
      <c r="AJ156" s="18">
        <v>0</v>
      </c>
      <c r="AK156" s="18">
        <v>782.90322580645159</v>
      </c>
      <c r="AL156" s="18">
        <v>1219.3548387096773</v>
      </c>
      <c r="AM156" s="18">
        <v>97497</v>
      </c>
      <c r="AN156" s="18">
        <v>15508</v>
      </c>
      <c r="AO156" s="18">
        <v>0</v>
      </c>
      <c r="AP156" s="18">
        <v>897.09677419354841</v>
      </c>
      <c r="AQ156" s="18">
        <v>1221.6129032258063</v>
      </c>
      <c r="AR156" s="18">
        <v>149368</v>
      </c>
      <c r="AS156" s="18">
        <v>14789</v>
      </c>
      <c r="AT156" s="18">
        <v>0</v>
      </c>
      <c r="AU156" s="18">
        <v>1174.6666666666667</v>
      </c>
      <c r="AV156" s="18">
        <v>1220</v>
      </c>
      <c r="AW156" s="18">
        <v>183317</v>
      </c>
      <c r="AX156" s="18">
        <v>18120</v>
      </c>
      <c r="AY156" s="18">
        <v>0</v>
      </c>
      <c r="AZ156" s="18">
        <v>1219.3548387096773</v>
      </c>
      <c r="BA156" s="18">
        <v>1220</v>
      </c>
      <c r="BB156" s="18">
        <v>191512</v>
      </c>
      <c r="BC156" s="18">
        <v>18549</v>
      </c>
      <c r="BD156" s="18">
        <v>0</v>
      </c>
      <c r="BE156" s="18">
        <v>1152.3333333333333</v>
      </c>
      <c r="BF156" s="18">
        <v>1209</v>
      </c>
      <c r="BG156" s="18">
        <v>275229</v>
      </c>
      <c r="BH156" s="18">
        <v>27114</v>
      </c>
      <c r="BI156" s="18">
        <v>0</v>
      </c>
      <c r="BJ156" s="18">
        <v>1091.6129032258063</v>
      </c>
      <c r="BK156" s="18">
        <v>1190</v>
      </c>
    </row>
    <row r="157" spans="1:63" x14ac:dyDescent="0.35">
      <c r="A157" s="19">
        <v>153</v>
      </c>
      <c r="B157" s="20" t="s">
        <v>319</v>
      </c>
      <c r="C157" s="20" t="s">
        <v>319</v>
      </c>
      <c r="D157" s="18">
        <v>121637</v>
      </c>
      <c r="E157" s="18">
        <v>4598</v>
      </c>
      <c r="F157" s="18">
        <v>0</v>
      </c>
      <c r="G157" s="18">
        <v>666.77419354838707</v>
      </c>
      <c r="H157" s="18">
        <v>1080.8064516129032</v>
      </c>
      <c r="I157" s="18">
        <v>148907</v>
      </c>
      <c r="J157" s="18">
        <v>4781</v>
      </c>
      <c r="K157" s="18">
        <v>0</v>
      </c>
      <c r="L157" s="18">
        <v>687.85714285714289</v>
      </c>
      <c r="M157" s="18">
        <v>1396.9642857142858</v>
      </c>
      <c r="N157" s="18">
        <v>171926</v>
      </c>
      <c r="O157" s="18">
        <v>2271</v>
      </c>
      <c r="P157" s="18">
        <v>0</v>
      </c>
      <c r="Q157" s="18">
        <v>695</v>
      </c>
      <c r="R157" s="18">
        <v>1604.8387096774193</v>
      </c>
      <c r="S157" s="18">
        <v>154955</v>
      </c>
      <c r="T157" s="18">
        <v>3117</v>
      </c>
      <c r="U157" s="18">
        <v>0</v>
      </c>
      <c r="V157" s="18">
        <v>700.5</v>
      </c>
      <c r="W157" s="18">
        <v>1440</v>
      </c>
      <c r="X157" s="18">
        <v>50597</v>
      </c>
      <c r="Y157" s="18">
        <v>1605</v>
      </c>
      <c r="Z157" s="18">
        <v>0</v>
      </c>
      <c r="AA157" s="18">
        <v>799.67741935483866</v>
      </c>
      <c r="AB157" s="18">
        <v>1257.4193548387098</v>
      </c>
      <c r="AC157" s="18">
        <v>104614</v>
      </c>
      <c r="AD157" s="18">
        <v>3796</v>
      </c>
      <c r="AE157" s="18">
        <v>0</v>
      </c>
      <c r="AF157" s="18">
        <v>751.66666666666663</v>
      </c>
      <c r="AG157" s="18">
        <v>1251.3333333333333</v>
      </c>
      <c r="AH157" s="18">
        <v>112389</v>
      </c>
      <c r="AI157" s="18">
        <v>1449</v>
      </c>
      <c r="AJ157" s="18">
        <v>0</v>
      </c>
      <c r="AK157" s="18">
        <v>770.9677419354839</v>
      </c>
      <c r="AL157" s="18">
        <v>1257.741935483871</v>
      </c>
      <c r="AM157" s="18">
        <v>103814</v>
      </c>
      <c r="AN157" s="18">
        <v>2106</v>
      </c>
      <c r="AO157" s="18">
        <v>0</v>
      </c>
      <c r="AP157" s="18">
        <v>877.41935483870964</v>
      </c>
      <c r="AQ157" s="18">
        <v>1220</v>
      </c>
      <c r="AR157" s="18">
        <v>76972</v>
      </c>
      <c r="AS157" s="18">
        <v>2078</v>
      </c>
      <c r="AT157" s="18">
        <v>0</v>
      </c>
      <c r="AU157" s="18">
        <v>1147.6666666666667</v>
      </c>
      <c r="AV157" s="18">
        <v>1220</v>
      </c>
      <c r="AW157" s="18">
        <v>148741</v>
      </c>
      <c r="AX157" s="18">
        <v>2240</v>
      </c>
      <c r="AY157" s="18">
        <v>0</v>
      </c>
      <c r="AZ157" s="18">
        <v>1219.3548387096773</v>
      </c>
      <c r="BA157" s="18">
        <v>1220</v>
      </c>
      <c r="BB157" s="18">
        <v>172620</v>
      </c>
      <c r="BC157" s="18">
        <v>3053</v>
      </c>
      <c r="BD157" s="18">
        <v>0</v>
      </c>
      <c r="BE157" s="18">
        <v>1152.8333333333333</v>
      </c>
      <c r="BF157" s="18">
        <v>1208.3333333333333</v>
      </c>
      <c r="BG157" s="18">
        <v>189851</v>
      </c>
      <c r="BH157" s="18">
        <v>3962</v>
      </c>
      <c r="BI157" s="18">
        <v>0</v>
      </c>
      <c r="BJ157" s="18">
        <v>1090.3225806451612</v>
      </c>
      <c r="BK157" s="18">
        <v>1190.6451612903227</v>
      </c>
    </row>
    <row r="158" spans="1:63" x14ac:dyDescent="0.35">
      <c r="A158" s="19">
        <v>154</v>
      </c>
      <c r="B158" s="20" t="s">
        <v>320</v>
      </c>
      <c r="C158" s="20" t="s">
        <v>320</v>
      </c>
      <c r="D158" s="18">
        <v>396601</v>
      </c>
      <c r="E158" s="18">
        <v>16692</v>
      </c>
      <c r="F158" s="18">
        <v>0</v>
      </c>
      <c r="G158" s="18">
        <v>656.29032258064512</v>
      </c>
      <c r="H158" s="18">
        <v>1057.9032258064517</v>
      </c>
      <c r="I158" s="18">
        <v>419511</v>
      </c>
      <c r="J158" s="18">
        <v>19467</v>
      </c>
      <c r="K158" s="18">
        <v>0</v>
      </c>
      <c r="L158" s="18">
        <v>670.17857142857144</v>
      </c>
      <c r="M158" s="18">
        <v>1407.1428571428571</v>
      </c>
      <c r="N158" s="18">
        <v>394245</v>
      </c>
      <c r="O158" s="18">
        <v>23811</v>
      </c>
      <c r="P158" s="18">
        <v>0</v>
      </c>
      <c r="Q158" s="18">
        <v>695</v>
      </c>
      <c r="R158" s="18">
        <v>1590.3225806451612</v>
      </c>
      <c r="S158" s="18">
        <v>381291</v>
      </c>
      <c r="T158" s="18">
        <v>28725</v>
      </c>
      <c r="U158" s="18">
        <v>0</v>
      </c>
      <c r="V158" s="18">
        <v>695</v>
      </c>
      <c r="W158" s="18">
        <v>1353.6666666666667</v>
      </c>
      <c r="X158" s="18">
        <v>349392</v>
      </c>
      <c r="Y158" s="18">
        <v>27529</v>
      </c>
      <c r="Z158" s="18">
        <v>0</v>
      </c>
      <c r="AA158" s="18">
        <v>741.61290322580646</v>
      </c>
      <c r="AB158" s="18">
        <v>1197.4193548387098</v>
      </c>
      <c r="AC158" s="18">
        <v>405810</v>
      </c>
      <c r="AD158" s="18">
        <v>32003</v>
      </c>
      <c r="AE158" s="18">
        <v>0</v>
      </c>
      <c r="AF158" s="18">
        <v>732.33333333333337</v>
      </c>
      <c r="AG158" s="18">
        <v>1182.3333333333333</v>
      </c>
      <c r="AH158" s="18">
        <v>337373</v>
      </c>
      <c r="AI158" s="18">
        <v>22170</v>
      </c>
      <c r="AJ158" s="18">
        <v>0</v>
      </c>
      <c r="AK158" s="18">
        <v>761.77419354838707</v>
      </c>
      <c r="AL158" s="18">
        <v>1190</v>
      </c>
      <c r="AM158" s="18">
        <v>223279</v>
      </c>
      <c r="AN158" s="18">
        <v>16901</v>
      </c>
      <c r="AO158" s="18">
        <v>0</v>
      </c>
      <c r="AP158" s="18">
        <v>867.09677419354841</v>
      </c>
      <c r="AQ158" s="18">
        <v>1190</v>
      </c>
      <c r="AR158" s="18">
        <v>310983</v>
      </c>
      <c r="AS158" s="18">
        <v>27862</v>
      </c>
      <c r="AT158" s="18">
        <v>0</v>
      </c>
      <c r="AU158" s="18">
        <v>1117.5</v>
      </c>
      <c r="AV158" s="18">
        <v>1190</v>
      </c>
      <c r="AW158" s="18">
        <v>329528</v>
      </c>
      <c r="AX158" s="18">
        <v>31951</v>
      </c>
      <c r="AY158" s="18">
        <v>0</v>
      </c>
      <c r="AZ158" s="18">
        <v>1161.6129032258063</v>
      </c>
      <c r="BA158" s="18">
        <v>1194.8387096774193</v>
      </c>
      <c r="BB158" s="18">
        <v>297212</v>
      </c>
      <c r="BC158" s="18">
        <v>32286</v>
      </c>
      <c r="BD158" s="18">
        <v>0</v>
      </c>
      <c r="BE158" s="18">
        <v>1132.6666666666667</v>
      </c>
      <c r="BF158" s="18">
        <v>1179.3333333333333</v>
      </c>
      <c r="BG158" s="18">
        <v>285672</v>
      </c>
      <c r="BH158" s="18">
        <v>30726</v>
      </c>
      <c r="BI158" s="18">
        <v>0</v>
      </c>
      <c r="BJ158" s="18">
        <v>1087.4193548387098</v>
      </c>
      <c r="BK158" s="18">
        <v>1153.2258064516129</v>
      </c>
    </row>
    <row r="159" spans="1:63" x14ac:dyDescent="0.35">
      <c r="A159" s="19">
        <v>155</v>
      </c>
      <c r="B159" s="20" t="s">
        <v>321</v>
      </c>
      <c r="C159" s="20" t="s">
        <v>321</v>
      </c>
      <c r="D159" s="18">
        <v>335693</v>
      </c>
      <c r="E159" s="18">
        <v>25905</v>
      </c>
      <c r="F159" s="18">
        <v>0</v>
      </c>
      <c r="G159" s="18">
        <v>656.29032258064512</v>
      </c>
      <c r="H159" s="18">
        <v>1057.9032258064517</v>
      </c>
      <c r="I159" s="18">
        <v>347579</v>
      </c>
      <c r="J159" s="18">
        <v>27893</v>
      </c>
      <c r="K159" s="18">
        <v>0</v>
      </c>
      <c r="L159" s="18">
        <v>670.17857142857144</v>
      </c>
      <c r="M159" s="18">
        <v>1407.1428571428571</v>
      </c>
      <c r="N159" s="18">
        <v>334332</v>
      </c>
      <c r="O159" s="18">
        <v>31052</v>
      </c>
      <c r="P159" s="18">
        <v>0</v>
      </c>
      <c r="Q159" s="18">
        <v>695</v>
      </c>
      <c r="R159" s="18">
        <v>1590.3225806451612</v>
      </c>
      <c r="S159" s="18">
        <v>387670</v>
      </c>
      <c r="T159" s="18">
        <v>31501</v>
      </c>
      <c r="U159" s="18">
        <v>0</v>
      </c>
      <c r="V159" s="18">
        <v>695</v>
      </c>
      <c r="W159" s="18">
        <v>1353.6666666666667</v>
      </c>
      <c r="X159" s="18">
        <v>287729</v>
      </c>
      <c r="Y159" s="18">
        <v>26244</v>
      </c>
      <c r="Z159" s="18">
        <v>0</v>
      </c>
      <c r="AA159" s="18">
        <v>741.61290322580646</v>
      </c>
      <c r="AB159" s="18">
        <v>1197.4193548387098</v>
      </c>
      <c r="AC159" s="18">
        <v>299385</v>
      </c>
      <c r="AD159" s="18">
        <v>28389</v>
      </c>
      <c r="AE159" s="18">
        <v>0</v>
      </c>
      <c r="AF159" s="18">
        <v>732.33333333333337</v>
      </c>
      <c r="AG159" s="18">
        <v>1182.3333333333333</v>
      </c>
      <c r="AH159" s="18">
        <v>298949</v>
      </c>
      <c r="AI159" s="18">
        <v>25073</v>
      </c>
      <c r="AJ159" s="18">
        <v>0</v>
      </c>
      <c r="AK159" s="18">
        <v>761.77419354838707</v>
      </c>
      <c r="AL159" s="18">
        <v>1190</v>
      </c>
      <c r="AM159" s="18">
        <v>174295</v>
      </c>
      <c r="AN159" s="18">
        <v>22054</v>
      </c>
      <c r="AO159" s="18">
        <v>0</v>
      </c>
      <c r="AP159" s="18">
        <v>867.09677419354841</v>
      </c>
      <c r="AQ159" s="18">
        <v>1190</v>
      </c>
      <c r="AR159" s="18">
        <v>220599</v>
      </c>
      <c r="AS159" s="18">
        <v>29446</v>
      </c>
      <c r="AT159" s="18">
        <v>0</v>
      </c>
      <c r="AU159" s="18">
        <v>1117.5</v>
      </c>
      <c r="AV159" s="18">
        <v>1190</v>
      </c>
      <c r="AW159" s="18">
        <v>298024</v>
      </c>
      <c r="AX159" s="18">
        <v>31159</v>
      </c>
      <c r="AY159" s="18">
        <v>0</v>
      </c>
      <c r="AZ159" s="18">
        <v>1161.6129032258063</v>
      </c>
      <c r="BA159" s="18">
        <v>1194.8387096774193</v>
      </c>
      <c r="BB159" s="18">
        <v>269676</v>
      </c>
      <c r="BC159" s="18">
        <v>37210</v>
      </c>
      <c r="BD159" s="18">
        <v>0</v>
      </c>
      <c r="BE159" s="18">
        <v>1132.6666666666667</v>
      </c>
      <c r="BF159" s="18">
        <v>1179.3333333333333</v>
      </c>
      <c r="BG159" s="18">
        <v>277685</v>
      </c>
      <c r="BH159" s="18">
        <v>31024</v>
      </c>
      <c r="BI159" s="18">
        <v>0</v>
      </c>
      <c r="BJ159" s="18">
        <v>1087.4193548387098</v>
      </c>
      <c r="BK159" s="18">
        <v>1153.2258064516129</v>
      </c>
    </row>
    <row r="160" spans="1:63" x14ac:dyDescent="0.35">
      <c r="A160" s="19">
        <v>156</v>
      </c>
      <c r="B160" s="20" t="s">
        <v>322</v>
      </c>
      <c r="C160" s="20" t="s">
        <v>322</v>
      </c>
      <c r="D160" s="18">
        <v>275507</v>
      </c>
      <c r="E160" s="18">
        <v>3290</v>
      </c>
      <c r="F160" s="18">
        <v>0</v>
      </c>
      <c r="G160" s="18">
        <v>660</v>
      </c>
      <c r="H160" s="18">
        <v>1090.8064516129032</v>
      </c>
      <c r="I160" s="18">
        <v>237462</v>
      </c>
      <c r="J160" s="18">
        <v>9142</v>
      </c>
      <c r="K160" s="18">
        <v>0</v>
      </c>
      <c r="L160" s="18">
        <v>675.35714285714289</v>
      </c>
      <c r="M160" s="18">
        <v>1381.0714285714287</v>
      </c>
      <c r="N160" s="18">
        <v>235753</v>
      </c>
      <c r="O160" s="18">
        <v>4636</v>
      </c>
      <c r="P160" s="18">
        <v>0</v>
      </c>
      <c r="Q160" s="18">
        <v>691.77419354838707</v>
      </c>
      <c r="R160" s="18">
        <v>1600</v>
      </c>
      <c r="S160" s="18">
        <v>307104</v>
      </c>
      <c r="T160" s="18">
        <v>7506</v>
      </c>
      <c r="U160" s="18">
        <v>0</v>
      </c>
      <c r="V160" s="18">
        <v>693.16666666666663</v>
      </c>
      <c r="W160" s="18">
        <v>1467.5</v>
      </c>
      <c r="X160" s="18">
        <v>392198</v>
      </c>
      <c r="Y160" s="18">
        <v>31260</v>
      </c>
      <c r="Z160" s="18">
        <v>0</v>
      </c>
      <c r="AA160" s="18">
        <v>806.61290322580646</v>
      </c>
      <c r="AB160" s="18">
        <v>1253.5483870967741</v>
      </c>
      <c r="AC160" s="18">
        <v>291947</v>
      </c>
      <c r="AD160" s="18">
        <v>24181</v>
      </c>
      <c r="AE160" s="18">
        <v>0</v>
      </c>
      <c r="AF160" s="18">
        <v>754.33333333333337</v>
      </c>
      <c r="AG160" s="18">
        <v>1241.3333333333333</v>
      </c>
      <c r="AH160" s="18">
        <v>363560</v>
      </c>
      <c r="AI160" s="18">
        <v>16201</v>
      </c>
      <c r="AJ160" s="18">
        <v>0</v>
      </c>
      <c r="AK160" s="18">
        <v>762.90322580645159</v>
      </c>
      <c r="AL160" s="18">
        <v>1260</v>
      </c>
      <c r="AM160" s="18">
        <v>548690</v>
      </c>
      <c r="AN160" s="18">
        <v>20821</v>
      </c>
      <c r="AO160" s="18">
        <v>0</v>
      </c>
      <c r="AP160" s="18">
        <v>849.67741935483866</v>
      </c>
      <c r="AQ160" s="18">
        <v>1260</v>
      </c>
      <c r="AR160" s="18">
        <v>326232</v>
      </c>
      <c r="AS160" s="18">
        <v>15105</v>
      </c>
      <c r="AT160" s="18">
        <v>0</v>
      </c>
      <c r="AU160" s="18">
        <v>1108</v>
      </c>
      <c r="AV160" s="18">
        <v>1258</v>
      </c>
      <c r="AW160" s="18">
        <v>249128</v>
      </c>
      <c r="AX160" s="18">
        <v>25718</v>
      </c>
      <c r="AY160" s="18">
        <v>0</v>
      </c>
      <c r="AZ160" s="18">
        <v>1190.3225806451612</v>
      </c>
      <c r="BA160" s="18">
        <v>1246.4516129032259</v>
      </c>
      <c r="BB160" s="18">
        <v>286253</v>
      </c>
      <c r="BC160" s="18">
        <v>43945</v>
      </c>
      <c r="BD160" s="18">
        <v>0</v>
      </c>
      <c r="BE160" s="18">
        <v>1130.5</v>
      </c>
      <c r="BF160" s="18">
        <v>1200</v>
      </c>
      <c r="BG160" s="18">
        <v>306000</v>
      </c>
      <c r="BH160" s="18">
        <v>57357</v>
      </c>
      <c r="BI160" s="18">
        <v>0</v>
      </c>
      <c r="BJ160" s="18">
        <v>1069.3548387096773</v>
      </c>
      <c r="BK160" s="18">
        <v>1200</v>
      </c>
    </row>
    <row r="161" spans="1:63" x14ac:dyDescent="0.35">
      <c r="A161" s="19">
        <v>157</v>
      </c>
      <c r="B161" s="20" t="s">
        <v>323</v>
      </c>
      <c r="C161" s="20" t="s">
        <v>323</v>
      </c>
      <c r="D161" s="18">
        <v>248876</v>
      </c>
      <c r="E161" s="18">
        <v>7372</v>
      </c>
      <c r="F161" s="18">
        <v>3777</v>
      </c>
      <c r="G161" s="18">
        <v>684.83870967741939</v>
      </c>
      <c r="H161" s="18">
        <v>1089.0322580645161</v>
      </c>
      <c r="I161" s="18">
        <v>275352</v>
      </c>
      <c r="J161" s="18">
        <v>25942</v>
      </c>
      <c r="K161" s="18">
        <v>21253</v>
      </c>
      <c r="L161" s="18">
        <v>700.35714285714289</v>
      </c>
      <c r="M161" s="18">
        <v>1415.3571428571429</v>
      </c>
      <c r="N161" s="18">
        <v>263939</v>
      </c>
      <c r="O161" s="18">
        <v>9816</v>
      </c>
      <c r="P161" s="18">
        <v>5884</v>
      </c>
      <c r="Q161" s="18">
        <v>720</v>
      </c>
      <c r="R161" s="18">
        <v>1611.2903225806451</v>
      </c>
      <c r="S161" s="18">
        <v>279398</v>
      </c>
      <c r="T161" s="18">
        <v>13074</v>
      </c>
      <c r="U161" s="18">
        <v>3455</v>
      </c>
      <c r="V161" s="18">
        <v>731.66666666666663</v>
      </c>
      <c r="W161" s="18">
        <v>1419.3333333333333</v>
      </c>
      <c r="X161" s="18">
        <v>260466</v>
      </c>
      <c r="Y161" s="18">
        <v>18536</v>
      </c>
      <c r="Z161" s="18">
        <v>2668</v>
      </c>
      <c r="AA161" s="18">
        <v>828.70967741935488</v>
      </c>
      <c r="AB161" s="18">
        <v>1250</v>
      </c>
      <c r="AC161" s="18">
        <v>246188</v>
      </c>
      <c r="AD161" s="18">
        <v>17438</v>
      </c>
      <c r="AE161" s="18">
        <v>2105</v>
      </c>
      <c r="AF161" s="18">
        <v>768.33333333333337</v>
      </c>
      <c r="AG161" s="18">
        <v>1230.3333333333333</v>
      </c>
      <c r="AH161" s="18">
        <v>287309</v>
      </c>
      <c r="AI161" s="18">
        <v>15055</v>
      </c>
      <c r="AJ161" s="18">
        <v>2185</v>
      </c>
      <c r="AK161" s="18">
        <v>781.29032258064512</v>
      </c>
      <c r="AL161" s="18">
        <v>1240</v>
      </c>
      <c r="AM161" s="18">
        <v>120389</v>
      </c>
      <c r="AN161" s="18">
        <v>5867</v>
      </c>
      <c r="AO161" s="18">
        <v>2441</v>
      </c>
      <c r="AP161" s="18">
        <v>858.70967741935488</v>
      </c>
      <c r="AQ161" s="18">
        <v>1240</v>
      </c>
      <c r="AR161" s="18">
        <v>171722</v>
      </c>
      <c r="AS161" s="18">
        <v>3853</v>
      </c>
      <c r="AT161" s="18">
        <v>1545</v>
      </c>
      <c r="AU161" s="18">
        <v>1095</v>
      </c>
      <c r="AV161" s="18">
        <v>1240</v>
      </c>
      <c r="AW161" s="18">
        <v>190707</v>
      </c>
      <c r="AX161" s="18">
        <v>8498</v>
      </c>
      <c r="AY161" s="18">
        <v>333</v>
      </c>
      <c r="AZ161" s="18">
        <v>1214.516129032258</v>
      </c>
      <c r="BA161" s="18">
        <v>1240</v>
      </c>
      <c r="BB161" s="18">
        <v>206564</v>
      </c>
      <c r="BC161" s="18">
        <v>7792</v>
      </c>
      <c r="BD161" s="18">
        <v>1185</v>
      </c>
      <c r="BE161" s="18">
        <v>1171.3333333333333</v>
      </c>
      <c r="BF161" s="18">
        <v>1209.3333333333333</v>
      </c>
      <c r="BG161" s="18">
        <v>286039</v>
      </c>
      <c r="BH161" s="18">
        <v>5163</v>
      </c>
      <c r="BI161" s="18">
        <v>1834</v>
      </c>
      <c r="BJ161" s="18">
        <v>1109.6774193548388</v>
      </c>
      <c r="BK161" s="18">
        <v>1200</v>
      </c>
    </row>
    <row r="162" spans="1:63" x14ac:dyDescent="0.35">
      <c r="A162" s="19">
        <v>158</v>
      </c>
      <c r="B162" s="20" t="s">
        <v>324</v>
      </c>
      <c r="C162" s="20" t="s">
        <v>324</v>
      </c>
      <c r="D162" s="18">
        <v>325379</v>
      </c>
      <c r="E162" s="18">
        <v>19317</v>
      </c>
      <c r="F162" s="18">
        <v>0</v>
      </c>
      <c r="G162" s="18">
        <v>666.77419354838707</v>
      </c>
      <c r="H162" s="18">
        <v>1080.8064516129032</v>
      </c>
      <c r="I162" s="18">
        <v>311294</v>
      </c>
      <c r="J162" s="18">
        <v>26995</v>
      </c>
      <c r="K162" s="18">
        <v>0</v>
      </c>
      <c r="L162" s="18">
        <v>685.35714285714289</v>
      </c>
      <c r="M162" s="18">
        <v>1408.5714285714287</v>
      </c>
      <c r="N162" s="18">
        <v>344553</v>
      </c>
      <c r="O162" s="18">
        <v>27778</v>
      </c>
      <c r="P162" s="18">
        <v>0</v>
      </c>
      <c r="Q162" s="18">
        <v>695</v>
      </c>
      <c r="R162" s="18">
        <v>1604.8387096774193</v>
      </c>
      <c r="S162" s="18">
        <v>278715</v>
      </c>
      <c r="T162" s="18">
        <v>16835</v>
      </c>
      <c r="U162" s="18">
        <v>0</v>
      </c>
      <c r="V162" s="18">
        <v>700.5</v>
      </c>
      <c r="W162" s="18">
        <v>1440</v>
      </c>
      <c r="X162" s="18">
        <v>166526</v>
      </c>
      <c r="Y162" s="18">
        <v>17409</v>
      </c>
      <c r="Z162" s="18">
        <v>0</v>
      </c>
      <c r="AA162" s="18">
        <v>799.67741935483866</v>
      </c>
      <c r="AB162" s="18">
        <v>1254.516129032258</v>
      </c>
      <c r="AC162" s="18">
        <v>217249</v>
      </c>
      <c r="AD162" s="18">
        <v>15470</v>
      </c>
      <c r="AE162" s="18">
        <v>0</v>
      </c>
      <c r="AF162" s="18">
        <v>756.33333333333337</v>
      </c>
      <c r="AG162" s="18">
        <v>1251.3333333333333</v>
      </c>
      <c r="AH162" s="18">
        <v>271889</v>
      </c>
      <c r="AI162" s="18">
        <v>12681</v>
      </c>
      <c r="AJ162" s="18">
        <v>0</v>
      </c>
      <c r="AK162" s="18">
        <v>774.19354838709683</v>
      </c>
      <c r="AL162" s="18">
        <v>1262.258064516129</v>
      </c>
      <c r="AM162" s="18">
        <v>121290</v>
      </c>
      <c r="AN162" s="18">
        <v>8643</v>
      </c>
      <c r="AO162" s="18">
        <v>0</v>
      </c>
      <c r="AP162" s="18">
        <v>876.45161290322585</v>
      </c>
      <c r="AQ162" s="18">
        <v>1250</v>
      </c>
      <c r="AR162" s="18">
        <v>168691</v>
      </c>
      <c r="AS162" s="18">
        <v>9177</v>
      </c>
      <c r="AT162" s="18">
        <v>0</v>
      </c>
      <c r="AU162" s="18">
        <v>1145.6666666666667</v>
      </c>
      <c r="AV162" s="18">
        <v>1250</v>
      </c>
      <c r="AW162" s="18">
        <v>225526</v>
      </c>
      <c r="AX162" s="18">
        <v>17810</v>
      </c>
      <c r="AY162" s="18">
        <v>0</v>
      </c>
      <c r="AZ162" s="18">
        <v>1219.3548387096773</v>
      </c>
      <c r="BA162" s="18">
        <v>1241.2903225806451</v>
      </c>
      <c r="BB162" s="18">
        <v>298253</v>
      </c>
      <c r="BC162" s="18">
        <v>22696</v>
      </c>
      <c r="BD162" s="18">
        <v>0</v>
      </c>
      <c r="BE162" s="18">
        <v>1158.6666666666667</v>
      </c>
      <c r="BF162" s="18">
        <v>1212.6666666666667</v>
      </c>
      <c r="BG162" s="18">
        <v>326243</v>
      </c>
      <c r="BH162" s="18">
        <v>26800</v>
      </c>
      <c r="BI162" s="18">
        <v>0</v>
      </c>
      <c r="BJ162" s="18">
        <v>1090.9677419354839</v>
      </c>
      <c r="BK162" s="18">
        <v>1200</v>
      </c>
    </row>
    <row r="163" spans="1:63" x14ac:dyDescent="0.35">
      <c r="A163" s="19">
        <v>159</v>
      </c>
      <c r="B163" s="20" t="s">
        <v>325</v>
      </c>
      <c r="C163" s="20" t="s">
        <v>325</v>
      </c>
      <c r="D163" s="18">
        <v>442136</v>
      </c>
      <c r="E163" s="18">
        <v>75384</v>
      </c>
      <c r="F163" s="18">
        <v>0</v>
      </c>
      <c r="G163" s="18">
        <v>650.80645161290317</v>
      </c>
      <c r="H163" s="18">
        <v>1044.3548387096773</v>
      </c>
      <c r="I163" s="18">
        <v>357851</v>
      </c>
      <c r="J163" s="18">
        <v>62064</v>
      </c>
      <c r="K163" s="18">
        <v>0</v>
      </c>
      <c r="L163" s="18">
        <v>667.67857142857144</v>
      </c>
      <c r="M163" s="18">
        <v>1396.0714285714287</v>
      </c>
      <c r="N163" s="18">
        <v>421384</v>
      </c>
      <c r="O163" s="18">
        <v>56633</v>
      </c>
      <c r="P163" s="18">
        <v>0</v>
      </c>
      <c r="Q163" s="18">
        <v>680.48387096774195</v>
      </c>
      <c r="R163" s="18">
        <v>1566.1290322580646</v>
      </c>
      <c r="S163" s="18">
        <v>511488</v>
      </c>
      <c r="T163" s="18">
        <v>86944</v>
      </c>
      <c r="U163" s="18">
        <v>0</v>
      </c>
      <c r="V163" s="18">
        <v>680</v>
      </c>
      <c r="W163" s="18">
        <v>1339.3333333333333</v>
      </c>
      <c r="X163" s="18">
        <v>425856</v>
      </c>
      <c r="Y163" s="18">
        <v>81399</v>
      </c>
      <c r="Z163" s="18">
        <v>0</v>
      </c>
      <c r="AA163" s="18">
        <v>717.58064516129036</v>
      </c>
      <c r="AB163" s="18">
        <v>1187.0967741935483</v>
      </c>
      <c r="AC163" s="18">
        <v>412041</v>
      </c>
      <c r="AD163" s="18">
        <v>75869</v>
      </c>
      <c r="AE163" s="18">
        <v>0</v>
      </c>
      <c r="AF163" s="18">
        <v>722.33333333333337</v>
      </c>
      <c r="AG163" s="18">
        <v>1182.3333333333333</v>
      </c>
      <c r="AH163" s="18">
        <v>356569</v>
      </c>
      <c r="AI163" s="18">
        <v>58006</v>
      </c>
      <c r="AJ163" s="18">
        <v>0</v>
      </c>
      <c r="AK163" s="18">
        <v>747.58064516129036</v>
      </c>
      <c r="AL163" s="18">
        <v>1199.0322580645161</v>
      </c>
      <c r="AM163" s="18">
        <v>229984</v>
      </c>
      <c r="AN163" s="18">
        <v>41821</v>
      </c>
      <c r="AO163" s="18">
        <v>0</v>
      </c>
      <c r="AP163" s="18">
        <v>835.48387096774195</v>
      </c>
      <c r="AQ163" s="18">
        <v>1200</v>
      </c>
      <c r="AR163" s="18">
        <v>294545</v>
      </c>
      <c r="AS163" s="18">
        <v>50213</v>
      </c>
      <c r="AT163" s="18">
        <v>0</v>
      </c>
      <c r="AU163" s="18">
        <v>1106.1666666666667</v>
      </c>
      <c r="AV163" s="18">
        <v>1200</v>
      </c>
      <c r="AW163" s="18">
        <v>287527</v>
      </c>
      <c r="AX163" s="18">
        <v>56384</v>
      </c>
      <c r="AY163" s="18">
        <v>0</v>
      </c>
      <c r="AZ163" s="18">
        <v>1153.5483870967741</v>
      </c>
      <c r="BA163" s="18">
        <v>1191.2903225806451</v>
      </c>
      <c r="BB163" s="18">
        <v>263955</v>
      </c>
      <c r="BC163" s="18">
        <v>74758</v>
      </c>
      <c r="BD163" s="18">
        <v>0</v>
      </c>
      <c r="BE163" s="18">
        <v>1127.3333333333333</v>
      </c>
      <c r="BF163" s="18">
        <v>1168.6666666666667</v>
      </c>
      <c r="BG163" s="18">
        <v>334049</v>
      </c>
      <c r="BH163" s="18">
        <v>63191</v>
      </c>
      <c r="BI163" s="18">
        <v>0</v>
      </c>
      <c r="BJ163" s="18">
        <v>1081.2903225806451</v>
      </c>
      <c r="BK163" s="18">
        <v>1150</v>
      </c>
    </row>
    <row r="164" spans="1:63" x14ac:dyDescent="0.35">
      <c r="A164" s="19">
        <v>160</v>
      </c>
      <c r="B164" s="20" t="s">
        <v>326</v>
      </c>
      <c r="C164" s="20" t="s">
        <v>326</v>
      </c>
      <c r="D164" s="18">
        <v>187555</v>
      </c>
      <c r="E164" s="18">
        <v>46011</v>
      </c>
      <c r="F164" s="18">
        <v>0</v>
      </c>
      <c r="G164" s="18">
        <v>660</v>
      </c>
      <c r="H164" s="18">
        <v>1066.7741935483871</v>
      </c>
      <c r="I164" s="18">
        <v>217918</v>
      </c>
      <c r="J164" s="18">
        <v>38769</v>
      </c>
      <c r="K164" s="18">
        <v>0</v>
      </c>
      <c r="L164" s="18">
        <v>670.17857142857144</v>
      </c>
      <c r="M164" s="18">
        <v>1406.4285714285713</v>
      </c>
      <c r="N164" s="18">
        <v>220215</v>
      </c>
      <c r="O164" s="18">
        <v>45839</v>
      </c>
      <c r="P164" s="18">
        <v>0</v>
      </c>
      <c r="Q164" s="18">
        <v>695</v>
      </c>
      <c r="R164" s="18">
        <v>1590.3225806451612</v>
      </c>
      <c r="S164" s="18">
        <v>230988</v>
      </c>
      <c r="T164" s="18">
        <v>64071</v>
      </c>
      <c r="U164" s="18">
        <v>0</v>
      </c>
      <c r="V164" s="18">
        <v>695</v>
      </c>
      <c r="W164" s="18">
        <v>1353.6666666666667</v>
      </c>
      <c r="X164" s="18">
        <v>233893</v>
      </c>
      <c r="Y164" s="18">
        <v>46095</v>
      </c>
      <c r="Z164" s="18">
        <v>0</v>
      </c>
      <c r="AA164" s="18">
        <v>755.16129032258061</v>
      </c>
      <c r="AB164" s="18">
        <v>1197.4193548387098</v>
      </c>
      <c r="AC164" s="18">
        <v>192951</v>
      </c>
      <c r="AD164" s="18">
        <v>43018</v>
      </c>
      <c r="AE164" s="18">
        <v>0</v>
      </c>
      <c r="AF164" s="18">
        <v>750</v>
      </c>
      <c r="AG164" s="18">
        <v>1200</v>
      </c>
      <c r="AH164" s="18">
        <v>238140</v>
      </c>
      <c r="AI164" s="18">
        <v>65927</v>
      </c>
      <c r="AJ164" s="18">
        <v>0</v>
      </c>
      <c r="AK164" s="18">
        <v>766.93548387096769</v>
      </c>
      <c r="AL164" s="18">
        <v>1200</v>
      </c>
      <c r="AM164" s="18">
        <v>135002</v>
      </c>
      <c r="AN164" s="18">
        <v>43209</v>
      </c>
      <c r="AO164" s="18">
        <v>0</v>
      </c>
      <c r="AP164" s="18">
        <v>867.09677419354841</v>
      </c>
      <c r="AQ164" s="18">
        <v>1200.6451612903227</v>
      </c>
      <c r="AR164" s="18">
        <v>273676</v>
      </c>
      <c r="AS164" s="18">
        <v>31178</v>
      </c>
      <c r="AT164" s="18">
        <v>0</v>
      </c>
      <c r="AU164" s="18">
        <v>1116.6666666666667</v>
      </c>
      <c r="AV164" s="18">
        <v>1200</v>
      </c>
      <c r="AW164" s="18">
        <v>204484</v>
      </c>
      <c r="AX164" s="18">
        <v>26428</v>
      </c>
      <c r="AY164" s="18">
        <v>0</v>
      </c>
      <c r="AZ164" s="18">
        <v>1162.258064516129</v>
      </c>
      <c r="BA164" s="18">
        <v>1196.1290322580646</v>
      </c>
      <c r="BB164" s="18">
        <v>212349</v>
      </c>
      <c r="BC164" s="18">
        <v>40653</v>
      </c>
      <c r="BD164" s="18">
        <v>0</v>
      </c>
      <c r="BE164" s="18">
        <v>1132.6666666666667</v>
      </c>
      <c r="BF164" s="18">
        <v>1179.3333333333333</v>
      </c>
      <c r="BG164" s="18">
        <v>219068</v>
      </c>
      <c r="BH164" s="18">
        <v>38939</v>
      </c>
      <c r="BI164" s="18">
        <v>0</v>
      </c>
      <c r="BJ164" s="18">
        <v>1088.0645161290322</v>
      </c>
      <c r="BK164" s="18">
        <v>1153.2258064516129</v>
      </c>
    </row>
    <row r="165" spans="1:63" x14ac:dyDescent="0.35">
      <c r="A165" s="19">
        <v>161</v>
      </c>
      <c r="B165" s="20" t="s">
        <v>327</v>
      </c>
      <c r="C165" s="20" t="s">
        <v>327</v>
      </c>
      <c r="D165" s="18">
        <v>221425</v>
      </c>
      <c r="E165" s="18">
        <v>1735</v>
      </c>
      <c r="F165" s="18">
        <v>0</v>
      </c>
      <c r="G165" s="18">
        <v>660</v>
      </c>
      <c r="H165" s="18">
        <v>1073.8709677419354</v>
      </c>
      <c r="I165" s="18">
        <v>252189</v>
      </c>
      <c r="J165" s="18">
        <v>7309</v>
      </c>
      <c r="K165" s="18">
        <v>0</v>
      </c>
      <c r="L165" s="18">
        <v>678.21428571428567</v>
      </c>
      <c r="M165" s="18">
        <v>1399.8214285714287</v>
      </c>
      <c r="N165" s="18">
        <v>302998</v>
      </c>
      <c r="O165" s="18">
        <v>15159</v>
      </c>
      <c r="P165" s="18">
        <v>0</v>
      </c>
      <c r="Q165" s="18">
        <v>685.48387096774195</v>
      </c>
      <c r="R165" s="18">
        <v>1608.0645161290322</v>
      </c>
      <c r="S165" s="18">
        <v>307379</v>
      </c>
      <c r="T165" s="18">
        <v>16788</v>
      </c>
      <c r="U165" s="18">
        <v>0</v>
      </c>
      <c r="V165" s="18">
        <v>698.5</v>
      </c>
      <c r="W165" s="18">
        <v>1409.8333333333333</v>
      </c>
      <c r="X165" s="18">
        <v>496895</v>
      </c>
      <c r="Y165" s="18">
        <v>11194</v>
      </c>
      <c r="Z165" s="18">
        <v>0</v>
      </c>
      <c r="AA165" s="18">
        <v>770</v>
      </c>
      <c r="AB165" s="18">
        <v>1243.2258064516129</v>
      </c>
      <c r="AC165" s="18">
        <v>266701</v>
      </c>
      <c r="AD165" s="18">
        <v>9058</v>
      </c>
      <c r="AE165" s="18">
        <v>0</v>
      </c>
      <c r="AF165" s="18">
        <v>745.33333333333337</v>
      </c>
      <c r="AG165" s="18">
        <v>1224.6666666666667</v>
      </c>
      <c r="AH165" s="18">
        <v>380458</v>
      </c>
      <c r="AI165" s="18">
        <v>7125</v>
      </c>
      <c r="AJ165" s="18">
        <v>0</v>
      </c>
      <c r="AK165" s="18">
        <v>756.12903225806451</v>
      </c>
      <c r="AL165" s="18">
        <v>1220</v>
      </c>
      <c r="AM165" s="18">
        <v>249053</v>
      </c>
      <c r="AN165" s="18">
        <v>5146</v>
      </c>
      <c r="AO165" s="18">
        <v>0</v>
      </c>
      <c r="AP165" s="18">
        <v>859.0322580645161</v>
      </c>
      <c r="AQ165" s="18">
        <v>1220</v>
      </c>
      <c r="AR165" s="18">
        <v>294188</v>
      </c>
      <c r="AS165" s="18">
        <v>5646</v>
      </c>
      <c r="AT165" s="18">
        <v>0</v>
      </c>
      <c r="AU165" s="18">
        <v>1119.3333333333333</v>
      </c>
      <c r="AV165" s="18">
        <v>1220</v>
      </c>
      <c r="AW165" s="18">
        <v>308779</v>
      </c>
      <c r="AX165" s="18">
        <v>5521</v>
      </c>
      <c r="AY165" s="18">
        <v>0</v>
      </c>
      <c r="AZ165" s="18">
        <v>1200</v>
      </c>
      <c r="BA165" s="18">
        <v>1220</v>
      </c>
      <c r="BB165" s="18">
        <v>234349</v>
      </c>
      <c r="BC165" s="18">
        <v>6395</v>
      </c>
      <c r="BD165" s="18">
        <v>0</v>
      </c>
      <c r="BE165" s="18">
        <v>1143.6666666666667</v>
      </c>
      <c r="BF165" s="18">
        <v>1209.3333333333333</v>
      </c>
      <c r="BG165" s="18">
        <v>230389</v>
      </c>
      <c r="BH165" s="18">
        <v>5240</v>
      </c>
      <c r="BI165" s="18">
        <v>0</v>
      </c>
      <c r="BJ165" s="18">
        <v>1082.5806451612902</v>
      </c>
      <c r="BK165" s="18">
        <v>1194.1935483870968</v>
      </c>
    </row>
    <row r="166" spans="1:63" x14ac:dyDescent="0.35">
      <c r="A166" s="19">
        <v>162</v>
      </c>
      <c r="B166" s="20" t="s">
        <v>328</v>
      </c>
      <c r="C166" s="20" t="s">
        <v>328</v>
      </c>
      <c r="D166" s="18">
        <v>212518</v>
      </c>
      <c r="E166" s="18">
        <v>15503</v>
      </c>
      <c r="F166" s="18">
        <v>4743</v>
      </c>
      <c r="G166" s="18">
        <v>660</v>
      </c>
      <c r="H166" s="18">
        <v>1060</v>
      </c>
      <c r="I166" s="18">
        <v>221682</v>
      </c>
      <c r="J166" s="18">
        <v>10071</v>
      </c>
      <c r="K166" s="18">
        <v>10426</v>
      </c>
      <c r="L166" s="18">
        <v>670.17857142857144</v>
      </c>
      <c r="M166" s="18">
        <v>1408.5714285714287</v>
      </c>
      <c r="N166" s="18">
        <v>272424</v>
      </c>
      <c r="O166" s="18">
        <v>12593</v>
      </c>
      <c r="P166" s="18">
        <v>5485</v>
      </c>
      <c r="Q166" s="18">
        <v>695</v>
      </c>
      <c r="R166" s="18">
        <v>1590.3225806451612</v>
      </c>
      <c r="S166" s="18">
        <v>329798</v>
      </c>
      <c r="T166" s="18">
        <v>14941</v>
      </c>
      <c r="U166" s="18">
        <v>2919</v>
      </c>
      <c r="V166" s="18">
        <v>696.16666666666663</v>
      </c>
      <c r="W166" s="18">
        <v>1362</v>
      </c>
      <c r="X166" s="18">
        <v>213858</v>
      </c>
      <c r="Y166" s="18">
        <v>18620</v>
      </c>
      <c r="Z166" s="18">
        <v>203</v>
      </c>
      <c r="AA166" s="18">
        <v>782.90322580645159</v>
      </c>
      <c r="AB166" s="18">
        <v>1212.9032258064517</v>
      </c>
      <c r="AC166" s="18">
        <v>177144</v>
      </c>
      <c r="AD166" s="18">
        <v>14463</v>
      </c>
      <c r="AE166" s="18">
        <v>438</v>
      </c>
      <c r="AF166" s="18">
        <v>752.66666666666663</v>
      </c>
      <c r="AG166" s="18">
        <v>1189.3333333333333</v>
      </c>
      <c r="AH166" s="18">
        <v>299347</v>
      </c>
      <c r="AI166" s="18">
        <v>14950</v>
      </c>
      <c r="AJ166" s="18">
        <v>44</v>
      </c>
      <c r="AK166" s="18">
        <v>751.12903225806451</v>
      </c>
      <c r="AL166" s="18">
        <v>1208.0645161290322</v>
      </c>
      <c r="AM166" s="18">
        <v>153679</v>
      </c>
      <c r="AN166" s="18">
        <v>12623</v>
      </c>
      <c r="AO166" s="18">
        <v>32</v>
      </c>
      <c r="AP166" s="18">
        <v>846.61290322580646</v>
      </c>
      <c r="AQ166" s="18">
        <v>1230</v>
      </c>
      <c r="AR166" s="18">
        <v>158080</v>
      </c>
      <c r="AS166" s="18">
        <v>11602</v>
      </c>
      <c r="AT166" s="18">
        <v>45</v>
      </c>
      <c r="AU166" s="18">
        <v>1109.5</v>
      </c>
      <c r="AV166" s="18">
        <v>1230</v>
      </c>
      <c r="AW166" s="18">
        <v>179414</v>
      </c>
      <c r="AX166" s="18">
        <v>14285</v>
      </c>
      <c r="AY166" s="18">
        <v>201</v>
      </c>
      <c r="AZ166" s="18">
        <v>1179.6774193548388</v>
      </c>
      <c r="BA166" s="18">
        <v>1218.3870967741937</v>
      </c>
      <c r="BB166" s="18">
        <v>200977</v>
      </c>
      <c r="BC166" s="18">
        <v>17287</v>
      </c>
      <c r="BD166" s="18">
        <v>199</v>
      </c>
      <c r="BE166" s="18">
        <v>1138</v>
      </c>
      <c r="BF166" s="18">
        <v>1170.3333333333333</v>
      </c>
      <c r="BG166" s="18">
        <v>302798</v>
      </c>
      <c r="BH166" s="18">
        <v>24488</v>
      </c>
      <c r="BI166" s="18">
        <v>164</v>
      </c>
      <c r="BJ166" s="18">
        <v>1084.516129032258</v>
      </c>
      <c r="BK166" s="18">
        <v>1150</v>
      </c>
    </row>
    <row r="167" spans="1:63" x14ac:dyDescent="0.35">
      <c r="A167" s="19">
        <v>163</v>
      </c>
      <c r="B167" s="20" t="s">
        <v>329</v>
      </c>
      <c r="C167" s="20" t="s">
        <v>329</v>
      </c>
      <c r="D167" s="18">
        <v>251938</v>
      </c>
      <c r="E167" s="18">
        <v>32146</v>
      </c>
      <c r="F167" s="18">
        <v>0</v>
      </c>
      <c r="G167" s="18">
        <v>652.58064516129036</v>
      </c>
      <c r="H167" s="18">
        <v>1065.8064516129032</v>
      </c>
      <c r="I167" s="18">
        <v>272924</v>
      </c>
      <c r="J167" s="18">
        <v>31687</v>
      </c>
      <c r="K167" s="18">
        <v>0</v>
      </c>
      <c r="L167" s="18">
        <v>669.46428571428567</v>
      </c>
      <c r="M167" s="18">
        <v>1406.4285714285713</v>
      </c>
      <c r="N167" s="18">
        <v>307768</v>
      </c>
      <c r="O167" s="18">
        <v>38350</v>
      </c>
      <c r="P167" s="18">
        <v>0</v>
      </c>
      <c r="Q167" s="18">
        <v>695</v>
      </c>
      <c r="R167" s="18">
        <v>1590.3225806451612</v>
      </c>
      <c r="S167" s="18">
        <v>268075</v>
      </c>
      <c r="T167" s="18">
        <v>38992</v>
      </c>
      <c r="U167" s="18">
        <v>0</v>
      </c>
      <c r="V167" s="18">
        <v>695</v>
      </c>
      <c r="W167" s="18">
        <v>1353.6666666666667</v>
      </c>
      <c r="X167" s="18">
        <v>269527</v>
      </c>
      <c r="Y167" s="18">
        <v>31881</v>
      </c>
      <c r="Z167" s="18">
        <v>1</v>
      </c>
      <c r="AA167" s="18">
        <v>741.61290322580646</v>
      </c>
      <c r="AB167" s="18">
        <v>1194.8387096774193</v>
      </c>
      <c r="AC167" s="18">
        <v>239503</v>
      </c>
      <c r="AD167" s="18">
        <v>32460</v>
      </c>
      <c r="AE167" s="18">
        <v>0</v>
      </c>
      <c r="AF167" s="18">
        <v>731.66666666666663</v>
      </c>
      <c r="AG167" s="18">
        <v>1182.3333333333333</v>
      </c>
      <c r="AH167" s="18">
        <v>236831</v>
      </c>
      <c r="AI167" s="18">
        <v>29502</v>
      </c>
      <c r="AJ167" s="18">
        <v>0</v>
      </c>
      <c r="AK167" s="18">
        <v>747.58064516129036</v>
      </c>
      <c r="AL167" s="18">
        <v>1199.0322580645161</v>
      </c>
      <c r="AM167" s="18">
        <v>121555</v>
      </c>
      <c r="AN167" s="18">
        <v>19413</v>
      </c>
      <c r="AO167" s="18">
        <v>0</v>
      </c>
      <c r="AP167" s="18">
        <v>836.45161290322585</v>
      </c>
      <c r="AQ167" s="18">
        <v>1200</v>
      </c>
      <c r="AR167" s="18">
        <v>190715</v>
      </c>
      <c r="AS167" s="18">
        <v>21150</v>
      </c>
      <c r="AT167" s="18">
        <v>0</v>
      </c>
      <c r="AU167" s="18">
        <v>1106.8333333333333</v>
      </c>
      <c r="AV167" s="18">
        <v>1200</v>
      </c>
      <c r="AW167" s="18">
        <v>215412</v>
      </c>
      <c r="AX167" s="18">
        <v>23912</v>
      </c>
      <c r="AY167" s="18">
        <v>0</v>
      </c>
      <c r="AZ167" s="18">
        <v>1161.6129032258063</v>
      </c>
      <c r="BA167" s="18">
        <v>1196.7741935483871</v>
      </c>
      <c r="BB167" s="18">
        <v>235247</v>
      </c>
      <c r="BC167" s="18">
        <v>26545</v>
      </c>
      <c r="BD167" s="18">
        <v>0</v>
      </c>
      <c r="BE167" s="18">
        <v>1132.6666666666667</v>
      </c>
      <c r="BF167" s="18">
        <v>1179.3333333333333</v>
      </c>
      <c r="BG167" s="18">
        <v>211079</v>
      </c>
      <c r="BH167" s="18">
        <v>29786</v>
      </c>
      <c r="BI167" s="18">
        <v>0</v>
      </c>
      <c r="BJ167" s="18">
        <v>1090.6451612903227</v>
      </c>
      <c r="BK167" s="18">
        <v>1153.2258064516129</v>
      </c>
    </row>
    <row r="168" spans="1:63" x14ac:dyDescent="0.35">
      <c r="A168" s="19">
        <v>164</v>
      </c>
      <c r="B168" s="20" t="s">
        <v>330</v>
      </c>
      <c r="C168" s="20" t="s">
        <v>330</v>
      </c>
      <c r="D168" s="18">
        <v>145041</v>
      </c>
      <c r="E168" s="18">
        <v>14404</v>
      </c>
      <c r="F168" s="18">
        <v>0</v>
      </c>
      <c r="G168" s="18">
        <v>652.58064516129036</v>
      </c>
      <c r="H168" s="18">
        <v>1065.8064516129032</v>
      </c>
      <c r="I168" s="18">
        <v>166783</v>
      </c>
      <c r="J168" s="18">
        <v>18915</v>
      </c>
      <c r="K168" s="18">
        <v>0</v>
      </c>
      <c r="L168" s="18">
        <v>669.46428571428567</v>
      </c>
      <c r="M168" s="18">
        <v>1406.4285714285713</v>
      </c>
      <c r="N168" s="18">
        <v>209193</v>
      </c>
      <c r="O168" s="18">
        <v>16651</v>
      </c>
      <c r="P168" s="18">
        <v>0</v>
      </c>
      <c r="Q168" s="18">
        <v>695</v>
      </c>
      <c r="R168" s="18">
        <v>1590.3225806451612</v>
      </c>
      <c r="S168" s="18">
        <v>157257</v>
      </c>
      <c r="T168" s="18">
        <v>16738</v>
      </c>
      <c r="U168" s="18">
        <v>24</v>
      </c>
      <c r="V168" s="18">
        <v>695</v>
      </c>
      <c r="W168" s="18">
        <v>1353.6666666666667</v>
      </c>
      <c r="X168" s="18">
        <v>209477</v>
      </c>
      <c r="Y168" s="18">
        <v>18619</v>
      </c>
      <c r="Z168" s="18">
        <v>894</v>
      </c>
      <c r="AA168" s="18">
        <v>741.61290322580646</v>
      </c>
      <c r="AB168" s="18">
        <v>1197.4193548387098</v>
      </c>
      <c r="AC168" s="18">
        <v>155603</v>
      </c>
      <c r="AD168" s="18">
        <v>17813</v>
      </c>
      <c r="AE168" s="18">
        <v>526</v>
      </c>
      <c r="AF168" s="18">
        <v>731.66666666666663</v>
      </c>
      <c r="AG168" s="18">
        <v>1182.3333333333333</v>
      </c>
      <c r="AH168" s="18">
        <v>157218</v>
      </c>
      <c r="AI168" s="18">
        <v>14527</v>
      </c>
      <c r="AJ168" s="18">
        <v>1351</v>
      </c>
      <c r="AK168" s="18">
        <v>747.58064516129036</v>
      </c>
      <c r="AL168" s="18">
        <v>1199.0322580645161</v>
      </c>
      <c r="AM168" s="18">
        <v>139157</v>
      </c>
      <c r="AN168" s="18">
        <v>9556</v>
      </c>
      <c r="AO168" s="18">
        <v>702</v>
      </c>
      <c r="AP168" s="18">
        <v>837.41935483870964</v>
      </c>
      <c r="AQ168" s="18">
        <v>1200</v>
      </c>
      <c r="AR168" s="18">
        <v>132687</v>
      </c>
      <c r="AS168" s="18">
        <v>9235</v>
      </c>
      <c r="AT168" s="18">
        <v>830</v>
      </c>
      <c r="AU168" s="18">
        <v>1104.8333333333333</v>
      </c>
      <c r="AV168" s="18">
        <v>1200</v>
      </c>
      <c r="AW168" s="18">
        <v>113379</v>
      </c>
      <c r="AX168" s="18">
        <v>12322</v>
      </c>
      <c r="AY168" s="18">
        <v>792</v>
      </c>
      <c r="AZ168" s="18">
        <v>1161.6129032258063</v>
      </c>
      <c r="BA168" s="18">
        <v>1195.8064516129032</v>
      </c>
      <c r="BB168" s="18">
        <v>98983</v>
      </c>
      <c r="BC168" s="18">
        <v>13842</v>
      </c>
      <c r="BD168" s="18">
        <v>231</v>
      </c>
      <c r="BE168" s="18">
        <v>1132.6666666666667</v>
      </c>
      <c r="BF168" s="18">
        <v>1179.3333333333333</v>
      </c>
      <c r="BG168" s="18">
        <v>82384</v>
      </c>
      <c r="BH168" s="18">
        <v>14610</v>
      </c>
      <c r="BI168" s="18">
        <v>404</v>
      </c>
      <c r="BJ168" s="18">
        <v>1090.6451612903227</v>
      </c>
      <c r="BK168" s="18">
        <v>1153.2258064516129</v>
      </c>
    </row>
    <row r="169" spans="1:63" x14ac:dyDescent="0.35">
      <c r="A169" s="19">
        <v>165</v>
      </c>
      <c r="B169" s="20" t="s">
        <v>331</v>
      </c>
      <c r="C169" s="20" t="s">
        <v>331</v>
      </c>
      <c r="D169" s="18">
        <v>177367</v>
      </c>
      <c r="E169" s="18">
        <v>13755</v>
      </c>
      <c r="F169" s="18">
        <v>0</v>
      </c>
      <c r="G169" s="18">
        <v>650.48387096774195</v>
      </c>
      <c r="H169" s="18">
        <v>1055</v>
      </c>
      <c r="I169" s="18">
        <v>167472</v>
      </c>
      <c r="J169" s="18">
        <v>14417</v>
      </c>
      <c r="K169" s="18">
        <v>0</v>
      </c>
      <c r="L169" s="18">
        <v>669.46428571428567</v>
      </c>
      <c r="M169" s="18">
        <v>1406.4285714285713</v>
      </c>
      <c r="N169" s="18">
        <v>162713</v>
      </c>
      <c r="O169" s="18">
        <v>13489</v>
      </c>
      <c r="P169" s="18">
        <v>0</v>
      </c>
      <c r="Q169" s="18">
        <v>695</v>
      </c>
      <c r="R169" s="18">
        <v>1593.5483870967741</v>
      </c>
      <c r="S169" s="18">
        <v>185794</v>
      </c>
      <c r="T169" s="18">
        <v>17289</v>
      </c>
      <c r="U169" s="18">
        <v>0</v>
      </c>
      <c r="V169" s="18">
        <v>695</v>
      </c>
      <c r="W169" s="18">
        <v>1353.6666666666667</v>
      </c>
      <c r="X169" s="18">
        <v>181864</v>
      </c>
      <c r="Y169" s="18">
        <v>19099</v>
      </c>
      <c r="Z169" s="18">
        <v>0</v>
      </c>
      <c r="AA169" s="18">
        <v>742.58064516129036</v>
      </c>
      <c r="AB169" s="18">
        <v>1197.4193548387098</v>
      </c>
      <c r="AC169" s="18">
        <v>155311</v>
      </c>
      <c r="AD169" s="18">
        <v>18172</v>
      </c>
      <c r="AE169" s="18">
        <v>0</v>
      </c>
      <c r="AF169" s="18">
        <v>740.33333333333337</v>
      </c>
      <c r="AG169" s="18">
        <v>1201.3333333333333</v>
      </c>
      <c r="AH169" s="18">
        <v>161456</v>
      </c>
      <c r="AI169" s="18">
        <v>11922</v>
      </c>
      <c r="AJ169" s="18">
        <v>0</v>
      </c>
      <c r="AK169" s="18">
        <v>750.80645161290317</v>
      </c>
      <c r="AL169" s="18">
        <v>1220</v>
      </c>
      <c r="AM169" s="18">
        <v>106023</v>
      </c>
      <c r="AN169" s="18">
        <v>11719</v>
      </c>
      <c r="AO169" s="18">
        <v>0</v>
      </c>
      <c r="AP169" s="18">
        <v>867.41935483870964</v>
      </c>
      <c r="AQ169" s="18">
        <v>1220</v>
      </c>
      <c r="AR169" s="18">
        <v>167795</v>
      </c>
      <c r="AS169" s="18">
        <v>12652</v>
      </c>
      <c r="AT169" s="18">
        <v>0</v>
      </c>
      <c r="AU169" s="18">
        <v>1108.8333333333333</v>
      </c>
      <c r="AV169" s="18">
        <v>1220</v>
      </c>
      <c r="AW169" s="18">
        <v>151129</v>
      </c>
      <c r="AX169" s="18">
        <v>17796</v>
      </c>
      <c r="AY169" s="18">
        <v>0</v>
      </c>
      <c r="AZ169" s="18">
        <v>1150.6451612903227</v>
      </c>
      <c r="BA169" s="18">
        <v>1211.2903225806451</v>
      </c>
      <c r="BB169" s="18">
        <v>137074</v>
      </c>
      <c r="BC169" s="18">
        <v>20206</v>
      </c>
      <c r="BD169" s="18">
        <v>0</v>
      </c>
      <c r="BE169" s="18">
        <v>1138.3333333333333</v>
      </c>
      <c r="BF169" s="18">
        <v>1179.3333333333333</v>
      </c>
      <c r="BG169" s="18">
        <v>138375</v>
      </c>
      <c r="BH169" s="18">
        <v>21984</v>
      </c>
      <c r="BI169" s="18">
        <v>0</v>
      </c>
      <c r="BJ169" s="18">
        <v>1081.6129032258063</v>
      </c>
      <c r="BK169" s="18">
        <v>1153.2258064516129</v>
      </c>
    </row>
    <row r="170" spans="1:63" x14ac:dyDescent="0.35">
      <c r="A170" s="19">
        <v>166</v>
      </c>
      <c r="B170" s="20" t="s">
        <v>332</v>
      </c>
      <c r="C170" s="20" t="s">
        <v>332</v>
      </c>
      <c r="D170" s="18">
        <v>190380</v>
      </c>
      <c r="E170" s="18">
        <v>10271</v>
      </c>
      <c r="F170" s="18">
        <v>0</v>
      </c>
      <c r="G170" s="18">
        <v>635.32258064516134</v>
      </c>
      <c r="H170" s="18">
        <v>1051.9354838709678</v>
      </c>
      <c r="I170" s="18">
        <v>239533</v>
      </c>
      <c r="J170" s="18">
        <v>9159</v>
      </c>
      <c r="K170" s="18">
        <v>0</v>
      </c>
      <c r="L170" s="18">
        <v>660.53571428571433</v>
      </c>
      <c r="M170" s="18">
        <v>1406.4285714285713</v>
      </c>
      <c r="N170" s="18">
        <v>265248</v>
      </c>
      <c r="O170" s="18">
        <v>7421</v>
      </c>
      <c r="P170" s="18">
        <v>0</v>
      </c>
      <c r="Q170" s="18">
        <v>679.0322580645161</v>
      </c>
      <c r="R170" s="18">
        <v>1585.483870967742</v>
      </c>
      <c r="S170" s="18">
        <v>212438</v>
      </c>
      <c r="T170" s="18">
        <v>8979</v>
      </c>
      <c r="U170" s="18">
        <v>0</v>
      </c>
      <c r="V170" s="18">
        <v>690</v>
      </c>
      <c r="W170" s="18">
        <v>1339.3333333333333</v>
      </c>
      <c r="X170" s="18">
        <v>252043</v>
      </c>
      <c r="Y170" s="18">
        <v>6162</v>
      </c>
      <c r="Z170" s="18">
        <v>0</v>
      </c>
      <c r="AA170" s="18">
        <v>728.54838709677415</v>
      </c>
      <c r="AB170" s="18">
        <v>1167.741935483871</v>
      </c>
      <c r="AC170" s="18">
        <v>206353</v>
      </c>
      <c r="AD170" s="18">
        <v>9470</v>
      </c>
      <c r="AE170" s="18">
        <v>0</v>
      </c>
      <c r="AF170" s="18">
        <v>714.66666666666663</v>
      </c>
      <c r="AG170" s="18">
        <v>1141.3333333333333</v>
      </c>
      <c r="AH170" s="18">
        <v>294711</v>
      </c>
      <c r="AI170" s="18">
        <v>7832</v>
      </c>
      <c r="AJ170" s="18">
        <v>0</v>
      </c>
      <c r="AK170" s="18">
        <v>743.22580645161293</v>
      </c>
      <c r="AL170" s="18">
        <v>1187.0967741935483</v>
      </c>
      <c r="AM170" s="18">
        <v>201449</v>
      </c>
      <c r="AN170" s="18">
        <v>7194</v>
      </c>
      <c r="AO170" s="18">
        <v>0</v>
      </c>
      <c r="AP170" s="18">
        <v>841.61290322580646</v>
      </c>
      <c r="AQ170" s="18">
        <v>1190.9677419354839</v>
      </c>
      <c r="AR170" s="18">
        <v>206056</v>
      </c>
      <c r="AS170" s="18">
        <v>6307</v>
      </c>
      <c r="AT170" s="18">
        <v>0</v>
      </c>
      <c r="AU170" s="18">
        <v>1106.8333333333333</v>
      </c>
      <c r="AV170" s="18">
        <v>1190</v>
      </c>
      <c r="AW170" s="18">
        <v>179424</v>
      </c>
      <c r="AX170" s="18">
        <v>7575</v>
      </c>
      <c r="AY170" s="18">
        <v>0</v>
      </c>
      <c r="AZ170" s="18">
        <v>1163.2258064516129</v>
      </c>
      <c r="BA170" s="18">
        <v>1190</v>
      </c>
      <c r="BB170" s="18">
        <v>149859</v>
      </c>
      <c r="BC170" s="18">
        <v>8871</v>
      </c>
      <c r="BD170" s="18">
        <v>0</v>
      </c>
      <c r="BE170" s="18">
        <v>1131.3333333333333</v>
      </c>
      <c r="BF170" s="18">
        <v>1179.3333333333333</v>
      </c>
      <c r="BG170" s="18">
        <v>129156</v>
      </c>
      <c r="BH170" s="18">
        <v>9426</v>
      </c>
      <c r="BI170" s="18">
        <v>0</v>
      </c>
      <c r="BJ170" s="18">
        <v>1075.483870967742</v>
      </c>
      <c r="BK170" s="18">
        <v>1154.516129032258</v>
      </c>
    </row>
    <row r="171" spans="1:63" x14ac:dyDescent="0.35">
      <c r="A171" s="19">
        <v>167</v>
      </c>
      <c r="B171" s="20" t="s">
        <v>333</v>
      </c>
      <c r="C171" s="20" t="s">
        <v>333</v>
      </c>
      <c r="D171" s="18">
        <v>356098</v>
      </c>
      <c r="E171" s="18">
        <v>50570</v>
      </c>
      <c r="F171" s="18">
        <v>2632</v>
      </c>
      <c r="G171" s="18">
        <v>653.70967741935488</v>
      </c>
      <c r="H171" s="18">
        <v>1060.483870967742</v>
      </c>
      <c r="I171" s="18">
        <v>370372</v>
      </c>
      <c r="J171" s="18">
        <v>43077</v>
      </c>
      <c r="K171" s="18">
        <v>2525</v>
      </c>
      <c r="L171" s="18">
        <v>670.17857142857144</v>
      </c>
      <c r="M171" s="18">
        <v>1408.5714285714287</v>
      </c>
      <c r="N171" s="18">
        <v>361203</v>
      </c>
      <c r="O171" s="18">
        <v>35947</v>
      </c>
      <c r="P171" s="18">
        <v>1127</v>
      </c>
      <c r="Q171" s="18">
        <v>695</v>
      </c>
      <c r="R171" s="18">
        <v>1590.3225806451612</v>
      </c>
      <c r="S171" s="18">
        <v>343951</v>
      </c>
      <c r="T171" s="18">
        <v>38978</v>
      </c>
      <c r="U171" s="18">
        <v>1299</v>
      </c>
      <c r="V171" s="18">
        <v>696.16666666666663</v>
      </c>
      <c r="W171" s="18">
        <v>1362</v>
      </c>
      <c r="X171" s="18">
        <v>245788</v>
      </c>
      <c r="Y171" s="18">
        <v>35109</v>
      </c>
      <c r="Z171" s="18">
        <v>1257</v>
      </c>
      <c r="AA171" s="18">
        <v>778.06451612903231</v>
      </c>
      <c r="AB171" s="18">
        <v>1214.516129032258</v>
      </c>
      <c r="AC171" s="18">
        <v>249014</v>
      </c>
      <c r="AD171" s="18">
        <v>30227</v>
      </c>
      <c r="AE171" s="18">
        <v>1537</v>
      </c>
      <c r="AF171" s="18">
        <v>752.66666666666663</v>
      </c>
      <c r="AG171" s="18">
        <v>1189.3333333333333</v>
      </c>
      <c r="AH171" s="18">
        <v>315564</v>
      </c>
      <c r="AI171" s="18">
        <v>34276</v>
      </c>
      <c r="AJ171" s="18">
        <v>3700</v>
      </c>
      <c r="AK171" s="18">
        <v>751.45161290322585</v>
      </c>
      <c r="AL171" s="18">
        <v>1208.0645161290322</v>
      </c>
      <c r="AM171" s="18">
        <v>165828</v>
      </c>
      <c r="AN171" s="18">
        <v>25135</v>
      </c>
      <c r="AO171" s="18">
        <v>4373</v>
      </c>
      <c r="AP171" s="18">
        <v>846.61290322580646</v>
      </c>
      <c r="AQ171" s="18">
        <v>1230</v>
      </c>
      <c r="AR171" s="18">
        <v>177520</v>
      </c>
      <c r="AS171" s="18">
        <v>30029</v>
      </c>
      <c r="AT171" s="18">
        <v>3655</v>
      </c>
      <c r="AU171" s="18">
        <v>1108.6666666666667</v>
      </c>
      <c r="AV171" s="18">
        <v>1230</v>
      </c>
      <c r="AW171" s="18">
        <v>273295</v>
      </c>
      <c r="AX171" s="18">
        <v>31664</v>
      </c>
      <c r="AY171" s="18">
        <v>7077</v>
      </c>
      <c r="AZ171" s="18">
        <v>1179.6774193548388</v>
      </c>
      <c r="BA171" s="18">
        <v>1218.3870967741937</v>
      </c>
      <c r="BB171" s="18">
        <v>272545</v>
      </c>
      <c r="BC171" s="18">
        <v>47418</v>
      </c>
      <c r="BD171" s="18">
        <v>3285</v>
      </c>
      <c r="BE171" s="18">
        <v>1138</v>
      </c>
      <c r="BF171" s="18">
        <v>1170.3333333333333</v>
      </c>
      <c r="BG171" s="18">
        <v>261830</v>
      </c>
      <c r="BH171" s="18">
        <v>43291</v>
      </c>
      <c r="BI171" s="18">
        <v>2904</v>
      </c>
      <c r="BJ171" s="18">
        <v>1084.516129032258</v>
      </c>
      <c r="BK171" s="18">
        <v>1150</v>
      </c>
    </row>
    <row r="172" spans="1:63" x14ac:dyDescent="0.35">
      <c r="A172" s="19">
        <v>168</v>
      </c>
      <c r="B172" s="20" t="s">
        <v>334</v>
      </c>
      <c r="C172" s="20" t="s">
        <v>334</v>
      </c>
      <c r="D172" s="18">
        <v>176255</v>
      </c>
      <c r="E172" s="18">
        <v>12049</v>
      </c>
      <c r="F172" s="18">
        <v>0</v>
      </c>
      <c r="G172" s="18">
        <v>652.25806451612902</v>
      </c>
      <c r="H172" s="18">
        <v>1057.741935483871</v>
      </c>
      <c r="I172" s="18">
        <v>157557</v>
      </c>
      <c r="J172" s="18">
        <v>25857</v>
      </c>
      <c r="K172" s="18">
        <v>0</v>
      </c>
      <c r="L172" s="18">
        <v>669.46428571428567</v>
      </c>
      <c r="M172" s="18">
        <v>1406.4285714285713</v>
      </c>
      <c r="N172" s="18">
        <v>198071</v>
      </c>
      <c r="O172" s="18">
        <v>37289</v>
      </c>
      <c r="P172" s="18">
        <v>0</v>
      </c>
      <c r="Q172" s="18">
        <v>695</v>
      </c>
      <c r="R172" s="18">
        <v>1590.3225806451612</v>
      </c>
      <c r="S172" s="18">
        <v>206872</v>
      </c>
      <c r="T172" s="18">
        <v>58368</v>
      </c>
      <c r="U172" s="18">
        <v>0</v>
      </c>
      <c r="V172" s="18">
        <v>695</v>
      </c>
      <c r="W172" s="18">
        <v>1340.3333333333333</v>
      </c>
      <c r="X172" s="18">
        <v>289195</v>
      </c>
      <c r="Y172" s="18">
        <v>56439</v>
      </c>
      <c r="Z172" s="18">
        <v>0</v>
      </c>
      <c r="AA172" s="18">
        <v>747.41935483870964</v>
      </c>
      <c r="AB172" s="18">
        <v>1197.4193548387098</v>
      </c>
      <c r="AC172" s="18">
        <v>224615</v>
      </c>
      <c r="AD172" s="18">
        <v>56641</v>
      </c>
      <c r="AE172" s="18">
        <v>0</v>
      </c>
      <c r="AF172" s="18">
        <v>738.33333333333337</v>
      </c>
      <c r="AG172" s="18">
        <v>1188.3333333333333</v>
      </c>
      <c r="AH172" s="18">
        <v>274541</v>
      </c>
      <c r="AI172" s="18">
        <v>50248</v>
      </c>
      <c r="AJ172" s="18">
        <v>0</v>
      </c>
      <c r="AK172" s="18">
        <v>760.48387096774195</v>
      </c>
      <c r="AL172" s="18">
        <v>1190</v>
      </c>
      <c r="AM172" s="18">
        <v>198200</v>
      </c>
      <c r="AN172" s="18">
        <v>23382</v>
      </c>
      <c r="AO172" s="18">
        <v>0</v>
      </c>
      <c r="AP172" s="18">
        <v>867.09677419354841</v>
      </c>
      <c r="AQ172" s="18">
        <v>1190.9677419354839</v>
      </c>
      <c r="AR172" s="18">
        <v>269743</v>
      </c>
      <c r="AS172" s="18">
        <v>31506</v>
      </c>
      <c r="AT172" s="18">
        <v>0</v>
      </c>
      <c r="AU172" s="18">
        <v>1117.5</v>
      </c>
      <c r="AV172" s="18">
        <v>1190</v>
      </c>
      <c r="AW172" s="18">
        <v>214436</v>
      </c>
      <c r="AX172" s="18">
        <v>32016</v>
      </c>
      <c r="AY172" s="18">
        <v>0</v>
      </c>
      <c r="AZ172" s="18">
        <v>1162.258064516129</v>
      </c>
      <c r="BA172" s="18">
        <v>1194.8387096774193</v>
      </c>
      <c r="BB172" s="18">
        <v>221436</v>
      </c>
      <c r="BC172" s="18">
        <v>38081</v>
      </c>
      <c r="BD172" s="18">
        <v>0</v>
      </c>
      <c r="BE172" s="18">
        <v>1132.3333333333333</v>
      </c>
      <c r="BF172" s="18">
        <v>1179.3333333333333</v>
      </c>
      <c r="BG172" s="18">
        <v>208730</v>
      </c>
      <c r="BH172" s="18">
        <v>28847</v>
      </c>
      <c r="BI172" s="18">
        <v>0</v>
      </c>
      <c r="BJ172" s="18">
        <v>1087.4193548387098</v>
      </c>
      <c r="BK172" s="18">
        <v>1153.2258064516129</v>
      </c>
    </row>
    <row r="173" spans="1:63" x14ac:dyDescent="0.35">
      <c r="A173" s="19">
        <v>169</v>
      </c>
      <c r="B173" s="20" t="s">
        <v>335</v>
      </c>
      <c r="C173" s="20" t="s">
        <v>335</v>
      </c>
      <c r="D173" s="18">
        <v>0</v>
      </c>
      <c r="E173" s="18">
        <v>0</v>
      </c>
      <c r="F173" s="18">
        <v>0</v>
      </c>
      <c r="G173" s="18" t="e">
        <v>#DIV/0!</v>
      </c>
      <c r="H173" s="18" t="e">
        <v>#DIV/0!</v>
      </c>
      <c r="I173" s="18">
        <v>163237</v>
      </c>
      <c r="J173" s="18">
        <v>30624</v>
      </c>
      <c r="K173" s="18">
        <v>0</v>
      </c>
      <c r="L173" s="18">
        <v>687.75</v>
      </c>
      <c r="M173" s="18">
        <v>1434.5</v>
      </c>
      <c r="N173" s="18">
        <v>262102</v>
      </c>
      <c r="O173" s="18">
        <v>15870</v>
      </c>
      <c r="P173" s="18">
        <v>0</v>
      </c>
      <c r="Q173" s="18">
        <v>703.22580645161293</v>
      </c>
      <c r="R173" s="18">
        <v>1606.1290322580646</v>
      </c>
      <c r="S173" s="18">
        <v>186995</v>
      </c>
      <c r="T173" s="18">
        <v>6536</v>
      </c>
      <c r="U173" s="18">
        <v>0</v>
      </c>
      <c r="V173" s="18">
        <v>722.16666666666663</v>
      </c>
      <c r="W173" s="18">
        <v>1476</v>
      </c>
      <c r="X173" s="18">
        <v>262467</v>
      </c>
      <c r="Y173" s="18">
        <v>10114</v>
      </c>
      <c r="Z173" s="18">
        <v>0</v>
      </c>
      <c r="AA173" s="18">
        <v>822.90322580645159</v>
      </c>
      <c r="AB173" s="18">
        <v>1256.7741935483871</v>
      </c>
      <c r="AC173" s="18">
        <v>244649</v>
      </c>
      <c r="AD173" s="18">
        <v>9856</v>
      </c>
      <c r="AE173" s="18">
        <v>0</v>
      </c>
      <c r="AF173" s="18">
        <v>740.66666666666663</v>
      </c>
      <c r="AG173" s="18">
        <v>1210.3333333333333</v>
      </c>
      <c r="AH173" s="18">
        <v>247259</v>
      </c>
      <c r="AI173" s="18">
        <v>9388</v>
      </c>
      <c r="AJ173" s="18">
        <v>0</v>
      </c>
      <c r="AK173" s="18">
        <v>808.70967741935488</v>
      </c>
      <c r="AL173" s="18">
        <v>1230</v>
      </c>
      <c r="AM173" s="18">
        <v>162540</v>
      </c>
      <c r="AN173" s="18">
        <v>4147</v>
      </c>
      <c r="AO173" s="18">
        <v>0</v>
      </c>
      <c r="AP173" s="18">
        <v>880.64516129032256</v>
      </c>
      <c r="AQ173" s="18">
        <v>1231.6129032258063</v>
      </c>
      <c r="AR173" s="18">
        <v>87927</v>
      </c>
      <c r="AS173" s="18">
        <v>3404</v>
      </c>
      <c r="AT173" s="18">
        <v>0</v>
      </c>
      <c r="AU173" s="18">
        <v>1118.6666666666667</v>
      </c>
      <c r="AV173" s="18">
        <v>1230</v>
      </c>
      <c r="AW173" s="18">
        <v>133641</v>
      </c>
      <c r="AX173" s="18">
        <v>9331</v>
      </c>
      <c r="AY173" s="18">
        <v>0</v>
      </c>
      <c r="AZ173" s="18">
        <v>1199.0322580645161</v>
      </c>
      <c r="BA173" s="18">
        <v>1219.3548387096773</v>
      </c>
      <c r="BB173" s="18">
        <v>139072</v>
      </c>
      <c r="BC173" s="18">
        <v>9816</v>
      </c>
      <c r="BD173" s="18">
        <v>0</v>
      </c>
      <c r="BE173" s="18">
        <v>1156.3333333333333</v>
      </c>
      <c r="BF173" s="18">
        <v>1200.6666666666667</v>
      </c>
      <c r="BG173" s="18">
        <v>110068</v>
      </c>
      <c r="BH173" s="18">
        <v>5020</v>
      </c>
      <c r="BI173" s="18">
        <v>0</v>
      </c>
      <c r="BJ173" s="18">
        <v>1110.3225806451612</v>
      </c>
      <c r="BK173" s="18">
        <v>1200</v>
      </c>
    </row>
    <row r="174" spans="1:63" x14ac:dyDescent="0.35">
      <c r="A174" s="19">
        <v>170</v>
      </c>
      <c r="B174" s="20" t="s">
        <v>336</v>
      </c>
      <c r="C174" s="20" t="s">
        <v>336</v>
      </c>
      <c r="D174" s="18">
        <v>0</v>
      </c>
      <c r="E174" s="18">
        <v>0</v>
      </c>
      <c r="F174" s="18">
        <v>0</v>
      </c>
      <c r="G174" s="18" t="e">
        <v>#DIV/0!</v>
      </c>
      <c r="H174" s="18" t="e">
        <v>#DIV/0!</v>
      </c>
      <c r="I174" s="18">
        <v>0</v>
      </c>
      <c r="J174" s="18">
        <v>0</v>
      </c>
      <c r="K174" s="18">
        <v>0</v>
      </c>
      <c r="L174" s="18" t="e">
        <v>#DIV/0!</v>
      </c>
      <c r="M174" s="18" t="e">
        <v>#DIV/0!</v>
      </c>
      <c r="N174" s="18">
        <v>0</v>
      </c>
      <c r="O174" s="18">
        <v>0</v>
      </c>
      <c r="P174" s="18">
        <v>0</v>
      </c>
      <c r="Q174" s="18" t="e">
        <v>#DIV/0!</v>
      </c>
      <c r="R174" s="18" t="e">
        <v>#DIV/0!</v>
      </c>
      <c r="S174" s="18">
        <v>248365</v>
      </c>
      <c r="T174" s="18">
        <v>9621</v>
      </c>
      <c r="U174" s="18">
        <v>0</v>
      </c>
      <c r="V174" s="18">
        <v>695</v>
      </c>
      <c r="W174" s="18">
        <v>1337.4074074074074</v>
      </c>
      <c r="X174" s="18">
        <v>311957</v>
      </c>
      <c r="Y174" s="18">
        <v>11532</v>
      </c>
      <c r="Z174" s="18">
        <v>0</v>
      </c>
      <c r="AA174" s="18">
        <v>741.61290322580646</v>
      </c>
      <c r="AB174" s="18">
        <v>1197.4193548387098</v>
      </c>
      <c r="AC174" s="18">
        <v>287548</v>
      </c>
      <c r="AD174" s="18">
        <v>9467</v>
      </c>
      <c r="AE174" s="18">
        <v>0</v>
      </c>
      <c r="AF174" s="18">
        <v>732.33333333333337</v>
      </c>
      <c r="AG174" s="18">
        <v>1182.3333333333333</v>
      </c>
      <c r="AH174" s="18">
        <v>269835</v>
      </c>
      <c r="AI174" s="18">
        <v>8661</v>
      </c>
      <c r="AJ174" s="18">
        <v>0</v>
      </c>
      <c r="AK174" s="18">
        <v>761.77419354838707</v>
      </c>
      <c r="AL174" s="18">
        <v>1190</v>
      </c>
      <c r="AM174" s="18">
        <v>136223</v>
      </c>
      <c r="AN174" s="18">
        <v>6605</v>
      </c>
      <c r="AO174" s="18">
        <v>0</v>
      </c>
      <c r="AP174" s="18">
        <v>867.09677419354841</v>
      </c>
      <c r="AQ174" s="18">
        <v>1190</v>
      </c>
      <c r="AR174" s="18">
        <v>206481</v>
      </c>
      <c r="AS174" s="18">
        <v>12059</v>
      </c>
      <c r="AT174" s="18">
        <v>0</v>
      </c>
      <c r="AU174" s="18">
        <v>1117.5</v>
      </c>
      <c r="AV174" s="18">
        <v>1190</v>
      </c>
      <c r="AW174" s="18">
        <v>248188</v>
      </c>
      <c r="AX174" s="18">
        <v>12844</v>
      </c>
      <c r="AY174" s="18">
        <v>0</v>
      </c>
      <c r="AZ174" s="18">
        <v>1161.6129032258063</v>
      </c>
      <c r="BA174" s="18">
        <v>1194.8387096774193</v>
      </c>
      <c r="BB174" s="18">
        <v>244913</v>
      </c>
      <c r="BC174" s="18">
        <v>12303</v>
      </c>
      <c r="BD174" s="18">
        <v>0</v>
      </c>
      <c r="BE174" s="18">
        <v>1132.6666666666667</v>
      </c>
      <c r="BF174" s="18">
        <v>1179.3333333333333</v>
      </c>
      <c r="BG174" s="18">
        <v>249709</v>
      </c>
      <c r="BH174" s="18">
        <v>23562</v>
      </c>
      <c r="BI174" s="18">
        <v>0</v>
      </c>
      <c r="BJ174" s="18">
        <v>1087.4193548387098</v>
      </c>
      <c r="BK174" s="18">
        <v>1153.2258064516129</v>
      </c>
    </row>
    <row r="175" spans="1:63" x14ac:dyDescent="0.35">
      <c r="A175" s="19">
        <v>171</v>
      </c>
      <c r="B175" s="20" t="s">
        <v>337</v>
      </c>
      <c r="C175" s="20" t="s">
        <v>337</v>
      </c>
      <c r="D175" s="18">
        <v>0</v>
      </c>
      <c r="E175" s="18">
        <v>0</v>
      </c>
      <c r="F175" s="18">
        <v>0</v>
      </c>
      <c r="G175" s="18" t="e">
        <v>#DIV/0!</v>
      </c>
      <c r="H175" s="18" t="e">
        <v>#DIV/0!</v>
      </c>
      <c r="I175" s="18">
        <v>0</v>
      </c>
      <c r="J175" s="18">
        <v>0</v>
      </c>
      <c r="K175" s="18">
        <v>0</v>
      </c>
      <c r="L175" s="18" t="e">
        <v>#DIV/0!</v>
      </c>
      <c r="M175" s="18" t="e">
        <v>#DIV/0!</v>
      </c>
      <c r="N175" s="18">
        <v>0</v>
      </c>
      <c r="O175" s="18">
        <v>0</v>
      </c>
      <c r="P175" s="18">
        <v>0</v>
      </c>
      <c r="Q175" s="18" t="e">
        <v>#DIV/0!</v>
      </c>
      <c r="R175" s="18" t="e">
        <v>#DIV/0!</v>
      </c>
      <c r="S175" s="18">
        <v>98989</v>
      </c>
      <c r="T175" s="18">
        <v>5878</v>
      </c>
      <c r="U175" s="18">
        <v>0</v>
      </c>
      <c r="V175" s="18">
        <v>681.42857142857144</v>
      </c>
      <c r="W175" s="18">
        <v>1287.1428571428571</v>
      </c>
      <c r="X175" s="18">
        <v>209085</v>
      </c>
      <c r="Y175" s="18">
        <v>14502</v>
      </c>
      <c r="Z175" s="18">
        <v>0</v>
      </c>
      <c r="AA175" s="18">
        <v>729.67741935483866</v>
      </c>
      <c r="AB175" s="18">
        <v>1194.8387096774193</v>
      </c>
      <c r="AC175" s="18">
        <v>198790</v>
      </c>
      <c r="AD175" s="18">
        <v>15439</v>
      </c>
      <c r="AE175" s="18">
        <v>0</v>
      </c>
      <c r="AF175" s="18">
        <v>736.33333333333337</v>
      </c>
      <c r="AG175" s="18">
        <v>1201.3333333333333</v>
      </c>
      <c r="AH175" s="18">
        <v>225139</v>
      </c>
      <c r="AI175" s="18">
        <v>15210</v>
      </c>
      <c r="AJ175" s="18">
        <v>0</v>
      </c>
      <c r="AK175" s="18">
        <v>749.19354838709683</v>
      </c>
      <c r="AL175" s="18">
        <v>1220</v>
      </c>
      <c r="AM175" s="18">
        <v>115578</v>
      </c>
      <c r="AN175" s="18">
        <v>13032</v>
      </c>
      <c r="AO175" s="18">
        <v>0</v>
      </c>
      <c r="AP175" s="18">
        <v>867.41935483870964</v>
      </c>
      <c r="AQ175" s="18">
        <v>1220</v>
      </c>
      <c r="AR175" s="18">
        <v>162320</v>
      </c>
      <c r="AS175" s="18">
        <v>12975</v>
      </c>
      <c r="AT175" s="18">
        <v>0</v>
      </c>
      <c r="AU175" s="18">
        <v>1108.8333333333333</v>
      </c>
      <c r="AV175" s="18">
        <v>1220</v>
      </c>
      <c r="AW175" s="18">
        <v>213646</v>
      </c>
      <c r="AX175" s="18">
        <v>37765</v>
      </c>
      <c r="AY175" s="18">
        <v>0</v>
      </c>
      <c r="AZ175" s="18">
        <v>1150.6451612903227</v>
      </c>
      <c r="BA175" s="18">
        <v>1211.2903225806451</v>
      </c>
      <c r="BB175" s="18">
        <v>210507</v>
      </c>
      <c r="BC175" s="18">
        <v>32678</v>
      </c>
      <c r="BD175" s="18">
        <v>0</v>
      </c>
      <c r="BE175" s="18">
        <v>1138.3333333333333</v>
      </c>
      <c r="BF175" s="18">
        <v>1179.3333333333333</v>
      </c>
      <c r="BG175" s="18">
        <v>230570</v>
      </c>
      <c r="BH175" s="18">
        <v>22017</v>
      </c>
      <c r="BI175" s="18">
        <v>0</v>
      </c>
      <c r="BJ175" s="18">
        <v>1081.6129032258063</v>
      </c>
      <c r="BK175" s="18">
        <v>1153.2258064516129</v>
      </c>
    </row>
    <row r="176" spans="1:63" x14ac:dyDescent="0.35">
      <c r="A176" s="19">
        <v>172</v>
      </c>
      <c r="B176" s="20" t="s">
        <v>338</v>
      </c>
      <c r="C176" s="20" t="s">
        <v>338</v>
      </c>
      <c r="D176" s="18">
        <v>0</v>
      </c>
      <c r="E176" s="18">
        <v>0</v>
      </c>
      <c r="F176" s="18">
        <v>0</v>
      </c>
      <c r="G176" s="18" t="e">
        <v>#DIV/0!</v>
      </c>
      <c r="H176" s="18" t="e">
        <v>#DIV/0!</v>
      </c>
      <c r="I176" s="18">
        <v>0</v>
      </c>
      <c r="J176" s="18">
        <v>0</v>
      </c>
      <c r="K176" s="18">
        <v>0</v>
      </c>
      <c r="L176" s="18" t="e">
        <v>#DIV/0!</v>
      </c>
      <c r="M176" s="18" t="e">
        <v>#DIV/0!</v>
      </c>
      <c r="N176" s="18">
        <v>0</v>
      </c>
      <c r="O176" s="18">
        <v>0</v>
      </c>
      <c r="P176" s="18">
        <v>0</v>
      </c>
      <c r="Q176" s="18" t="e">
        <v>#DIV/0!</v>
      </c>
      <c r="R176" s="18" t="e">
        <v>#DIV/0!</v>
      </c>
      <c r="S176" s="18">
        <v>0</v>
      </c>
      <c r="T176" s="18">
        <v>0</v>
      </c>
      <c r="U176" s="18">
        <v>0</v>
      </c>
      <c r="V176" s="18" t="e">
        <v>#DIV/0!</v>
      </c>
      <c r="W176" s="18" t="e">
        <v>#DIV/0!</v>
      </c>
      <c r="X176" s="18">
        <v>0</v>
      </c>
      <c r="Y176" s="18">
        <v>0</v>
      </c>
      <c r="Z176" s="18">
        <v>0</v>
      </c>
      <c r="AA176" s="18" t="e">
        <v>#DIV/0!</v>
      </c>
      <c r="AB176" s="18" t="e">
        <v>#DIV/0!</v>
      </c>
      <c r="AC176" s="18">
        <v>48793</v>
      </c>
      <c r="AD176" s="18">
        <v>5987</v>
      </c>
      <c r="AE176" s="18">
        <v>0</v>
      </c>
      <c r="AF176" s="18">
        <v>723.33333333333337</v>
      </c>
      <c r="AG176" s="18">
        <v>1200</v>
      </c>
      <c r="AH176" s="18">
        <v>414471</v>
      </c>
      <c r="AI176" s="18">
        <v>31997</v>
      </c>
      <c r="AJ176" s="18">
        <v>0</v>
      </c>
      <c r="AK176" s="18">
        <v>762.58064516129036</v>
      </c>
      <c r="AL176" s="18">
        <v>1200</v>
      </c>
      <c r="AM176" s="18">
        <v>491606</v>
      </c>
      <c r="AN176" s="18">
        <v>49259</v>
      </c>
      <c r="AO176" s="18">
        <v>0</v>
      </c>
      <c r="AP176" s="18">
        <v>849.67741935483866</v>
      </c>
      <c r="AQ176" s="18">
        <v>1200</v>
      </c>
      <c r="AR176" s="18">
        <v>181828</v>
      </c>
      <c r="AS176" s="18">
        <v>54742</v>
      </c>
      <c r="AT176" s="18">
        <v>0</v>
      </c>
      <c r="AU176" s="18">
        <v>1114</v>
      </c>
      <c r="AV176" s="18">
        <v>1222</v>
      </c>
      <c r="AW176" s="18">
        <v>234681</v>
      </c>
      <c r="AX176" s="18">
        <v>56316</v>
      </c>
      <c r="AY176" s="18">
        <v>0</v>
      </c>
      <c r="AZ176" s="18">
        <v>1190.3225806451612</v>
      </c>
      <c r="BA176" s="18">
        <v>1245.8064516129032</v>
      </c>
      <c r="BB176" s="18">
        <v>301090</v>
      </c>
      <c r="BC176" s="18">
        <v>78899</v>
      </c>
      <c r="BD176" s="18">
        <v>0</v>
      </c>
      <c r="BE176" s="18">
        <v>1130.5</v>
      </c>
      <c r="BF176" s="18">
        <v>1200</v>
      </c>
      <c r="BG176" s="18">
        <v>374864</v>
      </c>
      <c r="BH176" s="18">
        <v>82811</v>
      </c>
      <c r="BI176" s="18">
        <v>0</v>
      </c>
      <c r="BJ176" s="18">
        <v>1069.3548387096773</v>
      </c>
      <c r="BK176" s="18">
        <v>1200</v>
      </c>
    </row>
    <row r="177" spans="1:63" x14ac:dyDescent="0.35">
      <c r="A177" s="19">
        <v>173</v>
      </c>
      <c r="B177" s="20" t="s">
        <v>339</v>
      </c>
      <c r="C177" s="20" t="s">
        <v>339</v>
      </c>
      <c r="D177" s="18">
        <v>0</v>
      </c>
      <c r="E177" s="18">
        <v>0</v>
      </c>
      <c r="F177" s="18">
        <v>0</v>
      </c>
      <c r="G177" s="18" t="e">
        <v>#DIV/0!</v>
      </c>
      <c r="H177" s="18" t="e">
        <v>#DIV/0!</v>
      </c>
      <c r="I177" s="18">
        <v>0</v>
      </c>
      <c r="J177" s="18">
        <v>0</v>
      </c>
      <c r="K177" s="18">
        <v>0</v>
      </c>
      <c r="L177" s="18" t="e">
        <v>#DIV/0!</v>
      </c>
      <c r="M177" s="18" t="e">
        <v>#DIV/0!</v>
      </c>
      <c r="N177" s="18">
        <v>0</v>
      </c>
      <c r="O177" s="18">
        <v>0</v>
      </c>
      <c r="P177" s="18">
        <v>0</v>
      </c>
      <c r="Q177" s="18" t="e">
        <v>#DIV/0!</v>
      </c>
      <c r="R177" s="18" t="e">
        <v>#DIV/0!</v>
      </c>
      <c r="S177" s="18">
        <v>0</v>
      </c>
      <c r="T177" s="18">
        <v>0</v>
      </c>
      <c r="U177" s="18">
        <v>0</v>
      </c>
      <c r="V177" s="18" t="e">
        <v>#DIV/0!</v>
      </c>
      <c r="W177" s="18" t="e">
        <v>#DIV/0!</v>
      </c>
      <c r="X177" s="18">
        <v>0</v>
      </c>
      <c r="Y177" s="18">
        <v>0</v>
      </c>
      <c r="Z177" s="18">
        <v>0</v>
      </c>
      <c r="AA177" s="18" t="e">
        <v>#DIV/0!</v>
      </c>
      <c r="AB177" s="18" t="e">
        <v>#DIV/0!</v>
      </c>
      <c r="AC177" s="18">
        <v>0</v>
      </c>
      <c r="AD177" s="18">
        <v>0</v>
      </c>
      <c r="AE177" s="18">
        <v>0</v>
      </c>
      <c r="AF177" s="18" t="e">
        <v>#DIV/0!</v>
      </c>
      <c r="AG177" s="18" t="e">
        <v>#DIV/0!</v>
      </c>
      <c r="AH177" s="18">
        <v>432494</v>
      </c>
      <c r="AI177" s="18">
        <v>3109</v>
      </c>
      <c r="AJ177" s="18">
        <v>0</v>
      </c>
      <c r="AK177" s="18">
        <v>713.91304347826087</v>
      </c>
      <c r="AL177" s="18">
        <v>1220</v>
      </c>
      <c r="AM177" s="18">
        <v>361217</v>
      </c>
      <c r="AN177" s="18">
        <v>1319</v>
      </c>
      <c r="AO177" s="18">
        <v>0</v>
      </c>
      <c r="AP177" s="18">
        <v>791.29032258064512</v>
      </c>
      <c r="AQ177" s="18">
        <v>1220</v>
      </c>
      <c r="AR177" s="18">
        <v>477772</v>
      </c>
      <c r="AS177" s="18">
        <v>2514</v>
      </c>
      <c r="AT177" s="18">
        <v>0</v>
      </c>
      <c r="AU177" s="18">
        <v>956.66666666666663</v>
      </c>
      <c r="AV177" s="18">
        <v>1220</v>
      </c>
      <c r="AW177" s="18">
        <v>487759</v>
      </c>
      <c r="AX177" s="18">
        <v>4096</v>
      </c>
      <c r="AY177" s="18">
        <v>0</v>
      </c>
      <c r="AZ177" s="18">
        <v>1075.483870967742</v>
      </c>
      <c r="BA177" s="18">
        <v>1214.1935483870968</v>
      </c>
      <c r="BB177" s="18">
        <v>235851</v>
      </c>
      <c r="BC177" s="18">
        <v>8257</v>
      </c>
      <c r="BD177" s="18">
        <v>0</v>
      </c>
      <c r="BE177" s="18">
        <v>1091.3333333333333</v>
      </c>
      <c r="BF177" s="18">
        <v>1185</v>
      </c>
      <c r="BG177" s="18">
        <v>218192</v>
      </c>
      <c r="BH177" s="18">
        <v>9665</v>
      </c>
      <c r="BI177" s="18">
        <v>0</v>
      </c>
      <c r="BJ177" s="18">
        <v>1059.0322580645161</v>
      </c>
      <c r="BK177" s="18">
        <v>1160.9677419354839</v>
      </c>
    </row>
    <row r="178" spans="1:63" x14ac:dyDescent="0.35">
      <c r="A178" s="19">
        <v>174</v>
      </c>
      <c r="B178" s="20" t="s">
        <v>340</v>
      </c>
      <c r="C178" s="20" t="s">
        <v>340</v>
      </c>
      <c r="D178" s="18">
        <v>0</v>
      </c>
      <c r="E178" s="18">
        <v>0</v>
      </c>
      <c r="F178" s="18">
        <v>0</v>
      </c>
      <c r="G178" s="18" t="e">
        <v>#DIV/0!</v>
      </c>
      <c r="H178" s="18" t="e">
        <v>#DIV/0!</v>
      </c>
      <c r="I178" s="18">
        <v>0</v>
      </c>
      <c r="J178" s="18">
        <v>0</v>
      </c>
      <c r="K178" s="18">
        <v>0</v>
      </c>
      <c r="L178" s="18" t="e">
        <v>#DIV/0!</v>
      </c>
      <c r="M178" s="18" t="e">
        <v>#DIV/0!</v>
      </c>
      <c r="N178" s="18">
        <v>0</v>
      </c>
      <c r="O178" s="18">
        <v>0</v>
      </c>
      <c r="P178" s="18">
        <v>0</v>
      </c>
      <c r="Q178" s="18" t="e">
        <v>#DIV/0!</v>
      </c>
      <c r="R178" s="18" t="e">
        <v>#DIV/0!</v>
      </c>
      <c r="S178" s="18">
        <v>0</v>
      </c>
      <c r="T178" s="18">
        <v>0</v>
      </c>
      <c r="U178" s="18">
        <v>0</v>
      </c>
      <c r="V178" s="18" t="e">
        <v>#DIV/0!</v>
      </c>
      <c r="W178" s="18" t="e">
        <v>#DIV/0!</v>
      </c>
      <c r="X178" s="18">
        <v>0</v>
      </c>
      <c r="Y178" s="18">
        <v>0</v>
      </c>
      <c r="Z178" s="18">
        <v>0</v>
      </c>
      <c r="AA178" s="18" t="e">
        <v>#DIV/0!</v>
      </c>
      <c r="AB178" s="18" t="e">
        <v>#DIV/0!</v>
      </c>
      <c r="AC178" s="18">
        <v>0</v>
      </c>
      <c r="AD178" s="18">
        <v>0</v>
      </c>
      <c r="AE178" s="18">
        <v>0</v>
      </c>
      <c r="AF178" s="18" t="e">
        <v>#DIV/0!</v>
      </c>
      <c r="AG178" s="18" t="e">
        <v>#DIV/0!</v>
      </c>
      <c r="AH178" s="18">
        <v>177889</v>
      </c>
      <c r="AI178" s="18">
        <v>1487</v>
      </c>
      <c r="AJ178" s="18">
        <v>0</v>
      </c>
      <c r="AK178" s="18">
        <v>853.33333333333337</v>
      </c>
      <c r="AL178" s="18">
        <v>1255</v>
      </c>
      <c r="AM178" s="18">
        <v>208286</v>
      </c>
      <c r="AN178" s="18">
        <v>1578</v>
      </c>
      <c r="AO178" s="18">
        <v>0</v>
      </c>
      <c r="AP178" s="18">
        <v>901.61290322580646</v>
      </c>
      <c r="AQ178" s="18">
        <v>1255</v>
      </c>
      <c r="AR178" s="18">
        <v>221941</v>
      </c>
      <c r="AS178" s="18">
        <v>395</v>
      </c>
      <c r="AT178" s="18">
        <v>0</v>
      </c>
      <c r="AU178" s="18">
        <v>1074.3333333333333</v>
      </c>
      <c r="AV178" s="18">
        <v>1255</v>
      </c>
      <c r="AW178" s="18">
        <v>227635</v>
      </c>
      <c r="AX178" s="18">
        <v>12794</v>
      </c>
      <c r="AY178" s="18">
        <v>0</v>
      </c>
      <c r="AZ178" s="18">
        <v>1232.258064516129</v>
      </c>
      <c r="BA178" s="18">
        <v>1244.8387096774193</v>
      </c>
      <c r="BB178" s="18">
        <v>303561</v>
      </c>
      <c r="BC178" s="18">
        <v>8469</v>
      </c>
      <c r="BD178" s="18">
        <v>0</v>
      </c>
      <c r="BE178" s="18">
        <v>1141.3333333333333</v>
      </c>
      <c r="BF178" s="18">
        <v>1215.3333333333333</v>
      </c>
      <c r="BG178" s="18">
        <v>242357</v>
      </c>
      <c r="BH178" s="18">
        <v>11293</v>
      </c>
      <c r="BI178" s="18">
        <v>0</v>
      </c>
      <c r="BJ178" s="18">
        <v>1086.7741935483871</v>
      </c>
      <c r="BK178" s="18">
        <v>1200</v>
      </c>
    </row>
    <row r="179" spans="1:63" x14ac:dyDescent="0.35">
      <c r="A179" s="19">
        <v>175</v>
      </c>
      <c r="B179" s="23" t="s">
        <v>341</v>
      </c>
      <c r="C179" s="23" t="s">
        <v>341</v>
      </c>
      <c r="D179" s="18">
        <v>0</v>
      </c>
      <c r="E179" s="18">
        <v>0</v>
      </c>
      <c r="F179" s="18">
        <v>0</v>
      </c>
      <c r="G179" s="18" t="e">
        <v>#DIV/0!</v>
      </c>
      <c r="H179" s="18" t="e">
        <v>#DIV/0!</v>
      </c>
      <c r="I179" s="18">
        <v>0</v>
      </c>
      <c r="J179" s="18">
        <v>0</v>
      </c>
      <c r="K179" s="18">
        <v>0</v>
      </c>
      <c r="L179" s="18" t="e">
        <v>#DIV/0!</v>
      </c>
      <c r="M179" s="18" t="e">
        <v>#DIV/0!</v>
      </c>
      <c r="N179" s="18">
        <v>0</v>
      </c>
      <c r="O179" s="18">
        <v>0</v>
      </c>
      <c r="P179" s="18">
        <v>0</v>
      </c>
      <c r="Q179" s="18" t="e">
        <v>#DIV/0!</v>
      </c>
      <c r="R179" s="18" t="e">
        <v>#DIV/0!</v>
      </c>
      <c r="S179" s="18">
        <v>0</v>
      </c>
      <c r="T179" s="18">
        <v>0</v>
      </c>
      <c r="U179" s="18">
        <v>0</v>
      </c>
      <c r="V179" s="18" t="e">
        <v>#DIV/0!</v>
      </c>
      <c r="W179" s="18" t="e">
        <v>#DIV/0!</v>
      </c>
      <c r="X179" s="18">
        <v>0</v>
      </c>
      <c r="Y179" s="18">
        <v>0</v>
      </c>
      <c r="Z179" s="18">
        <v>0</v>
      </c>
      <c r="AA179" s="18" t="e">
        <v>#DIV/0!</v>
      </c>
      <c r="AB179" s="18" t="e">
        <v>#DIV/0!</v>
      </c>
      <c r="AC179" s="18">
        <v>0</v>
      </c>
      <c r="AD179" s="18">
        <v>0</v>
      </c>
      <c r="AE179" s="18">
        <v>0</v>
      </c>
      <c r="AF179" s="18" t="e">
        <v>#DIV/0!</v>
      </c>
      <c r="AG179" s="18" t="e">
        <v>#DIV/0!</v>
      </c>
      <c r="AH179" s="18">
        <v>0</v>
      </c>
      <c r="AI179" s="18">
        <v>0</v>
      </c>
      <c r="AJ179" s="18">
        <v>0</v>
      </c>
      <c r="AK179" s="18" t="e">
        <v>#DIV/0!</v>
      </c>
      <c r="AL179" s="18" t="e">
        <v>#DIV/0!</v>
      </c>
      <c r="AM179" s="18">
        <v>0</v>
      </c>
      <c r="AN179" s="18">
        <v>0</v>
      </c>
      <c r="AO179" s="18">
        <v>0</v>
      </c>
      <c r="AP179" s="18" t="e">
        <v>#DIV/0!</v>
      </c>
      <c r="AQ179" s="18" t="e">
        <v>#DIV/0!</v>
      </c>
      <c r="AR179" s="18">
        <v>0</v>
      </c>
      <c r="AS179" s="18">
        <v>0</v>
      </c>
      <c r="AT179" s="18">
        <v>0</v>
      </c>
      <c r="AU179" s="18" t="e">
        <v>#DIV/0!</v>
      </c>
      <c r="AV179" s="18" t="e">
        <v>#DIV/0!</v>
      </c>
      <c r="AW179" s="18">
        <v>36547</v>
      </c>
      <c r="AX179" s="18">
        <v>4476</v>
      </c>
      <c r="AY179" s="18">
        <v>0</v>
      </c>
      <c r="AZ179" s="18">
        <v>1200</v>
      </c>
      <c r="BA179" s="18">
        <v>1220</v>
      </c>
      <c r="BB179" s="18">
        <v>194412</v>
      </c>
      <c r="BC179" s="18">
        <v>34075</v>
      </c>
      <c r="BD179" s="18">
        <v>0</v>
      </c>
      <c r="BE179" s="18">
        <v>1157.3333333333333</v>
      </c>
      <c r="BF179" s="18">
        <v>1212.6666666666667</v>
      </c>
      <c r="BG179" s="18">
        <v>224109</v>
      </c>
      <c r="BH179" s="18">
        <v>35080</v>
      </c>
      <c r="BI179" s="18">
        <v>0</v>
      </c>
      <c r="BJ179" s="18">
        <v>1100.3225806451612</v>
      </c>
      <c r="BK179" s="18">
        <v>1200.6451612903227</v>
      </c>
    </row>
    <row r="180" spans="1:63" x14ac:dyDescent="0.35">
      <c r="A180" s="19">
        <v>176</v>
      </c>
      <c r="B180" s="20" t="s">
        <v>342</v>
      </c>
      <c r="C180" s="20" t="s">
        <v>342</v>
      </c>
      <c r="D180" s="18">
        <v>0</v>
      </c>
      <c r="E180" s="18">
        <v>0</v>
      </c>
      <c r="F180" s="18">
        <v>0</v>
      </c>
      <c r="G180" s="18" t="e">
        <v>#DIV/0!</v>
      </c>
      <c r="H180" s="18" t="e">
        <v>#DIV/0!</v>
      </c>
      <c r="I180" s="18">
        <v>0</v>
      </c>
      <c r="J180" s="18">
        <v>0</v>
      </c>
      <c r="K180" s="18">
        <v>0</v>
      </c>
      <c r="L180" s="18" t="e">
        <v>#DIV/0!</v>
      </c>
      <c r="M180" s="18" t="e">
        <v>#DIV/0!</v>
      </c>
      <c r="N180" s="18">
        <v>0</v>
      </c>
      <c r="O180" s="18">
        <v>0</v>
      </c>
      <c r="P180" s="18">
        <v>0</v>
      </c>
      <c r="Q180" s="18" t="e">
        <v>#DIV/0!</v>
      </c>
      <c r="R180" s="18" t="e">
        <v>#DIV/0!</v>
      </c>
      <c r="S180" s="18">
        <v>0</v>
      </c>
      <c r="T180" s="18">
        <v>0</v>
      </c>
      <c r="U180" s="18">
        <v>0</v>
      </c>
      <c r="V180" s="18" t="e">
        <v>#DIV/0!</v>
      </c>
      <c r="W180" s="18" t="e">
        <v>#DIV/0!</v>
      </c>
      <c r="X180" s="18">
        <v>0</v>
      </c>
      <c r="Y180" s="18">
        <v>0</v>
      </c>
      <c r="Z180" s="18">
        <v>0</v>
      </c>
      <c r="AA180" s="18" t="e">
        <v>#DIV/0!</v>
      </c>
      <c r="AB180" s="18" t="e">
        <v>#DIV/0!</v>
      </c>
      <c r="AC180" s="18">
        <v>0</v>
      </c>
      <c r="AD180" s="18">
        <v>0</v>
      </c>
      <c r="AE180" s="18">
        <v>0</v>
      </c>
      <c r="AF180" s="18" t="e">
        <v>#DIV/0!</v>
      </c>
      <c r="AG180" s="18" t="e">
        <v>#DIV/0!</v>
      </c>
      <c r="AH180" s="18">
        <v>0</v>
      </c>
      <c r="AI180" s="18">
        <v>0</v>
      </c>
      <c r="AJ180" s="18">
        <v>0</v>
      </c>
      <c r="AK180" s="18" t="e">
        <v>#DIV/0!</v>
      </c>
      <c r="AL180" s="18" t="e">
        <v>#DIV/0!</v>
      </c>
      <c r="AM180" s="18">
        <v>0</v>
      </c>
      <c r="AN180" s="18">
        <v>0</v>
      </c>
      <c r="AO180" s="18">
        <v>0</v>
      </c>
      <c r="AP180" s="18" t="e">
        <v>#DIV/0!</v>
      </c>
      <c r="AQ180" s="18" t="e">
        <v>#DIV/0!</v>
      </c>
      <c r="AR180" s="18">
        <v>0</v>
      </c>
      <c r="AS180" s="18">
        <v>0</v>
      </c>
      <c r="AT180" s="18">
        <v>0</v>
      </c>
      <c r="AU180" s="18" t="e">
        <v>#DIV/0!</v>
      </c>
      <c r="AV180" s="18" t="e">
        <v>#DIV/0!</v>
      </c>
      <c r="AW180" s="18">
        <v>0</v>
      </c>
      <c r="AX180" s="18">
        <v>0</v>
      </c>
      <c r="AY180" s="18">
        <v>0</v>
      </c>
      <c r="AZ180" s="18" t="e">
        <v>#DIV/0!</v>
      </c>
      <c r="BA180" s="18" t="e">
        <v>#DIV/0!</v>
      </c>
      <c r="BB180" s="18">
        <v>109547</v>
      </c>
      <c r="BC180" s="18">
        <v>9610</v>
      </c>
      <c r="BD180" s="18">
        <v>0</v>
      </c>
      <c r="BE180" s="18">
        <v>1129.3103448275863</v>
      </c>
      <c r="BF180" s="18">
        <v>1178.9655172413793</v>
      </c>
      <c r="BG180" s="18">
        <v>140062</v>
      </c>
      <c r="BH180" s="18">
        <v>11096</v>
      </c>
      <c r="BI180" s="18">
        <v>0</v>
      </c>
      <c r="BJ180" s="18">
        <v>1086.1290322580646</v>
      </c>
      <c r="BK180" s="18">
        <v>1153.2258064516129</v>
      </c>
    </row>
    <row r="181" spans="1:63" x14ac:dyDescent="0.35">
      <c r="A181" s="19">
        <v>177</v>
      </c>
      <c r="B181" s="20" t="s">
        <v>343</v>
      </c>
      <c r="C181" s="20" t="s">
        <v>343</v>
      </c>
      <c r="D181" s="18">
        <v>0</v>
      </c>
      <c r="E181" s="18">
        <v>0</v>
      </c>
      <c r="F181" s="18">
        <v>0</v>
      </c>
      <c r="G181" s="18" t="e">
        <v>#DIV/0!</v>
      </c>
      <c r="H181" s="18" t="e">
        <v>#DIV/0!</v>
      </c>
      <c r="I181" s="18">
        <v>0</v>
      </c>
      <c r="J181" s="18">
        <v>0</v>
      </c>
      <c r="K181" s="18">
        <v>0</v>
      </c>
      <c r="L181" s="18" t="e">
        <v>#DIV/0!</v>
      </c>
      <c r="M181" s="18" t="e">
        <v>#DIV/0!</v>
      </c>
      <c r="N181" s="18">
        <v>0</v>
      </c>
      <c r="O181" s="18">
        <v>0</v>
      </c>
      <c r="P181" s="18">
        <v>0</v>
      </c>
      <c r="Q181" s="18" t="e">
        <v>#DIV/0!</v>
      </c>
      <c r="R181" s="18" t="e">
        <v>#DIV/0!</v>
      </c>
      <c r="S181" s="18">
        <v>0</v>
      </c>
      <c r="T181" s="18">
        <v>0</v>
      </c>
      <c r="U181" s="18">
        <v>0</v>
      </c>
      <c r="V181" s="18" t="e">
        <v>#DIV/0!</v>
      </c>
      <c r="W181" s="18" t="e">
        <v>#DIV/0!</v>
      </c>
      <c r="X181" s="18">
        <v>0</v>
      </c>
      <c r="Y181" s="18">
        <v>0</v>
      </c>
      <c r="Z181" s="18">
        <v>0</v>
      </c>
      <c r="AA181" s="18" t="e">
        <v>#DIV/0!</v>
      </c>
      <c r="AB181" s="18" t="e">
        <v>#DIV/0!</v>
      </c>
      <c r="AC181" s="18">
        <v>0</v>
      </c>
      <c r="AD181" s="18">
        <v>0</v>
      </c>
      <c r="AE181" s="18">
        <v>0</v>
      </c>
      <c r="AF181" s="18" t="e">
        <v>#DIV/0!</v>
      </c>
      <c r="AG181" s="18" t="e">
        <v>#DIV/0!</v>
      </c>
      <c r="AH181" s="18">
        <v>0</v>
      </c>
      <c r="AI181" s="18">
        <v>0</v>
      </c>
      <c r="AJ181" s="18">
        <v>0</v>
      </c>
      <c r="AK181" s="18" t="e">
        <v>#DIV/0!</v>
      </c>
      <c r="AL181" s="18" t="e">
        <v>#DIV/0!</v>
      </c>
      <c r="AM181" s="18">
        <v>0</v>
      </c>
      <c r="AN181" s="18">
        <v>0</v>
      </c>
      <c r="AO181" s="18">
        <v>0</v>
      </c>
      <c r="AP181" s="18" t="e">
        <v>#DIV/0!</v>
      </c>
      <c r="AQ181" s="18" t="e">
        <v>#DIV/0!</v>
      </c>
      <c r="AR181" s="18">
        <v>0</v>
      </c>
      <c r="AS181" s="18">
        <v>0</v>
      </c>
      <c r="AT181" s="18">
        <v>0</v>
      </c>
      <c r="AU181" s="18" t="e">
        <v>#DIV/0!</v>
      </c>
      <c r="AV181" s="18" t="e">
        <v>#DIV/0!</v>
      </c>
      <c r="AW181" s="18">
        <v>0</v>
      </c>
      <c r="AX181" s="18">
        <v>0</v>
      </c>
      <c r="AY181" s="18">
        <v>0</v>
      </c>
      <c r="AZ181" s="18" t="e">
        <v>#DIV/0!</v>
      </c>
      <c r="BA181" s="18" t="e">
        <v>#DIV/0!</v>
      </c>
      <c r="BB181" s="18">
        <v>12131</v>
      </c>
      <c r="BC181" s="18">
        <v>1177</v>
      </c>
      <c r="BD181" s="18">
        <v>0</v>
      </c>
      <c r="BE181" s="18">
        <v>1102</v>
      </c>
      <c r="BF181" s="18">
        <v>1150</v>
      </c>
      <c r="BG181" s="18">
        <v>104443</v>
      </c>
      <c r="BH181" s="18">
        <v>18303</v>
      </c>
      <c r="BI181" s="18">
        <v>0</v>
      </c>
      <c r="BJ181" s="18">
        <v>1084.516129032258</v>
      </c>
      <c r="BK181" s="18">
        <v>1150</v>
      </c>
    </row>
    <row r="182" spans="1:63" x14ac:dyDescent="0.35">
      <c r="A182" s="19">
        <v>178</v>
      </c>
      <c r="B182" s="20" t="s">
        <v>344</v>
      </c>
      <c r="C182" s="20" t="s">
        <v>344</v>
      </c>
      <c r="D182" s="18">
        <v>0</v>
      </c>
      <c r="E182" s="18">
        <v>0</v>
      </c>
      <c r="F182" s="18">
        <v>0</v>
      </c>
      <c r="G182" s="18" t="e">
        <v>#DIV/0!</v>
      </c>
      <c r="H182" s="18" t="e">
        <v>#DIV/0!</v>
      </c>
      <c r="I182" s="18">
        <v>0</v>
      </c>
      <c r="J182" s="18">
        <v>0</v>
      </c>
      <c r="K182" s="18">
        <v>0</v>
      </c>
      <c r="L182" s="18" t="e">
        <v>#DIV/0!</v>
      </c>
      <c r="M182" s="18" t="e">
        <v>#DIV/0!</v>
      </c>
      <c r="N182" s="18">
        <v>0</v>
      </c>
      <c r="O182" s="18">
        <v>0</v>
      </c>
      <c r="P182" s="18">
        <v>0</v>
      </c>
      <c r="Q182" s="18" t="e">
        <v>#DIV/0!</v>
      </c>
      <c r="R182" s="18" t="e">
        <v>#DIV/0!</v>
      </c>
      <c r="S182" s="18">
        <v>0</v>
      </c>
      <c r="T182" s="18">
        <v>0</v>
      </c>
      <c r="U182" s="18">
        <v>0</v>
      </c>
      <c r="V182" s="18" t="e">
        <v>#DIV/0!</v>
      </c>
      <c r="W182" s="18" t="e">
        <v>#DIV/0!</v>
      </c>
      <c r="X182" s="18">
        <v>0</v>
      </c>
      <c r="Y182" s="18">
        <v>0</v>
      </c>
      <c r="Z182" s="18">
        <v>0</v>
      </c>
      <c r="AA182" s="18" t="e">
        <v>#DIV/0!</v>
      </c>
      <c r="AB182" s="18" t="e">
        <v>#DIV/0!</v>
      </c>
      <c r="AC182" s="18">
        <v>0</v>
      </c>
      <c r="AD182" s="18">
        <v>0</v>
      </c>
      <c r="AE182" s="18">
        <v>0</v>
      </c>
      <c r="AF182" s="18" t="e">
        <v>#DIV/0!</v>
      </c>
      <c r="AG182" s="18" t="e">
        <v>#DIV/0!</v>
      </c>
      <c r="AH182" s="18">
        <v>0</v>
      </c>
      <c r="AI182" s="18">
        <v>0</v>
      </c>
      <c r="AJ182" s="18">
        <v>0</v>
      </c>
      <c r="AK182" s="18" t="e">
        <v>#DIV/0!</v>
      </c>
      <c r="AL182" s="18" t="e">
        <v>#DIV/0!</v>
      </c>
      <c r="AM182" s="18">
        <v>0</v>
      </c>
      <c r="AN182" s="18">
        <v>0</v>
      </c>
      <c r="AO182" s="18">
        <v>0</v>
      </c>
      <c r="AP182" s="18" t="e">
        <v>#DIV/0!</v>
      </c>
      <c r="AQ182" s="18" t="e">
        <v>#DIV/0!</v>
      </c>
      <c r="AR182" s="18">
        <v>0</v>
      </c>
      <c r="AS182" s="18">
        <v>0</v>
      </c>
      <c r="AT182" s="18">
        <v>0</v>
      </c>
      <c r="AU182" s="18" t="e">
        <v>#DIV/0!</v>
      </c>
      <c r="AV182" s="18" t="e">
        <v>#DIV/0!</v>
      </c>
      <c r="AW182" s="18">
        <v>0</v>
      </c>
      <c r="AX182" s="18">
        <v>0</v>
      </c>
      <c r="AY182" s="18">
        <v>0</v>
      </c>
      <c r="AZ182" s="18" t="e">
        <v>#DIV/0!</v>
      </c>
      <c r="BA182" s="18" t="e">
        <v>#DIV/0!</v>
      </c>
      <c r="BB182" s="18">
        <v>6402</v>
      </c>
      <c r="BC182" s="18">
        <v>103</v>
      </c>
      <c r="BD182" s="18">
        <v>0</v>
      </c>
      <c r="BE182" s="18">
        <v>1120</v>
      </c>
      <c r="BF182" s="18">
        <v>1170</v>
      </c>
      <c r="BG182" s="18">
        <v>124383</v>
      </c>
      <c r="BH182" s="18">
        <v>4154</v>
      </c>
      <c r="BI182" s="18">
        <v>0</v>
      </c>
      <c r="BJ182" s="18">
        <v>1074.8387096774193</v>
      </c>
      <c r="BK182" s="18">
        <v>1153.2258064516129</v>
      </c>
    </row>
    <row r="183" spans="1:63" x14ac:dyDescent="0.35">
      <c r="A183" s="19">
        <v>179</v>
      </c>
      <c r="B183" s="20" t="s">
        <v>345</v>
      </c>
      <c r="C183" s="20" t="s">
        <v>345</v>
      </c>
      <c r="D183" s="18">
        <v>0</v>
      </c>
      <c r="E183" s="18">
        <v>0</v>
      </c>
      <c r="F183" s="18">
        <v>0</v>
      </c>
      <c r="G183" s="18" t="e">
        <v>#DIV/0!</v>
      </c>
      <c r="H183" s="18" t="e">
        <v>#DIV/0!</v>
      </c>
      <c r="I183" s="18">
        <v>0</v>
      </c>
      <c r="J183" s="18">
        <v>0</v>
      </c>
      <c r="K183" s="18">
        <v>0</v>
      </c>
      <c r="L183" s="18" t="e">
        <v>#DIV/0!</v>
      </c>
      <c r="M183" s="18" t="e">
        <v>#DIV/0!</v>
      </c>
      <c r="N183" s="18">
        <v>0</v>
      </c>
      <c r="O183" s="18">
        <v>0</v>
      </c>
      <c r="P183" s="18">
        <v>0</v>
      </c>
      <c r="Q183" s="18" t="e">
        <v>#DIV/0!</v>
      </c>
      <c r="R183" s="18" t="e">
        <v>#DIV/0!</v>
      </c>
      <c r="S183" s="18">
        <v>0</v>
      </c>
      <c r="T183" s="18">
        <v>0</v>
      </c>
      <c r="U183" s="18">
        <v>0</v>
      </c>
      <c r="V183" s="18" t="e">
        <v>#DIV/0!</v>
      </c>
      <c r="W183" s="18" t="e">
        <v>#DIV/0!</v>
      </c>
      <c r="X183" s="18">
        <v>0</v>
      </c>
      <c r="Y183" s="18">
        <v>0</v>
      </c>
      <c r="Z183" s="18">
        <v>0</v>
      </c>
      <c r="AA183" s="18" t="e">
        <v>#DIV/0!</v>
      </c>
      <c r="AB183" s="18" t="e">
        <v>#DIV/0!</v>
      </c>
      <c r="AC183" s="18">
        <v>0</v>
      </c>
      <c r="AD183" s="18">
        <v>0</v>
      </c>
      <c r="AE183" s="18">
        <v>0</v>
      </c>
      <c r="AF183" s="18" t="e">
        <v>#DIV/0!</v>
      </c>
      <c r="AG183" s="18" t="e">
        <v>#DIV/0!</v>
      </c>
      <c r="AH183" s="18">
        <v>0</v>
      </c>
      <c r="AI183" s="18">
        <v>0</v>
      </c>
      <c r="AJ183" s="18">
        <v>0</v>
      </c>
      <c r="AK183" s="18" t="e">
        <v>#DIV/0!</v>
      </c>
      <c r="AL183" s="18" t="e">
        <v>#DIV/0!</v>
      </c>
      <c r="AM183" s="18">
        <v>0</v>
      </c>
      <c r="AN183" s="18">
        <v>0</v>
      </c>
      <c r="AO183" s="18">
        <v>0</v>
      </c>
      <c r="AP183" s="18" t="e">
        <v>#DIV/0!</v>
      </c>
      <c r="AQ183" s="18" t="e">
        <v>#DIV/0!</v>
      </c>
      <c r="AR183" s="18">
        <v>0</v>
      </c>
      <c r="AS183" s="18">
        <v>0</v>
      </c>
      <c r="AT183" s="18">
        <v>0</v>
      </c>
      <c r="AU183" s="18" t="e">
        <v>#DIV/0!</v>
      </c>
      <c r="AV183" s="18" t="e">
        <v>#DIV/0!</v>
      </c>
      <c r="AW183" s="18">
        <v>0</v>
      </c>
      <c r="AX183" s="18">
        <v>0</v>
      </c>
      <c r="AY183" s="18">
        <v>0</v>
      </c>
      <c r="AZ183" s="18" t="e">
        <v>#DIV/0!</v>
      </c>
      <c r="BA183" s="18" t="e">
        <v>#DIV/0!</v>
      </c>
      <c r="BB183" s="18">
        <v>0</v>
      </c>
      <c r="BC183" s="18">
        <v>0</v>
      </c>
      <c r="BD183" s="18">
        <v>0</v>
      </c>
      <c r="BE183" s="18" t="e">
        <v>#DIV/0!</v>
      </c>
      <c r="BF183" s="18" t="e">
        <v>#DIV/0!</v>
      </c>
      <c r="BG183" s="18">
        <v>155665</v>
      </c>
      <c r="BH183" s="18">
        <v>11227</v>
      </c>
      <c r="BI183" s="18">
        <v>0</v>
      </c>
      <c r="BJ183" s="18">
        <v>1083.8461538461538</v>
      </c>
      <c r="BK183" s="18">
        <v>1150</v>
      </c>
    </row>
  </sheetData>
  <mergeCells count="12">
    <mergeCell ref="BG3:BK3"/>
    <mergeCell ref="D3:H3"/>
    <mergeCell ref="I3:M3"/>
    <mergeCell ref="N3:R3"/>
    <mergeCell ref="S3:W3"/>
    <mergeCell ref="X3:AB3"/>
    <mergeCell ref="AC3:AG3"/>
    <mergeCell ref="AH3:AL3"/>
    <mergeCell ref="AM3:AQ3"/>
    <mergeCell ref="AR3:AV3"/>
    <mergeCell ref="AW3:BA3"/>
    <mergeCell ref="BB3:B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61D1B-D1B1-4532-AC8D-03E30D6170F7}">
  <dimension ref="A1:H13"/>
  <sheetViews>
    <sheetView workbookViewId="0">
      <selection activeCell="L6" sqref="L6"/>
    </sheetView>
  </sheetViews>
  <sheetFormatPr defaultRowHeight="14.5" x14ac:dyDescent="0.35"/>
  <cols>
    <col min="1" max="1" width="4" customWidth="1"/>
    <col min="2" max="2" width="8.81640625" bestFit="1" customWidth="1"/>
    <col min="3" max="3" width="10.1796875" bestFit="1" customWidth="1"/>
    <col min="4" max="4" width="13.90625" bestFit="1" customWidth="1"/>
    <col min="5" max="5" width="13.36328125" bestFit="1" customWidth="1"/>
    <col min="6" max="6" width="13.6328125" bestFit="1" customWidth="1"/>
    <col min="7" max="7" width="16.54296875" bestFit="1" customWidth="1"/>
    <col min="8" max="8" width="14.7265625" bestFit="1" customWidth="1"/>
  </cols>
  <sheetData>
    <row r="1" spans="1:8" x14ac:dyDescent="0.35">
      <c r="A1" s="24" t="s">
        <v>2</v>
      </c>
      <c r="B1" s="24" t="s">
        <v>346</v>
      </c>
      <c r="C1" s="24" t="s">
        <v>16</v>
      </c>
      <c r="D1" s="24" t="s">
        <v>17</v>
      </c>
      <c r="E1" s="24" t="s">
        <v>18</v>
      </c>
      <c r="F1" s="24" t="s">
        <v>19</v>
      </c>
      <c r="G1" s="24" t="s">
        <v>20</v>
      </c>
      <c r="H1" s="24" t="s">
        <v>347</v>
      </c>
    </row>
    <row r="2" spans="1:8" x14ac:dyDescent="0.35">
      <c r="A2" s="25">
        <v>1</v>
      </c>
      <c r="B2" s="26">
        <v>45292</v>
      </c>
      <c r="C2" s="27">
        <f>SUM('MOM Station Sale'!D5:D172)</f>
        <v>44646728</v>
      </c>
      <c r="D2" s="27">
        <f>SUM('MOM Station Sale'!E5:E172)</f>
        <v>5662264</v>
      </c>
      <c r="E2" s="27">
        <f>SUM('MOM Station Sale'!F5:F172)</f>
        <v>103215</v>
      </c>
      <c r="F2" s="27">
        <f>AVERAGE('MOM Station Sale'!G5:G172)</f>
        <v>654.04569892473251</v>
      </c>
      <c r="G2" s="27">
        <f>AVERAGE('MOM Station Sale'!H5:H172)</f>
        <v>1066.0535714285716</v>
      </c>
      <c r="H2" s="25">
        <f>COUNTA('MOM Station Sale'!C5:C172)</f>
        <v>168</v>
      </c>
    </row>
    <row r="3" spans="1:8" x14ac:dyDescent="0.35">
      <c r="A3" s="25">
        <f>A2+1</f>
        <v>2</v>
      </c>
      <c r="B3" s="26">
        <v>45323</v>
      </c>
      <c r="C3" s="27">
        <f>SUM('MOM Station Sale'!I5:I173)</f>
        <v>45182760</v>
      </c>
      <c r="D3" s="27">
        <f>SUM('MOM Station Sale'!J5:J173)</f>
        <v>5641699</v>
      </c>
      <c r="E3" s="27">
        <f>SUM('MOM Station Sale'!K5:K173)</f>
        <v>119927</v>
      </c>
      <c r="F3" s="27">
        <f>AVERAGE('MOM Station Sale'!L5:L173)</f>
        <v>670.12299239222307</v>
      </c>
      <c r="G3" s="27">
        <f>AVERAGE('MOM Station Sale'!M5:M173)</f>
        <v>1396.9473795435338</v>
      </c>
      <c r="H3" s="25">
        <f>COUNTA('MOM Station Sale'!C5:C173)</f>
        <v>169</v>
      </c>
    </row>
    <row r="4" spans="1:8" x14ac:dyDescent="0.35">
      <c r="A4" s="25">
        <f t="shared" ref="A4:A13" si="0">A3+1</f>
        <v>3</v>
      </c>
      <c r="B4" s="26">
        <v>45352</v>
      </c>
      <c r="C4" s="27">
        <f>SUM('MOM Station Sale'!N5:N173)</f>
        <v>45726064</v>
      </c>
      <c r="D4" s="27">
        <f>SUM('MOM Station Sale'!O5:O173)</f>
        <v>5392415</v>
      </c>
      <c r="E4" s="27">
        <f>SUM('MOM Station Sale'!P5:P173)</f>
        <v>124007</v>
      </c>
      <c r="F4" s="27">
        <f>AVERAGE('MOM Station Sale'!Q5:Q173)</f>
        <v>687.70605077304822</v>
      </c>
      <c r="G4" s="28">
        <f>AVERAGE('MOM Station Sale'!R5:R173)</f>
        <v>1592.1015460965818</v>
      </c>
      <c r="H4" s="25">
        <f>COUNTA('MOM Station Sale'!C5:C173)</f>
        <v>169</v>
      </c>
    </row>
    <row r="5" spans="1:8" x14ac:dyDescent="0.35">
      <c r="A5" s="25">
        <f t="shared" si="0"/>
        <v>4</v>
      </c>
      <c r="B5" s="26">
        <v>45383</v>
      </c>
      <c r="C5" s="27">
        <f>SUM('MOM Station Sale'!S5:S175)</f>
        <v>50154114</v>
      </c>
      <c r="D5" s="29">
        <f>SUM('MOM Station Sale'!T5:T175)</f>
        <v>6069933</v>
      </c>
      <c r="E5" s="29">
        <f>SUM('MOM Station Sale'!U5:U175)</f>
        <v>103636</v>
      </c>
      <c r="F5" s="27">
        <f>AVERAGE('MOM Station Sale'!V5:V175)</f>
        <v>690.67950431634654</v>
      </c>
      <c r="G5" s="28">
        <f>AVERAGE('MOM Station Sale'!W5:W175)</f>
        <v>1382.1357715275847</v>
      </c>
      <c r="H5" s="25">
        <f>COUNTA('MOM Station Sale'!E5:E175)</f>
        <v>171</v>
      </c>
    </row>
    <row r="6" spans="1:8" x14ac:dyDescent="0.35">
      <c r="A6" s="25">
        <f t="shared" si="0"/>
        <v>5</v>
      </c>
      <c r="B6" s="26">
        <v>45413</v>
      </c>
      <c r="C6" s="27">
        <f>SUM('MOM Station Sale'!X5:X175)</f>
        <v>45996285</v>
      </c>
      <c r="D6" s="27">
        <f>SUM('MOM Station Sale'!Y5:Y175)</f>
        <v>5735188</v>
      </c>
      <c r="E6" s="29">
        <f>SUM('MOM Station Sale'!Z5:Z175)</f>
        <v>140255</v>
      </c>
      <c r="F6" s="27">
        <f>AVERAGE('MOM Station Sale'!AA5:AA175)</f>
        <v>756.96057347670171</v>
      </c>
      <c r="G6" s="28">
        <f>AVERAGE('MOM Station Sale'!AB5:AB175)</f>
        <v>1217.3467270326348</v>
      </c>
      <c r="H6" s="25">
        <f>COUNTA('MOM Station Sale'!AA5:AA175)</f>
        <v>171</v>
      </c>
    </row>
    <row r="7" spans="1:8" x14ac:dyDescent="0.35">
      <c r="A7" s="25">
        <f t="shared" si="0"/>
        <v>6</v>
      </c>
      <c r="B7" s="26">
        <v>45444</v>
      </c>
      <c r="C7" s="27">
        <f>SUM('MOM Station Sale'!AC5:AC176)</f>
        <v>42594588</v>
      </c>
      <c r="D7" s="27">
        <f>SUM('MOM Station Sale'!AD5:AD176)</f>
        <v>5141686</v>
      </c>
      <c r="E7" s="29">
        <f>SUM('MOM Station Sale'!AE5:AE176)</f>
        <v>97487</v>
      </c>
      <c r="F7" s="27">
        <f>AVERAGE('MOM Station Sale'!AF5:AF176)</f>
        <v>727.59302325581336</v>
      </c>
      <c r="G7" s="28">
        <f>AVERAGE('MOM Station Sale'!AG5:AG176)</f>
        <v>1206.0678294573665</v>
      </c>
      <c r="H7" s="25">
        <f>COUNTA('MOM Station Sale'!AF5:AF176)</f>
        <v>172</v>
      </c>
    </row>
    <row r="8" spans="1:8" x14ac:dyDescent="0.35">
      <c r="A8" s="25">
        <f t="shared" si="0"/>
        <v>7</v>
      </c>
      <c r="B8" s="26">
        <v>45474</v>
      </c>
      <c r="C8" s="27">
        <f>SUM('MOM Station Sale'!AH5:AH178)</f>
        <v>52243943</v>
      </c>
      <c r="D8" s="29">
        <f>SUM('MOM Station Sale'!AI5:AI178)</f>
        <v>4489107</v>
      </c>
      <c r="E8" s="29">
        <f>SUM('MOM Station Sale'!AJ5:AJ178)</f>
        <v>111872</v>
      </c>
      <c r="F8" s="27">
        <f>AVERAGE('MOM Station Sale'!AK5:AK178)</f>
        <v>752.22295841326672</v>
      </c>
      <c r="G8" s="28">
        <f>AVERAGE('MOM Station Sale'!AL5:AL178)</f>
        <v>1219.2732665925098</v>
      </c>
      <c r="H8" s="25">
        <f>COUNTA('MOM Station Sale'!AL5:AL178)</f>
        <v>174</v>
      </c>
    </row>
    <row r="9" spans="1:8" x14ac:dyDescent="0.35">
      <c r="A9" s="25">
        <f t="shared" si="0"/>
        <v>8</v>
      </c>
      <c r="B9" s="26">
        <v>45505</v>
      </c>
      <c r="C9" s="27">
        <f>SUM('MOM Station Sale'!AM5:AM178)</f>
        <v>33425135</v>
      </c>
      <c r="D9" s="29">
        <f>SUM('MOM Station Sale'!AN5:AN178)</f>
        <v>3434663</v>
      </c>
      <c r="E9" s="29">
        <f>SUM('MOM Station Sale'!AO5:AO178)</f>
        <v>93376</v>
      </c>
      <c r="F9" s="27">
        <f>AVERAGE('MOM Station Sale'!AP5:AP178)</f>
        <v>843.82832777159842</v>
      </c>
      <c r="G9" s="28">
        <f>AVERAGE('MOM Station Sale'!AQ5:AQ178)</f>
        <v>1220.1659251019651</v>
      </c>
      <c r="H9" s="25">
        <f>COUNTA('MOM Station Sale'!AQ5:AQ178)</f>
        <v>174</v>
      </c>
    </row>
    <row r="10" spans="1:8" x14ac:dyDescent="0.35">
      <c r="A10" s="25">
        <f t="shared" si="0"/>
        <v>9</v>
      </c>
      <c r="B10" s="26">
        <v>45536</v>
      </c>
      <c r="C10" s="27">
        <f>SUM('MOM Station Sale'!AR5:AR178)</f>
        <v>37426911</v>
      </c>
      <c r="D10" s="29">
        <f>SUM('MOM Station Sale'!AS5:AS178)</f>
        <v>3907594</v>
      </c>
      <c r="E10" s="29">
        <f>SUM('MOM Station Sale'!AT5:AT178)</f>
        <v>84315</v>
      </c>
      <c r="F10" s="27">
        <f>AVERAGE('MOM Station Sale'!AU5:AU178)</f>
        <v>1089.477011494253</v>
      </c>
      <c r="G10" s="28">
        <f>AVERAGE('MOM Station Sale'!AV5:AV178)</f>
        <v>1218.7289272030653</v>
      </c>
      <c r="H10" s="25">
        <f>COUNTA('MOM Station Sale'!AV5:AV178)</f>
        <v>174</v>
      </c>
    </row>
    <row r="11" spans="1:8" x14ac:dyDescent="0.35">
      <c r="A11" s="25">
        <f t="shared" si="0"/>
        <v>10</v>
      </c>
      <c r="B11" s="26">
        <v>45566</v>
      </c>
      <c r="C11" s="27">
        <f>SUM('MOM Station Sale'!AW5:AW179)</f>
        <v>41613504</v>
      </c>
      <c r="D11" s="29">
        <f>SUM('MOM Station Sale'!AX5:AX179)</f>
        <v>4741775</v>
      </c>
      <c r="E11" s="29">
        <f>SUM('MOM Station Sale'!AY5:AY179)</f>
        <v>118597</v>
      </c>
      <c r="F11" s="27">
        <f>AVERAGE('MOM Station Sale'!AZ5:AZ179)</f>
        <v>1165.2016589861753</v>
      </c>
      <c r="G11" s="28">
        <f>AVERAGE('MOM Station Sale'!BA5:BA179)</f>
        <v>1214.4709677419346</v>
      </c>
      <c r="H11" s="25">
        <f>COUNTA('MOM Station Sale'!AZ5:AZ179)</f>
        <v>175</v>
      </c>
    </row>
    <row r="12" spans="1:8" x14ac:dyDescent="0.35">
      <c r="A12" s="25">
        <f t="shared" si="0"/>
        <v>11</v>
      </c>
      <c r="B12" s="26">
        <v>45597</v>
      </c>
      <c r="C12" s="27">
        <f>SUM('MOM Station Sale'!BB5:BB182)</f>
        <v>37948798</v>
      </c>
      <c r="D12" s="29">
        <f>SUM('MOM Station Sale'!BC5:BC182)</f>
        <v>5698963</v>
      </c>
      <c r="E12" s="29">
        <f>SUM('MOM Station Sale'!BD5:BD182)</f>
        <v>87180</v>
      </c>
      <c r="F12" s="27">
        <f>AVERAGE('MOM Station Sale'!BE5:BE182)</f>
        <v>1133.9446274053994</v>
      </c>
      <c r="G12" s="28">
        <f>AVERAGE('MOM Station Sale'!BF5:BF182)</f>
        <v>1189.2411920444292</v>
      </c>
      <c r="H12" s="25">
        <f>COUNTA('MOM Station Sale'!BF5:BF182)</f>
        <v>178</v>
      </c>
    </row>
    <row r="13" spans="1:8" x14ac:dyDescent="0.35">
      <c r="A13" s="25">
        <f t="shared" si="0"/>
        <v>12</v>
      </c>
      <c r="B13" s="26">
        <v>45627</v>
      </c>
      <c r="C13" s="27">
        <f>SUM('MOM Station Sale'!BG5:BG183)</f>
        <v>39144717</v>
      </c>
      <c r="D13" s="29">
        <f>SUM('MOM Station Sale'!BH5:BH183)</f>
        <v>5259672</v>
      </c>
      <c r="E13" s="29">
        <f>SUM('MOM Station Sale'!BI5:BI183)</f>
        <v>81387</v>
      </c>
      <c r="F13" s="27">
        <f>AVERAGE('MOM Station Sale'!BJ5:BJ183)</f>
        <v>1084.4511138528085</v>
      </c>
      <c r="G13" s="28">
        <f>AVERAGE('MOM Station Sale'!BK5:BK183)</f>
        <v>1170.1283114074599</v>
      </c>
      <c r="H13" s="25">
        <f>COUNTA('MOM Station Sale'!BK5:BK183)</f>
        <v>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7756D-B986-49C9-AE50-C3F13FA7F35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MOM Station Sale</vt:lpstr>
      <vt:lpstr>SUMMARY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Calista Arabe</dc:creator>
  <cp:lastModifiedBy>Susan Aigbobhiose</cp:lastModifiedBy>
  <dcterms:created xsi:type="dcterms:W3CDTF">2026-03-16T14:06:34Z</dcterms:created>
  <dcterms:modified xsi:type="dcterms:W3CDTF">2026-05-06T20:48:16Z</dcterms:modified>
</cp:coreProperties>
</file>